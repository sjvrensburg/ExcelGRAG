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ors" sheetId="1" state="visible" r:id="rId3"/>
    <sheet name="Rates" sheetId="2" state="visible" r:id="rId4"/>
    <sheet name="Jan" sheetId="3" state="visible" r:id="rId5"/>
    <sheet name="Feb" sheetId="4" state="visible" r:id="rId6"/>
    <sheet name="Mar" sheetId="5" state="visible" r:id="rId7"/>
    <sheet name="Summary" sheetId="6" state="visible" r:id="rId8"/>
    <sheet name="Notes" sheetId="7" state="visible" r:id="rId9"/>
  </sheets>
  <definedNames>
    <definedName function="false" hidden="false" name="Tax_Rate" vbProcedure="false">Rates!$B$11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<sst xmlns="http://schemas.openxmlformats.org/spreadsheetml/2006/main" count="8061" uniqueCount="2893">
  <si>
    <t xml:space="preserve">Account</t>
  </si>
  <si>
    <t xml:space="preserve">Account Holder</t>
  </si>
  <si>
    <t xml:space="preserve">Territory</t>
  </si>
  <si>
    <t xml:space="preserve">Debt Type</t>
  </si>
  <si>
    <t xml:space="preserve">Balance</t>
  </si>
  <si>
    <t xml:space="preserve">Days Overdue</t>
  </si>
  <si>
    <t xml:space="preserve">Ageing Bucket</t>
  </si>
  <si>
    <t xml:space="preserve">Discount Rate</t>
  </si>
  <si>
    <t xml:space="preserve">Provision Percent</t>
  </si>
  <si>
    <t xml:space="preserve">Provision</t>
  </si>
  <si>
    <t xml:space="preserve">Present Value</t>
  </si>
  <si>
    <t xml:space="preserve">Impairment</t>
  </si>
  <si>
    <t xml:space="preserve">Days per Unit</t>
  </si>
  <si>
    <t xml:space="preserve">RB-100000</t>
  </si>
  <si>
    <t xml:space="preserve">Northgate Outlet 34</t>
  </si>
  <si>
    <t xml:space="preserve">Northgate</t>
  </si>
  <si>
    <t xml:space="preserve">Retail</t>
  </si>
  <si>
    <t xml:space="preserve">RB-100001</t>
  </si>
  <si>
    <t xml:space="preserve">Eastwick Depot</t>
  </si>
  <si>
    <t xml:space="preserve">Eastwick</t>
  </si>
  <si>
    <t xml:space="preserve">Internal</t>
  </si>
  <si>
    <t xml:space="preserve">RB-100002</t>
  </si>
  <si>
    <t xml:space="preserve">Northgate Butchery</t>
  </si>
  <si>
    <t xml:space="preserve">Business</t>
  </si>
  <si>
    <t xml:space="preserve">RB-100003</t>
  </si>
  <si>
    <t xml:space="preserve">Kingsford Properties</t>
  </si>
  <si>
    <t xml:space="preserve">Kingsford</t>
  </si>
  <si>
    <t xml:space="preserve">RB-100004</t>
  </si>
  <si>
    <t xml:space="preserve">Northgate Depot</t>
  </si>
  <si>
    <t xml:space="preserve">RB-100005</t>
  </si>
  <si>
    <t xml:space="preserve">Palm Grove Depot</t>
  </si>
  <si>
    <t xml:space="preserve">Palm Grove</t>
  </si>
  <si>
    <t xml:space="preserve">RB-100006</t>
  </si>
  <si>
    <t xml:space="preserve">Kingsford Depot</t>
  </si>
  <si>
    <t xml:space="preserve">RB-100007</t>
  </si>
  <si>
    <t xml:space="preserve">Stonebridge Workshop</t>
  </si>
  <si>
    <t xml:space="preserve">Stonebridge</t>
  </si>
  <si>
    <t xml:space="preserve">RB-100008</t>
  </si>
  <si>
    <t xml:space="preserve">Northgate Trading</t>
  </si>
  <si>
    <t xml:space="preserve">RB-100009</t>
  </si>
  <si>
    <t xml:space="preserve">RB-100010</t>
  </si>
  <si>
    <t xml:space="preserve">Ironwood Outlet 147</t>
  </si>
  <si>
    <t xml:space="preserve">Ironwood</t>
  </si>
  <si>
    <t xml:space="preserve">RB-100011</t>
  </si>
  <si>
    <t xml:space="preserve">Stonebridge Farms</t>
  </si>
  <si>
    <t xml:space="preserve">RB-100012</t>
  </si>
  <si>
    <t xml:space="preserve">Ironwood Outlet 284</t>
  </si>
  <si>
    <t xml:space="preserve">RB-100013</t>
  </si>
  <si>
    <t xml:space="preserve">Northgate Outlet 301</t>
  </si>
  <si>
    <t xml:space="preserve">Wholesale</t>
  </si>
  <si>
    <t xml:space="preserve">RB-100014</t>
  </si>
  <si>
    <t xml:space="preserve">Stonebridge Depot</t>
  </si>
  <si>
    <t xml:space="preserve">RB-100015</t>
  </si>
  <si>
    <t xml:space="preserve">Eastwick Butchery</t>
  </si>
  <si>
    <t xml:space="preserve">RB-100016</t>
  </si>
  <si>
    <t xml:space="preserve">Kingsford Bakery</t>
  </si>
  <si>
    <t xml:space="preserve">RB-100017</t>
  </si>
  <si>
    <t xml:space="preserve">Ironwood Outlet 294</t>
  </si>
  <si>
    <t xml:space="preserve">RB-100018</t>
  </si>
  <si>
    <t xml:space="preserve">Kingsford Outlet 200</t>
  </si>
  <si>
    <t xml:space="preserve">RB-100019</t>
  </si>
  <si>
    <t xml:space="preserve">Kingsford Outlet 97</t>
  </si>
  <si>
    <t xml:space="preserve">RB-100020</t>
  </si>
  <si>
    <t xml:space="preserve">RB-100021</t>
  </si>
  <si>
    <t xml:space="preserve">Kingsford Outlet 399</t>
  </si>
  <si>
    <t xml:space="preserve">RB-100022</t>
  </si>
  <si>
    <t xml:space="preserve">Stonebridge Outlet 345</t>
  </si>
  <si>
    <t xml:space="preserve">RB-100023</t>
  </si>
  <si>
    <t xml:space="preserve">Palm Grove Outlet 266</t>
  </si>
  <si>
    <t xml:space="preserve">RB-100024</t>
  </si>
  <si>
    <t xml:space="preserve">Kingsford Outlet 327</t>
  </si>
  <si>
    <t xml:space="preserve">RB-100025</t>
  </si>
  <si>
    <t xml:space="preserve">Eastwick Outlet 327</t>
  </si>
  <si>
    <t xml:space="preserve">RB-100026</t>
  </si>
  <si>
    <t xml:space="preserve">Palm Grove Trading</t>
  </si>
  <si>
    <t xml:space="preserve">RB-100027</t>
  </si>
  <si>
    <t xml:space="preserve">Stonebridge Outlet 139</t>
  </si>
  <si>
    <t xml:space="preserve">RB-100028</t>
  </si>
  <si>
    <t xml:space="preserve">Eastwick Farms</t>
  </si>
  <si>
    <t xml:space="preserve">RB-100029</t>
  </si>
  <si>
    <t xml:space="preserve">Palm Grove Outlet 186</t>
  </si>
  <si>
    <t xml:space="preserve">RB-100030</t>
  </si>
  <si>
    <t xml:space="preserve">Stonebridge Holdings</t>
  </si>
  <si>
    <t xml:space="preserve">RB-100031</t>
  </si>
  <si>
    <t xml:space="preserve">Kingsford Trading</t>
  </si>
  <si>
    <t xml:space="preserve">RB-100032</t>
  </si>
  <si>
    <t xml:space="preserve">Stonebridge Outlet 133</t>
  </si>
  <si>
    <t xml:space="preserve">RB-100033</t>
  </si>
  <si>
    <t xml:space="preserve">RB-100034</t>
  </si>
  <si>
    <t xml:space="preserve">Stonebridge Outlet 59</t>
  </si>
  <si>
    <t xml:space="preserve">RB-100035</t>
  </si>
  <si>
    <t xml:space="preserve">Kingsford Outlet 289</t>
  </si>
  <si>
    <t xml:space="preserve">RB-100036</t>
  </si>
  <si>
    <t xml:space="preserve">Ironwood Outlet 386</t>
  </si>
  <si>
    <t xml:space="preserve">RB-100037</t>
  </si>
  <si>
    <t xml:space="preserve">RB-100038</t>
  </si>
  <si>
    <t xml:space="preserve">RB-100039</t>
  </si>
  <si>
    <t xml:space="preserve">Ironwood Depot</t>
  </si>
  <si>
    <t xml:space="preserve">RB-100040</t>
  </si>
  <si>
    <t xml:space="preserve">Stonebridge Outlet 391</t>
  </si>
  <si>
    <t xml:space="preserve">RB-100041</t>
  </si>
  <si>
    <t xml:space="preserve">Northgate Outlet 62</t>
  </si>
  <si>
    <t xml:space="preserve">RB-100042</t>
  </si>
  <si>
    <t xml:space="preserve">Kingsford Outlet 370</t>
  </si>
  <si>
    <t xml:space="preserve">RB-100043</t>
  </si>
  <si>
    <t xml:space="preserve">Kingsford Outlet 183</t>
  </si>
  <si>
    <t xml:space="preserve">RB-100044</t>
  </si>
  <si>
    <t xml:space="preserve">RB-100045</t>
  </si>
  <si>
    <t xml:space="preserve">RB-100046</t>
  </si>
  <si>
    <t xml:space="preserve">RB-100047</t>
  </si>
  <si>
    <t xml:space="preserve">RB-100048</t>
  </si>
  <si>
    <t xml:space="preserve">Eastwick Motors</t>
  </si>
  <si>
    <t xml:space="preserve">RB-100049</t>
  </si>
  <si>
    <t xml:space="preserve">Kingsford Holdings</t>
  </si>
  <si>
    <t xml:space="preserve">RB-100050</t>
  </si>
  <si>
    <t xml:space="preserve">Eastwick Outlet 280</t>
  </si>
  <si>
    <t xml:space="preserve">RB-100051</t>
  </si>
  <si>
    <t xml:space="preserve">RB-100052</t>
  </si>
  <si>
    <t xml:space="preserve">Ironwood Outlet 357</t>
  </si>
  <si>
    <t xml:space="preserve">RB-100053</t>
  </si>
  <si>
    <t xml:space="preserve">Palm Grove Butchery</t>
  </si>
  <si>
    <t xml:space="preserve">RB-100054</t>
  </si>
  <si>
    <t xml:space="preserve">Kingsford Outlet 328</t>
  </si>
  <si>
    <t xml:space="preserve">RB-100055</t>
  </si>
  <si>
    <t xml:space="preserve">RB-100056</t>
  </si>
  <si>
    <t xml:space="preserve">Ironwood Outlet 287</t>
  </si>
  <si>
    <t xml:space="preserve">RB-100057</t>
  </si>
  <si>
    <t xml:space="preserve">Kingsford Outlet 305</t>
  </si>
  <si>
    <t xml:space="preserve">RB-100058</t>
  </si>
  <si>
    <t xml:space="preserve">Stonebridge Outlet 69</t>
  </si>
  <si>
    <t xml:space="preserve">RB-100059</t>
  </si>
  <si>
    <t xml:space="preserve">Northgate Outlet 189</t>
  </si>
  <si>
    <t xml:space="preserve">RB-100060</t>
  </si>
  <si>
    <t xml:space="preserve">RB-100061</t>
  </si>
  <si>
    <t xml:space="preserve">RB-100062</t>
  </si>
  <si>
    <t xml:space="preserve">RB-100063</t>
  </si>
  <si>
    <t xml:space="preserve">RB-100064</t>
  </si>
  <si>
    <t xml:space="preserve">RB-100065</t>
  </si>
  <si>
    <t xml:space="preserve">Northgate Farms</t>
  </si>
  <si>
    <t xml:space="preserve">RB-100066</t>
  </si>
  <si>
    <t xml:space="preserve">Northgate Outlet 64</t>
  </si>
  <si>
    <t xml:space="preserve">RB-100067</t>
  </si>
  <si>
    <t xml:space="preserve">Stonebridge Outlet 54</t>
  </si>
  <si>
    <t xml:space="preserve">RB-100068</t>
  </si>
  <si>
    <t xml:space="preserve">RB-100069</t>
  </si>
  <si>
    <t xml:space="preserve">Northgate Outlet 326</t>
  </si>
  <si>
    <t xml:space="preserve">RB-100070</t>
  </si>
  <si>
    <t xml:space="preserve">RB-100071</t>
  </si>
  <si>
    <t xml:space="preserve">Palm Grove Motors</t>
  </si>
  <si>
    <t xml:space="preserve">RB-100072</t>
  </si>
  <si>
    <t xml:space="preserve">Palm Grove Bakery</t>
  </si>
  <si>
    <t xml:space="preserve">RB-100073</t>
  </si>
  <si>
    <t xml:space="preserve">RB-100074</t>
  </si>
  <si>
    <t xml:space="preserve">Ironwood Outlet 61</t>
  </si>
  <si>
    <t xml:space="preserve">RB-100075</t>
  </si>
  <si>
    <t xml:space="preserve">Palm Grove Outlet 254</t>
  </si>
  <si>
    <t xml:space="preserve">RB-100076</t>
  </si>
  <si>
    <t xml:space="preserve">RB-100077</t>
  </si>
  <si>
    <t xml:space="preserve">Palm Grove Outlet 296</t>
  </si>
  <si>
    <t xml:space="preserve">RB-100078</t>
  </si>
  <si>
    <t xml:space="preserve">RB-100079</t>
  </si>
  <si>
    <t xml:space="preserve">RB-100080</t>
  </si>
  <si>
    <t xml:space="preserve">Kingsford Outlet 76</t>
  </si>
  <si>
    <t xml:space="preserve">RB-100081</t>
  </si>
  <si>
    <t xml:space="preserve">RB-100082</t>
  </si>
  <si>
    <t xml:space="preserve">RB-100083</t>
  </si>
  <si>
    <t xml:space="preserve">Kingsford Outlet 82</t>
  </si>
  <si>
    <t xml:space="preserve">RB-100084</t>
  </si>
  <si>
    <t xml:space="preserve">Palm Grove Outlet 17</t>
  </si>
  <si>
    <t xml:space="preserve">RB-100085</t>
  </si>
  <si>
    <t xml:space="preserve">RB-100086</t>
  </si>
  <si>
    <t xml:space="preserve">RB-100087</t>
  </si>
  <si>
    <t xml:space="preserve">RB-100088</t>
  </si>
  <si>
    <t xml:space="preserve">Ironwood Outlet 189</t>
  </si>
  <si>
    <t xml:space="preserve">RB-100089</t>
  </si>
  <si>
    <t xml:space="preserve">RB-100090</t>
  </si>
  <si>
    <t xml:space="preserve">Stonebridge Outlet 259</t>
  </si>
  <si>
    <t xml:space="preserve">RB-100091</t>
  </si>
  <si>
    <t xml:space="preserve">RB-100092</t>
  </si>
  <si>
    <t xml:space="preserve">Northgate Outlet 200</t>
  </si>
  <si>
    <t xml:space="preserve">RB-100093</t>
  </si>
  <si>
    <t xml:space="preserve">Palm Grove Outlet 36</t>
  </si>
  <si>
    <t xml:space="preserve">RB-100094</t>
  </si>
  <si>
    <t xml:space="preserve">Northgate Outlet 348</t>
  </si>
  <si>
    <t xml:space="preserve">RB-100095</t>
  </si>
  <si>
    <t xml:space="preserve">RB-100096</t>
  </si>
  <si>
    <t xml:space="preserve">Palm Grove Holdings</t>
  </si>
  <si>
    <t xml:space="preserve">RB-100097</t>
  </si>
  <si>
    <t xml:space="preserve">RB-100098</t>
  </si>
  <si>
    <t xml:space="preserve">RB-100099</t>
  </si>
  <si>
    <t xml:space="preserve">Ironwood Outlet 90</t>
  </si>
  <si>
    <t xml:space="preserve">RB-100100</t>
  </si>
  <si>
    <t xml:space="preserve">Eastwick Outlet 19</t>
  </si>
  <si>
    <t xml:space="preserve">RB-100101</t>
  </si>
  <si>
    <t xml:space="preserve">Northgate Properties</t>
  </si>
  <si>
    <t xml:space="preserve">RB-100102</t>
  </si>
  <si>
    <t xml:space="preserve">RB-100103</t>
  </si>
  <si>
    <t xml:space="preserve">RB-100104</t>
  </si>
  <si>
    <t xml:space="preserve">Eastwick Properties</t>
  </si>
  <si>
    <t xml:space="preserve">RB-100105</t>
  </si>
  <si>
    <t xml:space="preserve">RB-100106</t>
  </si>
  <si>
    <t xml:space="preserve">RB-100107</t>
  </si>
  <si>
    <t xml:space="preserve">RB-100108</t>
  </si>
  <si>
    <t xml:space="preserve">RB-100109</t>
  </si>
  <si>
    <t xml:space="preserve">RB-100110</t>
  </si>
  <si>
    <t xml:space="preserve">Ironwood Properties</t>
  </si>
  <si>
    <t xml:space="preserve">RB-100111</t>
  </si>
  <si>
    <t xml:space="preserve">RB-100112</t>
  </si>
  <si>
    <t xml:space="preserve">Northgate Outlet 57</t>
  </si>
  <si>
    <t xml:space="preserve">RB-100113</t>
  </si>
  <si>
    <t xml:space="preserve">Northgate Outlet 72</t>
  </si>
  <si>
    <t xml:space="preserve">RB-100114</t>
  </si>
  <si>
    <t xml:space="preserve">Stonebridge Outlet 367</t>
  </si>
  <si>
    <t xml:space="preserve">RB-100115</t>
  </si>
  <si>
    <t xml:space="preserve">RB-100116</t>
  </si>
  <si>
    <t xml:space="preserve">RB-100117</t>
  </si>
  <si>
    <t xml:space="preserve">Northgate Motors</t>
  </si>
  <si>
    <t xml:space="preserve">RB-100118</t>
  </si>
  <si>
    <t xml:space="preserve">Ironwood Outlet 132</t>
  </si>
  <si>
    <t xml:space="preserve">RB-100119</t>
  </si>
  <si>
    <t xml:space="preserve">Northgate Outlet 386</t>
  </si>
  <si>
    <t xml:space="preserve">RB-100120</t>
  </si>
  <si>
    <t xml:space="preserve">Kingsford Outlet 225</t>
  </si>
  <si>
    <t xml:space="preserve">RB-100121</t>
  </si>
  <si>
    <t xml:space="preserve">Eastwick Outlet 254</t>
  </si>
  <si>
    <t xml:space="preserve">RB-100122</t>
  </si>
  <si>
    <t xml:space="preserve">Eastwick Outlet 126</t>
  </si>
  <si>
    <t xml:space="preserve">RB-100123</t>
  </si>
  <si>
    <t xml:space="preserve">Stonebridge Outlet 199</t>
  </si>
  <si>
    <t xml:space="preserve">RB-100124</t>
  </si>
  <si>
    <t xml:space="preserve">RB-100125</t>
  </si>
  <si>
    <t xml:space="preserve">RB-100126</t>
  </si>
  <si>
    <t xml:space="preserve">RB-100127</t>
  </si>
  <si>
    <t xml:space="preserve">RB-100128</t>
  </si>
  <si>
    <t xml:space="preserve">Ironwood Outlet 7</t>
  </si>
  <si>
    <t xml:space="preserve">RB-100129</t>
  </si>
  <si>
    <t xml:space="preserve">RB-100130</t>
  </si>
  <si>
    <t xml:space="preserve">Palm Grove Outlet 50</t>
  </si>
  <si>
    <t xml:space="preserve">RB-100131</t>
  </si>
  <si>
    <t xml:space="preserve">Ironwood Motors</t>
  </si>
  <si>
    <t xml:space="preserve">RB-100132</t>
  </si>
  <si>
    <t xml:space="preserve">RB-100133</t>
  </si>
  <si>
    <t xml:space="preserve">Stonebridge Motors</t>
  </si>
  <si>
    <t xml:space="preserve">RB-100134</t>
  </si>
  <si>
    <t xml:space="preserve">RB-100135</t>
  </si>
  <si>
    <t xml:space="preserve">Eastwick Outlet 378</t>
  </si>
  <si>
    <t xml:space="preserve">RB-100136</t>
  </si>
  <si>
    <t xml:space="preserve">Kingsford Butchery</t>
  </si>
  <si>
    <t xml:space="preserve">RB-100137</t>
  </si>
  <si>
    <t xml:space="preserve">Northgate Outlet 118</t>
  </si>
  <si>
    <t xml:space="preserve">RB-100138</t>
  </si>
  <si>
    <t xml:space="preserve">Eastwick Outlet 276</t>
  </si>
  <si>
    <t xml:space="preserve">RB-100139</t>
  </si>
  <si>
    <t xml:space="preserve">Eastwick Outlet 29</t>
  </si>
  <si>
    <t xml:space="preserve">RB-100140</t>
  </si>
  <si>
    <t xml:space="preserve">Eastwick Outlet 317</t>
  </si>
  <si>
    <t xml:space="preserve">RB-100141</t>
  </si>
  <si>
    <t xml:space="preserve">RB-100142</t>
  </si>
  <si>
    <t xml:space="preserve">Eastwick Outlet 172</t>
  </si>
  <si>
    <t xml:space="preserve">RB-100143</t>
  </si>
  <si>
    <t xml:space="preserve">RB-100144</t>
  </si>
  <si>
    <t xml:space="preserve">RB-100145</t>
  </si>
  <si>
    <t xml:space="preserve">RB-100146</t>
  </si>
  <si>
    <t xml:space="preserve">Palm Grove Outlet 140</t>
  </si>
  <si>
    <t xml:space="preserve">RB-100147</t>
  </si>
  <si>
    <t xml:space="preserve">RB-100148</t>
  </si>
  <si>
    <t xml:space="preserve">RB-100149</t>
  </si>
  <si>
    <t xml:space="preserve">Palm Grove Outlet 122</t>
  </si>
  <si>
    <t xml:space="preserve">RB-100150</t>
  </si>
  <si>
    <t xml:space="preserve">Ironwood Trading</t>
  </si>
  <si>
    <t xml:space="preserve">RB-100151</t>
  </si>
  <si>
    <t xml:space="preserve">Stonebridge Outlet 173</t>
  </si>
  <si>
    <t xml:space="preserve">RB-100152</t>
  </si>
  <si>
    <t xml:space="preserve">RB-100153</t>
  </si>
  <si>
    <t xml:space="preserve">RB-100154</t>
  </si>
  <si>
    <t xml:space="preserve">Eastwick Outlet 297</t>
  </si>
  <si>
    <t xml:space="preserve">RB-100155</t>
  </si>
  <si>
    <t xml:space="preserve">RB-100156</t>
  </si>
  <si>
    <t xml:space="preserve">RB-100157</t>
  </si>
  <si>
    <t xml:space="preserve">Ironwood Outlet 98</t>
  </si>
  <si>
    <t xml:space="preserve">RB-100158</t>
  </si>
  <si>
    <t xml:space="preserve">Ironwood Outlet 351</t>
  </si>
  <si>
    <t xml:space="preserve">RB-100159</t>
  </si>
  <si>
    <t xml:space="preserve">Kingsford Outlet 182</t>
  </si>
  <si>
    <t xml:space="preserve">RB-100160</t>
  </si>
  <si>
    <t xml:space="preserve">Stonebridge Trading</t>
  </si>
  <si>
    <t xml:space="preserve">RB-100161</t>
  </si>
  <si>
    <t xml:space="preserve">Kingsford Outlet 211</t>
  </si>
  <si>
    <t xml:space="preserve">RB-100162</t>
  </si>
  <si>
    <t xml:space="preserve">RB-100163</t>
  </si>
  <si>
    <t xml:space="preserve">RB-100164</t>
  </si>
  <si>
    <t xml:space="preserve">RB-100165</t>
  </si>
  <si>
    <t xml:space="preserve">Eastwick Outlet 274</t>
  </si>
  <si>
    <t xml:space="preserve">RB-100166</t>
  </si>
  <si>
    <t xml:space="preserve">RB-100167</t>
  </si>
  <si>
    <t xml:space="preserve">RB-100168</t>
  </si>
  <si>
    <t xml:space="preserve">Ironwood Outlet 148</t>
  </si>
  <si>
    <t xml:space="preserve">RB-100169</t>
  </si>
  <si>
    <t xml:space="preserve">RB-100170</t>
  </si>
  <si>
    <t xml:space="preserve">Kingsford Outlet 164</t>
  </si>
  <si>
    <t xml:space="preserve">RB-100171</t>
  </si>
  <si>
    <t xml:space="preserve">RB-100172</t>
  </si>
  <si>
    <t xml:space="preserve">RB-100173</t>
  </si>
  <si>
    <t xml:space="preserve">Palm Grove Workshop</t>
  </si>
  <si>
    <t xml:space="preserve">RB-100174</t>
  </si>
  <si>
    <t xml:space="preserve">Northgate Workshop</t>
  </si>
  <si>
    <t xml:space="preserve">RB-100175</t>
  </si>
  <si>
    <t xml:space="preserve">RB-100176</t>
  </si>
  <si>
    <t xml:space="preserve">Kingsford Outlet 386</t>
  </si>
  <si>
    <t xml:space="preserve">RB-100177</t>
  </si>
  <si>
    <t xml:space="preserve">RB-100178</t>
  </si>
  <si>
    <t xml:space="preserve">Kingsford Outlet 353</t>
  </si>
  <si>
    <t xml:space="preserve">RB-100179</t>
  </si>
  <si>
    <t xml:space="preserve">Ironwood Outlet 198</t>
  </si>
  <si>
    <t xml:space="preserve">RB-100180</t>
  </si>
  <si>
    <t xml:space="preserve">Stonebridge Outlet 274</t>
  </si>
  <si>
    <t xml:space="preserve">RB-100181</t>
  </si>
  <si>
    <t xml:space="preserve">RB-100182</t>
  </si>
  <si>
    <t xml:space="preserve">Eastwick Outlet 216</t>
  </si>
  <si>
    <t xml:space="preserve">RB-100183</t>
  </si>
  <si>
    <t xml:space="preserve">RB-100184</t>
  </si>
  <si>
    <t xml:space="preserve">Eastwick Outlet 105</t>
  </si>
  <si>
    <t xml:space="preserve">RB-100185</t>
  </si>
  <si>
    <t xml:space="preserve">RB-100186</t>
  </si>
  <si>
    <t xml:space="preserve">Eastwick Outlet 129</t>
  </si>
  <si>
    <t xml:space="preserve">RB-100187</t>
  </si>
  <si>
    <t xml:space="preserve">Ironwood Bakery</t>
  </si>
  <si>
    <t xml:space="preserve">RB-100188</t>
  </si>
  <si>
    <t xml:space="preserve">Eastwick Outlet 393</t>
  </si>
  <si>
    <t xml:space="preserve">RB-100189</t>
  </si>
  <si>
    <t xml:space="preserve">Northgate Holdings</t>
  </si>
  <si>
    <t xml:space="preserve">RB-100190</t>
  </si>
  <si>
    <t xml:space="preserve">Eastwick Outlet 9</t>
  </si>
  <si>
    <t xml:space="preserve">RB-100191</t>
  </si>
  <si>
    <t xml:space="preserve">Ironwood Outlet 353</t>
  </si>
  <si>
    <t xml:space="preserve">RB-100192</t>
  </si>
  <si>
    <t xml:space="preserve">Palm Grove Outlet 278</t>
  </si>
  <si>
    <t xml:space="preserve">RB-100193</t>
  </si>
  <si>
    <t xml:space="preserve">Northgate Outlet 19</t>
  </si>
  <si>
    <t xml:space="preserve">RB-100194</t>
  </si>
  <si>
    <t xml:space="preserve">Eastwick Outlet 225</t>
  </si>
  <si>
    <t xml:space="preserve">RB-100195</t>
  </si>
  <si>
    <t xml:space="preserve">Kingsford Workshop</t>
  </si>
  <si>
    <t xml:space="preserve">RB-100196</t>
  </si>
  <si>
    <t xml:space="preserve">Ironwood Outlet 85</t>
  </si>
  <si>
    <t xml:space="preserve">RB-100197</t>
  </si>
  <si>
    <t xml:space="preserve">RB-100198</t>
  </si>
  <si>
    <t xml:space="preserve">Ironwood Butchery</t>
  </si>
  <si>
    <t xml:space="preserve">RB-100199</t>
  </si>
  <si>
    <t xml:space="preserve">Northgate Outlet 275</t>
  </si>
  <si>
    <t xml:space="preserve">RB-100200</t>
  </si>
  <si>
    <t xml:space="preserve">Northgate Outlet 272</t>
  </si>
  <si>
    <t xml:space="preserve">RB-100201</t>
  </si>
  <si>
    <t xml:space="preserve">Stonebridge Outlet 102</t>
  </si>
  <si>
    <t xml:space="preserve">RB-100202</t>
  </si>
  <si>
    <t xml:space="preserve">RB-100203</t>
  </si>
  <si>
    <t xml:space="preserve">RB-100204</t>
  </si>
  <si>
    <t xml:space="preserve">Eastwick Holdings</t>
  </si>
  <si>
    <t xml:space="preserve">RB-100205</t>
  </si>
  <si>
    <t xml:space="preserve">RB-100206</t>
  </si>
  <si>
    <t xml:space="preserve">RB-100207</t>
  </si>
  <si>
    <t xml:space="preserve">Palm Grove Outlet 164</t>
  </si>
  <si>
    <t xml:space="preserve">RB-100208</t>
  </si>
  <si>
    <t xml:space="preserve">Kingsford Outlet 347</t>
  </si>
  <si>
    <t xml:space="preserve">RB-100209</t>
  </si>
  <si>
    <t xml:space="preserve">RB-100210</t>
  </si>
  <si>
    <t xml:space="preserve">Northgate Outlet 340</t>
  </si>
  <si>
    <t xml:space="preserve">RB-100211</t>
  </si>
  <si>
    <t xml:space="preserve">Ironwood Holdings</t>
  </si>
  <si>
    <t xml:space="preserve">RB-100212</t>
  </si>
  <si>
    <t xml:space="preserve">RB-100213</t>
  </si>
  <si>
    <t xml:space="preserve">Ironwood Outlet 242</t>
  </si>
  <si>
    <t xml:space="preserve">RB-100214</t>
  </si>
  <si>
    <t xml:space="preserve">RB-100215</t>
  </si>
  <si>
    <t xml:space="preserve">RB-100216</t>
  </si>
  <si>
    <t xml:space="preserve">Ironwood Farms</t>
  </si>
  <si>
    <t xml:space="preserve">RB-100217</t>
  </si>
  <si>
    <t xml:space="preserve">Northgate Outlet 117</t>
  </si>
  <si>
    <t xml:space="preserve">RB-100218</t>
  </si>
  <si>
    <t xml:space="preserve">RB-100219</t>
  </si>
  <si>
    <t xml:space="preserve">RB-100220</t>
  </si>
  <si>
    <t xml:space="preserve">Kingsford Outlet 314</t>
  </si>
  <si>
    <t xml:space="preserve">RB-100221</t>
  </si>
  <si>
    <t xml:space="preserve">Stonebridge Outlet 317</t>
  </si>
  <si>
    <t xml:space="preserve">RB-100222</t>
  </si>
  <si>
    <t xml:space="preserve">Stonebridge Outlet 349</t>
  </si>
  <si>
    <t xml:space="preserve">RB-100223</t>
  </si>
  <si>
    <t xml:space="preserve">RB-100224</t>
  </si>
  <si>
    <t xml:space="preserve">Stonebridge Outlet 341</t>
  </si>
  <si>
    <t xml:space="preserve">RB-100225</t>
  </si>
  <si>
    <t xml:space="preserve">Eastwick Outlet 219</t>
  </si>
  <si>
    <t xml:space="preserve">RB-100226</t>
  </si>
  <si>
    <t xml:space="preserve">RB-100227</t>
  </si>
  <si>
    <t xml:space="preserve">RB-100228</t>
  </si>
  <si>
    <t xml:space="preserve">RB-100229</t>
  </si>
  <si>
    <t xml:space="preserve">RB-100230</t>
  </si>
  <si>
    <t xml:space="preserve">RB-100231</t>
  </si>
  <si>
    <t xml:space="preserve">RB-100232</t>
  </si>
  <si>
    <t xml:space="preserve">Stonebridge Outlet 230</t>
  </si>
  <si>
    <t xml:space="preserve">RB-100233</t>
  </si>
  <si>
    <t xml:space="preserve">Kingsford Outlet 130</t>
  </si>
  <si>
    <t xml:space="preserve">RB-100234</t>
  </si>
  <si>
    <t xml:space="preserve">RB-100235</t>
  </si>
  <si>
    <t xml:space="preserve">RB-100236</t>
  </si>
  <si>
    <t xml:space="preserve">RB-100237</t>
  </si>
  <si>
    <t xml:space="preserve">Northgate Outlet 259</t>
  </si>
  <si>
    <t xml:space="preserve">RB-100238</t>
  </si>
  <si>
    <t xml:space="preserve">RB-100239</t>
  </si>
  <si>
    <t xml:space="preserve">RB-100240</t>
  </si>
  <si>
    <t xml:space="preserve">RB-100241</t>
  </si>
  <si>
    <t xml:space="preserve">RB-100242</t>
  </si>
  <si>
    <t xml:space="preserve">RB-100243</t>
  </si>
  <si>
    <t xml:space="preserve">RB-100244</t>
  </si>
  <si>
    <t xml:space="preserve">Stonebridge Butchery</t>
  </si>
  <si>
    <t xml:space="preserve">RB-100245</t>
  </si>
  <si>
    <t xml:space="preserve">Palm Grove Outlet 308</t>
  </si>
  <si>
    <t xml:space="preserve">RB-100246</t>
  </si>
  <si>
    <t xml:space="preserve">RB-100247</t>
  </si>
  <si>
    <t xml:space="preserve">Northgate Outlet 82</t>
  </si>
  <si>
    <t xml:space="preserve">RB-100248</t>
  </si>
  <si>
    <t xml:space="preserve">Palm Grove Outlet 220</t>
  </si>
  <si>
    <t xml:space="preserve">RB-100249</t>
  </si>
  <si>
    <t xml:space="preserve">Kingsford Outlet 283</t>
  </si>
  <si>
    <t xml:space="preserve">RB-100250</t>
  </si>
  <si>
    <t xml:space="preserve">Eastwick Outlet 352</t>
  </si>
  <si>
    <t xml:space="preserve">RB-100251</t>
  </si>
  <si>
    <t xml:space="preserve">RB-100252</t>
  </si>
  <si>
    <t xml:space="preserve">Palm Grove Outlet 165</t>
  </si>
  <si>
    <t xml:space="preserve">RB-100253</t>
  </si>
  <si>
    <t xml:space="preserve">Ironwood Outlet 203</t>
  </si>
  <si>
    <t xml:space="preserve">RB-100254</t>
  </si>
  <si>
    <t xml:space="preserve">Eastwick Outlet 332</t>
  </si>
  <si>
    <t xml:space="preserve">RB-100255</t>
  </si>
  <si>
    <t xml:space="preserve">RB-100256</t>
  </si>
  <si>
    <t xml:space="preserve">RB-100257</t>
  </si>
  <si>
    <t xml:space="preserve">RB-100258</t>
  </si>
  <si>
    <t xml:space="preserve">Kingsford Outlet 381</t>
  </si>
  <si>
    <t xml:space="preserve">RB-100259</t>
  </si>
  <si>
    <t xml:space="preserve">Ironwood Outlet 336</t>
  </si>
  <si>
    <t xml:space="preserve">RB-100260</t>
  </si>
  <si>
    <t xml:space="preserve">RB-100261</t>
  </si>
  <si>
    <t xml:space="preserve">Northgate Bakery</t>
  </si>
  <si>
    <t xml:space="preserve">RB-100262</t>
  </si>
  <si>
    <t xml:space="preserve">RB-100263</t>
  </si>
  <si>
    <t xml:space="preserve">RB-100264</t>
  </si>
  <si>
    <t xml:space="preserve">RB-100265</t>
  </si>
  <si>
    <t xml:space="preserve">Eastwick Outlet 262</t>
  </si>
  <si>
    <t xml:space="preserve">RB-100266</t>
  </si>
  <si>
    <t xml:space="preserve">RB-100267</t>
  </si>
  <si>
    <t xml:space="preserve">Kingsford Outlet 258</t>
  </si>
  <si>
    <t xml:space="preserve">RB-100268</t>
  </si>
  <si>
    <t xml:space="preserve">RB-100269</t>
  </si>
  <si>
    <t xml:space="preserve">Northgate Outlet 85</t>
  </si>
  <si>
    <t xml:space="preserve">RB-100270</t>
  </si>
  <si>
    <t xml:space="preserve">RB-100271</t>
  </si>
  <si>
    <t xml:space="preserve">Stonebridge Outlet 313</t>
  </si>
  <si>
    <t xml:space="preserve">RB-100272</t>
  </si>
  <si>
    <t xml:space="preserve">Kingsford Outlet 257</t>
  </si>
  <si>
    <t xml:space="preserve">RB-100273</t>
  </si>
  <si>
    <t xml:space="preserve">Palm Grove Outlet 330</t>
  </si>
  <si>
    <t xml:space="preserve">RB-100274</t>
  </si>
  <si>
    <t xml:space="preserve">RB-100275</t>
  </si>
  <si>
    <t xml:space="preserve">RB-100276</t>
  </si>
  <si>
    <t xml:space="preserve">Palm Grove Outlet 343</t>
  </si>
  <si>
    <t xml:space="preserve">RB-100277</t>
  </si>
  <si>
    <t xml:space="preserve">Eastwick Outlet 127</t>
  </si>
  <si>
    <t xml:space="preserve">RB-100278</t>
  </si>
  <si>
    <t xml:space="preserve">RB-100279</t>
  </si>
  <si>
    <t xml:space="preserve">Eastwick Outlet 294</t>
  </si>
  <si>
    <t xml:space="preserve">RB-100280</t>
  </si>
  <si>
    <t xml:space="preserve">Kingsford Outlet 310</t>
  </si>
  <si>
    <t xml:space="preserve">RB-100281</t>
  </si>
  <si>
    <t xml:space="preserve">RB-100282</t>
  </si>
  <si>
    <t xml:space="preserve">Palm Grove Outlet 28</t>
  </si>
  <si>
    <t xml:space="preserve">RB-100283</t>
  </si>
  <si>
    <t xml:space="preserve">Palm Grove Farms</t>
  </si>
  <si>
    <t xml:space="preserve">RB-100284</t>
  </si>
  <si>
    <t xml:space="preserve">RB-100285</t>
  </si>
  <si>
    <t xml:space="preserve">Stonebridge Outlet 87</t>
  </si>
  <si>
    <t xml:space="preserve">RB-100286</t>
  </si>
  <si>
    <t xml:space="preserve">Stonebridge Properties</t>
  </si>
  <si>
    <t xml:space="preserve">RB-100287</t>
  </si>
  <si>
    <t xml:space="preserve">Stonebridge Outlet 105</t>
  </si>
  <si>
    <t xml:space="preserve">RB-100288</t>
  </si>
  <si>
    <t xml:space="preserve">Stonebridge Outlet 188</t>
  </si>
  <si>
    <t xml:space="preserve">RB-100289</t>
  </si>
  <si>
    <t xml:space="preserve">RB-100290</t>
  </si>
  <si>
    <t xml:space="preserve">RB-100291</t>
  </si>
  <si>
    <t xml:space="preserve">RB-100292</t>
  </si>
  <si>
    <t xml:space="preserve">RB-100293</t>
  </si>
  <si>
    <t xml:space="preserve">Ironwood Workshop</t>
  </si>
  <si>
    <t xml:space="preserve">RB-100294</t>
  </si>
  <si>
    <t xml:space="preserve">Northgate Outlet 289</t>
  </si>
  <si>
    <t xml:space="preserve">RB-100295</t>
  </si>
  <si>
    <t xml:space="preserve">RB-100296</t>
  </si>
  <si>
    <t xml:space="preserve">RB-100297</t>
  </si>
  <si>
    <t xml:space="preserve">RB-100298</t>
  </si>
  <si>
    <t xml:space="preserve">RB-100299</t>
  </si>
  <si>
    <t xml:space="preserve">Kingsford Outlet 146</t>
  </si>
  <si>
    <t xml:space="preserve">RB-100300</t>
  </si>
  <si>
    <t xml:space="preserve">Eastwick Outlet 57</t>
  </si>
  <si>
    <t xml:space="preserve">RB-100301</t>
  </si>
  <si>
    <t xml:space="preserve">Northgate Outlet 306</t>
  </si>
  <si>
    <t xml:space="preserve">RB-100302</t>
  </si>
  <si>
    <t xml:space="preserve">Eastwick Outlet 90</t>
  </si>
  <si>
    <t xml:space="preserve">RB-100303</t>
  </si>
  <si>
    <t xml:space="preserve">Eastwick Outlet 155</t>
  </si>
  <si>
    <t xml:space="preserve">RB-100304</t>
  </si>
  <si>
    <t xml:space="preserve">RB-100305</t>
  </si>
  <si>
    <t xml:space="preserve">RB-100306</t>
  </si>
  <si>
    <t xml:space="preserve">RB-100307</t>
  </si>
  <si>
    <t xml:space="preserve">Stonebridge Outlet 10</t>
  </si>
  <si>
    <t xml:space="preserve">RB-100308</t>
  </si>
  <si>
    <t xml:space="preserve">Stonebridge Outlet 112</t>
  </si>
  <si>
    <t xml:space="preserve">RB-100309</t>
  </si>
  <si>
    <t xml:space="preserve">Eastwick Outlet 114</t>
  </si>
  <si>
    <t xml:space="preserve">RB-100310</t>
  </si>
  <si>
    <t xml:space="preserve">Stonebridge Outlet 13</t>
  </si>
  <si>
    <t xml:space="preserve">RB-100311</t>
  </si>
  <si>
    <t xml:space="preserve">Palm Grove Outlet 111</t>
  </si>
  <si>
    <t xml:space="preserve">RB-100312</t>
  </si>
  <si>
    <t xml:space="preserve">RB-100313</t>
  </si>
  <si>
    <t xml:space="preserve">RB-100314</t>
  </si>
  <si>
    <t xml:space="preserve">Ironwood Outlet 361</t>
  </si>
  <si>
    <t xml:space="preserve">RB-100315</t>
  </si>
  <si>
    <t xml:space="preserve">RB-100316</t>
  </si>
  <si>
    <t xml:space="preserve">Kingsford Farms</t>
  </si>
  <si>
    <t xml:space="preserve">RB-100317</t>
  </si>
  <si>
    <t xml:space="preserve">RB-100318</t>
  </si>
  <si>
    <t xml:space="preserve">Northgate Outlet 277</t>
  </si>
  <si>
    <t xml:space="preserve">RB-100319</t>
  </si>
  <si>
    <t xml:space="preserve">RB-100320</t>
  </si>
  <si>
    <t xml:space="preserve">Ironwood Outlet 295</t>
  </si>
  <si>
    <t xml:space="preserve">RB-100321</t>
  </si>
  <si>
    <t xml:space="preserve">Kingsford Motors</t>
  </si>
  <si>
    <t xml:space="preserve">RB-100322</t>
  </si>
  <si>
    <t xml:space="preserve">RB-100323</t>
  </si>
  <si>
    <t xml:space="preserve">RB-100324</t>
  </si>
  <si>
    <t xml:space="preserve">RB-100325</t>
  </si>
  <si>
    <t xml:space="preserve">RB-100326</t>
  </si>
  <si>
    <t xml:space="preserve">Ironwood Outlet 56</t>
  </si>
  <si>
    <t xml:space="preserve">RB-100327</t>
  </si>
  <si>
    <t xml:space="preserve">RB-100328</t>
  </si>
  <si>
    <t xml:space="preserve">RB-100329</t>
  </si>
  <si>
    <t xml:space="preserve">Ironwood Outlet 389</t>
  </si>
  <si>
    <t xml:space="preserve">RB-100330</t>
  </si>
  <si>
    <t xml:space="preserve">RB-100331</t>
  </si>
  <si>
    <t xml:space="preserve">Ironwood Outlet 126</t>
  </si>
  <si>
    <t xml:space="preserve">RB-100332</t>
  </si>
  <si>
    <t xml:space="preserve">RB-100333</t>
  </si>
  <si>
    <t xml:space="preserve">Stonebridge Bakery</t>
  </si>
  <si>
    <t xml:space="preserve">RB-100334</t>
  </si>
  <si>
    <t xml:space="preserve">Ironwood Outlet 211</t>
  </si>
  <si>
    <t xml:space="preserve">RB-100335</t>
  </si>
  <si>
    <t xml:space="preserve">Ironwood Outlet 215</t>
  </si>
  <si>
    <t xml:space="preserve">RB-100336</t>
  </si>
  <si>
    <t xml:space="preserve">RB-100337</t>
  </si>
  <si>
    <t xml:space="preserve">RB-100338</t>
  </si>
  <si>
    <t xml:space="preserve">Eastwick Outlet 96</t>
  </si>
  <si>
    <t xml:space="preserve">RB-100339</t>
  </si>
  <si>
    <t xml:space="preserve">Kingsford Outlet 132</t>
  </si>
  <si>
    <t xml:space="preserve">RB-100340</t>
  </si>
  <si>
    <t xml:space="preserve">Northgate Outlet 112</t>
  </si>
  <si>
    <t xml:space="preserve">RB-100341</t>
  </si>
  <si>
    <t xml:space="preserve">RB-100342</t>
  </si>
  <si>
    <t xml:space="preserve">RB-100343</t>
  </si>
  <si>
    <t xml:space="preserve">Palm Grove Outlet 22</t>
  </si>
  <si>
    <t xml:space="preserve">RB-100344</t>
  </si>
  <si>
    <t xml:space="preserve">RB-100345</t>
  </si>
  <si>
    <t xml:space="preserve">Northgate Outlet 131</t>
  </si>
  <si>
    <t xml:space="preserve">RB-100346</t>
  </si>
  <si>
    <t xml:space="preserve">RB-100347</t>
  </si>
  <si>
    <t xml:space="preserve">Northgate Outlet 104</t>
  </si>
  <si>
    <t xml:space="preserve">RB-100348</t>
  </si>
  <si>
    <t xml:space="preserve">RB-100349</t>
  </si>
  <si>
    <t xml:space="preserve">Stonebridge Outlet 89</t>
  </si>
  <si>
    <t xml:space="preserve">RB-100350</t>
  </si>
  <si>
    <t xml:space="preserve">RB-100351</t>
  </si>
  <si>
    <t xml:space="preserve">RB-100352</t>
  </si>
  <si>
    <t xml:space="preserve">Stonebridge Outlet 135</t>
  </si>
  <si>
    <t xml:space="preserve">RB-100353</t>
  </si>
  <si>
    <t xml:space="preserve">RB-100354</t>
  </si>
  <si>
    <t xml:space="preserve">Palm Grove Outlet 368</t>
  </si>
  <si>
    <t xml:space="preserve">RB-100355</t>
  </si>
  <si>
    <t xml:space="preserve">Eastwick Outlet 168</t>
  </si>
  <si>
    <t xml:space="preserve">RB-100356</t>
  </si>
  <si>
    <t xml:space="preserve">RB-100357</t>
  </si>
  <si>
    <t xml:space="preserve">Kingsford Outlet 65</t>
  </si>
  <si>
    <t xml:space="preserve">RB-100358</t>
  </si>
  <si>
    <t xml:space="preserve">RB-100359</t>
  </si>
  <si>
    <t xml:space="preserve">RB-100360</t>
  </si>
  <si>
    <t xml:space="preserve">Northgate Outlet 95</t>
  </si>
  <si>
    <t xml:space="preserve">RB-100361</t>
  </si>
  <si>
    <t xml:space="preserve">RB-100362</t>
  </si>
  <si>
    <t xml:space="preserve">Ironwood Outlet 79</t>
  </si>
  <si>
    <t xml:space="preserve">RB-100363</t>
  </si>
  <si>
    <t xml:space="preserve">Palm Grove Outlet 237</t>
  </si>
  <si>
    <t xml:space="preserve">RB-100364</t>
  </si>
  <si>
    <t xml:space="preserve">Northgate Outlet 290</t>
  </si>
  <si>
    <t xml:space="preserve">RB-100365</t>
  </si>
  <si>
    <t xml:space="preserve">RB-100366</t>
  </si>
  <si>
    <t xml:space="preserve">RB-100367</t>
  </si>
  <si>
    <t xml:space="preserve">RB-100368</t>
  </si>
  <si>
    <t xml:space="preserve">RB-100369</t>
  </si>
  <si>
    <t xml:space="preserve">Palm Grove Outlet 112</t>
  </si>
  <si>
    <t xml:space="preserve">RB-100370</t>
  </si>
  <si>
    <t xml:space="preserve">Eastwick Workshop</t>
  </si>
  <si>
    <t xml:space="preserve">RB-100371</t>
  </si>
  <si>
    <t xml:space="preserve">RB-100372</t>
  </si>
  <si>
    <t xml:space="preserve">Palm Grove Properties</t>
  </si>
  <si>
    <t xml:space="preserve">RB-100373</t>
  </si>
  <si>
    <t xml:space="preserve">RB-100374</t>
  </si>
  <si>
    <t xml:space="preserve">RB-100375</t>
  </si>
  <si>
    <t xml:space="preserve">Kingsford Outlet 308</t>
  </si>
  <si>
    <t xml:space="preserve">RB-100376</t>
  </si>
  <si>
    <t xml:space="preserve">RB-100377</t>
  </si>
  <si>
    <t xml:space="preserve">RB-100378</t>
  </si>
  <si>
    <t xml:space="preserve">RB-100379</t>
  </si>
  <si>
    <t xml:space="preserve">RB-100380</t>
  </si>
  <si>
    <t xml:space="preserve">Kingsford Outlet 204</t>
  </si>
  <si>
    <t xml:space="preserve">RB-100381</t>
  </si>
  <si>
    <t xml:space="preserve">Stonebridge Outlet 360</t>
  </si>
  <si>
    <t xml:space="preserve">RB-100382</t>
  </si>
  <si>
    <t xml:space="preserve">RB-100383</t>
  </si>
  <si>
    <t xml:space="preserve">RB-100384</t>
  </si>
  <si>
    <t xml:space="preserve">RB-100385</t>
  </si>
  <si>
    <t xml:space="preserve">RB-100386</t>
  </si>
  <si>
    <t xml:space="preserve">Kingsford Outlet 30</t>
  </si>
  <si>
    <t xml:space="preserve">RB-100387</t>
  </si>
  <si>
    <t xml:space="preserve">RB-100388</t>
  </si>
  <si>
    <t xml:space="preserve">RB-100389</t>
  </si>
  <si>
    <t xml:space="preserve">RB-100390</t>
  </si>
  <si>
    <t xml:space="preserve">Ironwood Outlet 5</t>
  </si>
  <si>
    <t xml:space="preserve">RB-100391</t>
  </si>
  <si>
    <t xml:space="preserve">RB-100392</t>
  </si>
  <si>
    <t xml:space="preserve">Eastwick Outlet 140</t>
  </si>
  <si>
    <t xml:space="preserve">RB-100393</t>
  </si>
  <si>
    <t xml:space="preserve">Ironwood Outlet 388</t>
  </si>
  <si>
    <t xml:space="preserve">RB-100394</t>
  </si>
  <si>
    <t xml:space="preserve">Palm Grove Outlet 54</t>
  </si>
  <si>
    <t xml:space="preserve">RB-100395</t>
  </si>
  <si>
    <t xml:space="preserve">Palm Grove Outlet 202</t>
  </si>
  <si>
    <t xml:space="preserve">RB-100396</t>
  </si>
  <si>
    <t xml:space="preserve">Kingsford Outlet 226</t>
  </si>
  <si>
    <t xml:space="preserve">RB-100397</t>
  </si>
  <si>
    <t xml:space="preserve">Eastwick Outlet 41</t>
  </si>
  <si>
    <t xml:space="preserve">RB-100398</t>
  </si>
  <si>
    <t xml:space="preserve">Ironwood Outlet 257</t>
  </si>
  <si>
    <t xml:space="preserve">RB-100399</t>
  </si>
  <si>
    <t xml:space="preserve">RB-100400</t>
  </si>
  <si>
    <t xml:space="preserve">Kingsford Outlet 249</t>
  </si>
  <si>
    <t xml:space="preserve">RB-100401</t>
  </si>
  <si>
    <t xml:space="preserve">RB-100402</t>
  </si>
  <si>
    <t xml:space="preserve">RB-100403</t>
  </si>
  <si>
    <t xml:space="preserve">Palm Grove Outlet 268</t>
  </si>
  <si>
    <t xml:space="preserve">RB-100404</t>
  </si>
  <si>
    <t xml:space="preserve">RB-100405</t>
  </si>
  <si>
    <t xml:space="preserve">RB-100406</t>
  </si>
  <si>
    <t xml:space="preserve">RB-100407</t>
  </si>
  <si>
    <t xml:space="preserve">Eastwick Outlet 62</t>
  </si>
  <si>
    <t xml:space="preserve">RB-100408</t>
  </si>
  <si>
    <t xml:space="preserve">Ironwood Outlet 312</t>
  </si>
  <si>
    <t xml:space="preserve">RB-100409</t>
  </si>
  <si>
    <t xml:space="preserve">RB-100410</t>
  </si>
  <si>
    <t xml:space="preserve">RB-100411</t>
  </si>
  <si>
    <t xml:space="preserve">RB-100412</t>
  </si>
  <si>
    <t xml:space="preserve">Kingsford Outlet 299</t>
  </si>
  <si>
    <t xml:space="preserve">RB-100413</t>
  </si>
  <si>
    <t xml:space="preserve">RB-100414</t>
  </si>
  <si>
    <t xml:space="preserve">RB-100415</t>
  </si>
  <si>
    <t xml:space="preserve">Stonebridge Outlet 338</t>
  </si>
  <si>
    <t xml:space="preserve">RB-100416</t>
  </si>
  <si>
    <t xml:space="preserve">Kingsford Outlet 331</t>
  </si>
  <si>
    <t xml:space="preserve">RB-100417</t>
  </si>
  <si>
    <t xml:space="preserve">RB-100418</t>
  </si>
  <si>
    <t xml:space="preserve">Stonebridge Outlet 362</t>
  </si>
  <si>
    <t xml:space="preserve">RB-100419</t>
  </si>
  <si>
    <t xml:space="preserve">Northgate Outlet 217</t>
  </si>
  <si>
    <t xml:space="preserve">RB-100420</t>
  </si>
  <si>
    <t xml:space="preserve">Kingsford Outlet 121</t>
  </si>
  <si>
    <t xml:space="preserve">RB-100421</t>
  </si>
  <si>
    <t xml:space="preserve">RB-100422</t>
  </si>
  <si>
    <t xml:space="preserve">Eastwick Bakery</t>
  </si>
  <si>
    <t xml:space="preserve">RB-100423</t>
  </si>
  <si>
    <t xml:space="preserve">RB-100424</t>
  </si>
  <si>
    <t xml:space="preserve">Kingsford Outlet 332</t>
  </si>
  <si>
    <t xml:space="preserve">RB-100425</t>
  </si>
  <si>
    <t xml:space="preserve">RB-100426</t>
  </si>
  <si>
    <t xml:space="preserve">Palm Grove Outlet 99</t>
  </si>
  <si>
    <t xml:space="preserve">RB-100427</t>
  </si>
  <si>
    <t xml:space="preserve">RB-100428</t>
  </si>
  <si>
    <t xml:space="preserve">RB-100429</t>
  </si>
  <si>
    <t xml:space="preserve">RB-100430</t>
  </si>
  <si>
    <t xml:space="preserve">RB-100431</t>
  </si>
  <si>
    <t xml:space="preserve">RB-100432</t>
  </si>
  <si>
    <t xml:space="preserve">Eastwick Outlet 121</t>
  </si>
  <si>
    <t xml:space="preserve">RB-100433</t>
  </si>
  <si>
    <t xml:space="preserve">Stonebridge Outlet 356</t>
  </si>
  <si>
    <t xml:space="preserve">RB-100434</t>
  </si>
  <si>
    <t xml:space="preserve">RB-100435</t>
  </si>
  <si>
    <t xml:space="preserve">RB-100436</t>
  </si>
  <si>
    <t xml:space="preserve">RB-100437</t>
  </si>
  <si>
    <t xml:space="preserve">RB-100438</t>
  </si>
  <si>
    <t xml:space="preserve">RB-100439</t>
  </si>
  <si>
    <t xml:space="preserve">RB-100440</t>
  </si>
  <si>
    <t xml:space="preserve">RB-100441</t>
  </si>
  <si>
    <t xml:space="preserve">Ironwood Outlet 332</t>
  </si>
  <si>
    <t xml:space="preserve">RB-100442</t>
  </si>
  <si>
    <t xml:space="preserve">Kingsford Outlet 199</t>
  </si>
  <si>
    <t xml:space="preserve">RB-100443</t>
  </si>
  <si>
    <t xml:space="preserve">Stonebridge Outlet 398</t>
  </si>
  <si>
    <t xml:space="preserve">RB-100444</t>
  </si>
  <si>
    <t xml:space="preserve">Kingsford Outlet 113</t>
  </si>
  <si>
    <t xml:space="preserve">RB-100445</t>
  </si>
  <si>
    <t xml:space="preserve">Stonebridge Outlet 154</t>
  </si>
  <si>
    <t xml:space="preserve">RB-100446</t>
  </si>
  <si>
    <t xml:space="preserve">RB-100447</t>
  </si>
  <si>
    <t xml:space="preserve">Palm Grove Outlet 338</t>
  </si>
  <si>
    <t xml:space="preserve">RB-100448</t>
  </si>
  <si>
    <t xml:space="preserve">Ironwood Outlet 267</t>
  </si>
  <si>
    <t xml:space="preserve">RB-100449</t>
  </si>
  <si>
    <t xml:space="preserve">Palm Grove Outlet 361</t>
  </si>
  <si>
    <t xml:space="preserve">RB-100450</t>
  </si>
  <si>
    <t xml:space="preserve">Palm Grove Outlet 59</t>
  </si>
  <si>
    <t xml:space="preserve">RB-100451</t>
  </si>
  <si>
    <t xml:space="preserve">Northgate Outlet 8</t>
  </si>
  <si>
    <t xml:space="preserve">RB-100452</t>
  </si>
  <si>
    <t xml:space="preserve">Northgate Outlet 212</t>
  </si>
  <si>
    <t xml:space="preserve">RB-100453</t>
  </si>
  <si>
    <t xml:space="preserve">Kingsford Outlet 348</t>
  </si>
  <si>
    <t xml:space="preserve">RB-100454</t>
  </si>
  <si>
    <t xml:space="preserve">RB-100455</t>
  </si>
  <si>
    <t xml:space="preserve">RB-100456</t>
  </si>
  <si>
    <t xml:space="preserve">Northgate Outlet 149</t>
  </si>
  <si>
    <t xml:space="preserve">RB-100457</t>
  </si>
  <si>
    <t xml:space="preserve">RB-100458</t>
  </si>
  <si>
    <t xml:space="preserve">RB-100459</t>
  </si>
  <si>
    <t xml:space="preserve">Stonebridge Outlet 348</t>
  </si>
  <si>
    <t xml:space="preserve">RB-100460</t>
  </si>
  <si>
    <t xml:space="preserve">RB-100461</t>
  </si>
  <si>
    <t xml:space="preserve">RB-100462</t>
  </si>
  <si>
    <t xml:space="preserve">RB-100463</t>
  </si>
  <si>
    <t xml:space="preserve">Ironwood Outlet 326</t>
  </si>
  <si>
    <t xml:space="preserve">RB-100464</t>
  </si>
  <si>
    <t xml:space="preserve">RB-100465</t>
  </si>
  <si>
    <t xml:space="preserve">RB-100466</t>
  </si>
  <si>
    <t xml:space="preserve">RB-100467</t>
  </si>
  <si>
    <t xml:space="preserve">RB-100468</t>
  </si>
  <si>
    <t xml:space="preserve">RB-100469</t>
  </si>
  <si>
    <t xml:space="preserve">RB-100470</t>
  </si>
  <si>
    <t xml:space="preserve">Ironwood Outlet 71</t>
  </si>
  <si>
    <t xml:space="preserve">RB-100471</t>
  </si>
  <si>
    <t xml:space="preserve">Ironwood Outlet 342</t>
  </si>
  <si>
    <t xml:space="preserve">RB-100472</t>
  </si>
  <si>
    <t xml:space="preserve">Stonebridge Outlet 100</t>
  </si>
  <si>
    <t xml:space="preserve">RB-100473</t>
  </si>
  <si>
    <t xml:space="preserve">RB-100474</t>
  </si>
  <si>
    <t xml:space="preserve">RB-100475</t>
  </si>
  <si>
    <t xml:space="preserve">RB-100476</t>
  </si>
  <si>
    <t xml:space="preserve">Northgate Outlet 167</t>
  </si>
  <si>
    <t xml:space="preserve">RB-100477</t>
  </si>
  <si>
    <t xml:space="preserve">Northgate Outlet 315</t>
  </si>
  <si>
    <t xml:space="preserve">RB-100478</t>
  </si>
  <si>
    <t xml:space="preserve">RB-100479</t>
  </si>
  <si>
    <t xml:space="preserve">Ironwood Outlet 58</t>
  </si>
  <si>
    <t xml:space="preserve">RB-100480</t>
  </si>
  <si>
    <t xml:space="preserve">RB-100481</t>
  </si>
  <si>
    <t xml:space="preserve">Ironwood Outlet 340</t>
  </si>
  <si>
    <t xml:space="preserve">RB-100482</t>
  </si>
  <si>
    <t xml:space="preserve">Ironwood Outlet 102</t>
  </si>
  <si>
    <t xml:space="preserve">RB-100483</t>
  </si>
  <si>
    <t xml:space="preserve">Stonebridge Outlet 145</t>
  </si>
  <si>
    <t xml:space="preserve">RB-100484</t>
  </si>
  <si>
    <t xml:space="preserve">RB-100485</t>
  </si>
  <si>
    <t xml:space="preserve">RB-100486</t>
  </si>
  <si>
    <t xml:space="preserve">Kingsford Outlet 105</t>
  </si>
  <si>
    <t xml:space="preserve">RB-100487</t>
  </si>
  <si>
    <t xml:space="preserve">RB-100488</t>
  </si>
  <si>
    <t xml:space="preserve">RB-100489</t>
  </si>
  <si>
    <t xml:space="preserve">Kingsford Outlet 232</t>
  </si>
  <si>
    <t xml:space="preserve">RB-100490</t>
  </si>
  <si>
    <t xml:space="preserve">Kingsford Outlet 212</t>
  </si>
  <si>
    <t xml:space="preserve">RB-100491</t>
  </si>
  <si>
    <t xml:space="preserve">Northgate Outlet 244</t>
  </si>
  <si>
    <t xml:space="preserve">RB-100492</t>
  </si>
  <si>
    <t xml:space="preserve">RB-100493</t>
  </si>
  <si>
    <t xml:space="preserve">Eastwick Outlet 94</t>
  </si>
  <si>
    <t xml:space="preserve">RB-100494</t>
  </si>
  <si>
    <t xml:space="preserve">RB-100495</t>
  </si>
  <si>
    <t xml:space="preserve">RB-100496</t>
  </si>
  <si>
    <t xml:space="preserve">RB-100497</t>
  </si>
  <si>
    <t xml:space="preserve">Stonebridge Outlet 118</t>
  </si>
  <si>
    <t xml:space="preserve">RB-100498</t>
  </si>
  <si>
    <t xml:space="preserve">RB-100499</t>
  </si>
  <si>
    <t xml:space="preserve">Kingsford Outlet 282</t>
  </si>
  <si>
    <t xml:space="preserve">RB-100500</t>
  </si>
  <si>
    <t xml:space="preserve">Eastwick Outlet 23</t>
  </si>
  <si>
    <t xml:space="preserve">RB-100501</t>
  </si>
  <si>
    <t xml:space="preserve">RB-100502</t>
  </si>
  <si>
    <t xml:space="preserve">Palm Grove Outlet 52</t>
  </si>
  <si>
    <t xml:space="preserve">RB-100503</t>
  </si>
  <si>
    <t xml:space="preserve">RB-100504</t>
  </si>
  <si>
    <t xml:space="preserve">Palm Grove Outlet 104</t>
  </si>
  <si>
    <t xml:space="preserve">RB-100505</t>
  </si>
  <si>
    <t xml:space="preserve">RB-100506</t>
  </si>
  <si>
    <t xml:space="preserve">Kingsford Outlet 59</t>
  </si>
  <si>
    <t xml:space="preserve">RB-100507</t>
  </si>
  <si>
    <t xml:space="preserve">RB-100508</t>
  </si>
  <si>
    <t xml:space="preserve">Kingsford Outlet 177</t>
  </si>
  <si>
    <t xml:space="preserve">RB-100509</t>
  </si>
  <si>
    <t xml:space="preserve">Stonebridge Outlet 343</t>
  </si>
  <si>
    <t xml:space="preserve">RB-100510</t>
  </si>
  <si>
    <t xml:space="preserve">RB-100511</t>
  </si>
  <si>
    <t xml:space="preserve">Eastwick Outlet 222</t>
  </si>
  <si>
    <t xml:space="preserve">RB-100512</t>
  </si>
  <si>
    <t xml:space="preserve">RB-100513</t>
  </si>
  <si>
    <t xml:space="preserve">Eastwick Outlet 63</t>
  </si>
  <si>
    <t xml:space="preserve">RB-100514</t>
  </si>
  <si>
    <t xml:space="preserve">RB-100515</t>
  </si>
  <si>
    <t xml:space="preserve">RB-100516</t>
  </si>
  <si>
    <t xml:space="preserve">RB-100517</t>
  </si>
  <si>
    <t xml:space="preserve">RB-100518</t>
  </si>
  <si>
    <t xml:space="preserve">RB-100519</t>
  </si>
  <si>
    <t xml:space="preserve">Kingsford Outlet 18</t>
  </si>
  <si>
    <t xml:space="preserve">RB-100520</t>
  </si>
  <si>
    <t xml:space="preserve">Ironwood Outlet 186</t>
  </si>
  <si>
    <t xml:space="preserve">RB-100521</t>
  </si>
  <si>
    <t xml:space="preserve">RB-100522</t>
  </si>
  <si>
    <t xml:space="preserve">RB-100523</t>
  </si>
  <si>
    <t xml:space="preserve">Northgate Outlet 243</t>
  </si>
  <si>
    <t xml:space="preserve">RB-100524</t>
  </si>
  <si>
    <t xml:space="preserve">Eastwick Outlet 176</t>
  </si>
  <si>
    <t xml:space="preserve">RB-100525</t>
  </si>
  <si>
    <t xml:space="preserve">Stonebridge Outlet 155</t>
  </si>
  <si>
    <t xml:space="preserve">RB-100526</t>
  </si>
  <si>
    <t xml:space="preserve">RB-100527</t>
  </si>
  <si>
    <t xml:space="preserve">RB-100528</t>
  </si>
  <si>
    <t xml:space="preserve">RB-100529</t>
  </si>
  <si>
    <t xml:space="preserve">RB-100530</t>
  </si>
  <si>
    <t xml:space="preserve">Palm Grove Outlet 161</t>
  </si>
  <si>
    <t xml:space="preserve">RB-100531</t>
  </si>
  <si>
    <t xml:space="preserve">RB-100532</t>
  </si>
  <si>
    <t xml:space="preserve">RB-100533</t>
  </si>
  <si>
    <t xml:space="preserve">RB-100534</t>
  </si>
  <si>
    <t xml:space="preserve">Kingsford Outlet 53</t>
  </si>
  <si>
    <t xml:space="preserve">RB-100535</t>
  </si>
  <si>
    <t xml:space="preserve">RB-100536</t>
  </si>
  <si>
    <t xml:space="preserve">RB-100537</t>
  </si>
  <si>
    <t xml:space="preserve">Northgate Outlet 154</t>
  </si>
  <si>
    <t xml:space="preserve">RB-100538</t>
  </si>
  <si>
    <t xml:space="preserve">Palm Grove Outlet 313</t>
  </si>
  <si>
    <t xml:space="preserve">RB-100539</t>
  </si>
  <si>
    <t xml:space="preserve">Stonebridge Outlet 314</t>
  </si>
  <si>
    <t xml:space="preserve">RB-100540</t>
  </si>
  <si>
    <t xml:space="preserve">RB-100541</t>
  </si>
  <si>
    <t xml:space="preserve">Northgate Outlet 126</t>
  </si>
  <si>
    <t xml:space="preserve">RB-100542</t>
  </si>
  <si>
    <t xml:space="preserve">Kingsford Outlet 222</t>
  </si>
  <si>
    <t xml:space="preserve">RB-100543</t>
  </si>
  <si>
    <t xml:space="preserve">Kingsford Outlet 100</t>
  </si>
  <si>
    <t xml:space="preserve">RB-100544</t>
  </si>
  <si>
    <t xml:space="preserve">RB-100545</t>
  </si>
  <si>
    <t xml:space="preserve">Stonebridge Outlet 248</t>
  </si>
  <si>
    <t xml:space="preserve">RB-100546</t>
  </si>
  <si>
    <t xml:space="preserve">Stonebridge Outlet 45</t>
  </si>
  <si>
    <t xml:space="preserve">RB-100547</t>
  </si>
  <si>
    <t xml:space="preserve">Kingsford Outlet 286</t>
  </si>
  <si>
    <t xml:space="preserve">RB-100548</t>
  </si>
  <si>
    <t xml:space="preserve">Ironwood Outlet 109</t>
  </si>
  <si>
    <t xml:space="preserve">RB-100549</t>
  </si>
  <si>
    <t xml:space="preserve">RB-100550</t>
  </si>
  <si>
    <t xml:space="preserve">RB-100551</t>
  </si>
  <si>
    <t xml:space="preserve">Palm Grove Outlet 353</t>
  </si>
  <si>
    <t xml:space="preserve">RB-100552</t>
  </si>
  <si>
    <t xml:space="preserve">Palm Grove Outlet 364</t>
  </si>
  <si>
    <t xml:space="preserve">RB-100553</t>
  </si>
  <si>
    <t xml:space="preserve">RB-100554</t>
  </si>
  <si>
    <t xml:space="preserve">Ironwood Outlet 167</t>
  </si>
  <si>
    <t xml:space="preserve">RB-100555</t>
  </si>
  <si>
    <t xml:space="preserve">RB-100556</t>
  </si>
  <si>
    <t xml:space="preserve">RB-100557</t>
  </si>
  <si>
    <t xml:space="preserve">RB-100558</t>
  </si>
  <si>
    <t xml:space="preserve">RB-100559</t>
  </si>
  <si>
    <t xml:space="preserve">Stonebridge Outlet 245</t>
  </si>
  <si>
    <t xml:space="preserve">RB-100560</t>
  </si>
  <si>
    <t xml:space="preserve">Eastwick Outlet 282</t>
  </si>
  <si>
    <t xml:space="preserve">RB-100561</t>
  </si>
  <si>
    <t xml:space="preserve">Northgate Outlet 209</t>
  </si>
  <si>
    <t xml:space="preserve">RB-100562</t>
  </si>
  <si>
    <t xml:space="preserve">RB-100563</t>
  </si>
  <si>
    <t xml:space="preserve">RB-100564</t>
  </si>
  <si>
    <t xml:space="preserve">Palm Grove Outlet 68</t>
  </si>
  <si>
    <t xml:space="preserve">RB-100565</t>
  </si>
  <si>
    <t xml:space="preserve">Ironwood Outlet 149</t>
  </si>
  <si>
    <t xml:space="preserve">RB-100566</t>
  </si>
  <si>
    <t xml:space="preserve">Northgate Outlet 255</t>
  </si>
  <si>
    <t xml:space="preserve">RB-100567</t>
  </si>
  <si>
    <t xml:space="preserve">RB-100568</t>
  </si>
  <si>
    <t xml:space="preserve">Ironwood Outlet 208</t>
  </si>
  <si>
    <t xml:space="preserve">RB-100569</t>
  </si>
  <si>
    <t xml:space="preserve">Eastwick Outlet 337</t>
  </si>
  <si>
    <t xml:space="preserve">RB-100570</t>
  </si>
  <si>
    <t xml:space="preserve">RB-100571</t>
  </si>
  <si>
    <t xml:space="preserve">Northgate Outlet 136</t>
  </si>
  <si>
    <t xml:space="preserve">RB-100572</t>
  </si>
  <si>
    <t xml:space="preserve">RB-100573</t>
  </si>
  <si>
    <t xml:space="preserve">RB-100574</t>
  </si>
  <si>
    <t xml:space="preserve">Northgate Outlet 101</t>
  </si>
  <si>
    <t xml:space="preserve">RB-100575</t>
  </si>
  <si>
    <t xml:space="preserve">RB-100576</t>
  </si>
  <si>
    <t xml:space="preserve">RB-100577</t>
  </si>
  <si>
    <t xml:space="preserve">RB-100578</t>
  </si>
  <si>
    <t xml:space="preserve">RB-100579</t>
  </si>
  <si>
    <t xml:space="preserve">Palm Grove Outlet 185</t>
  </si>
  <si>
    <t xml:space="preserve">RB-100580</t>
  </si>
  <si>
    <t xml:space="preserve">Palm Grove Outlet 73</t>
  </si>
  <si>
    <t xml:space="preserve">RB-100581</t>
  </si>
  <si>
    <t xml:space="preserve">RB-100582</t>
  </si>
  <si>
    <t xml:space="preserve">RB-100583</t>
  </si>
  <si>
    <t xml:space="preserve">RB-100584</t>
  </si>
  <si>
    <t xml:space="preserve">Eastwick Outlet 99</t>
  </si>
  <si>
    <t xml:space="preserve">RB-100585</t>
  </si>
  <si>
    <t xml:space="preserve">Eastwick Outlet 149</t>
  </si>
  <si>
    <t xml:space="preserve">RB-100586</t>
  </si>
  <si>
    <t xml:space="preserve">RB-100587</t>
  </si>
  <si>
    <t xml:space="preserve">RB-100588</t>
  </si>
  <si>
    <t xml:space="preserve">Kingsford Outlet 15</t>
  </si>
  <si>
    <t xml:space="preserve">RB-100589</t>
  </si>
  <si>
    <t xml:space="preserve">RB-100590</t>
  </si>
  <si>
    <t xml:space="preserve">RB-100591</t>
  </si>
  <si>
    <t xml:space="preserve">RB-100592</t>
  </si>
  <si>
    <t xml:space="preserve">RB-100593</t>
  </si>
  <si>
    <t xml:space="preserve">Eastwick Outlet 319</t>
  </si>
  <si>
    <t xml:space="preserve">RB-100594</t>
  </si>
  <si>
    <t xml:space="preserve">RB-100595</t>
  </si>
  <si>
    <t xml:space="preserve">Eastwick Outlet 248</t>
  </si>
  <si>
    <t xml:space="preserve">RB-100596</t>
  </si>
  <si>
    <t xml:space="preserve">RB-100597</t>
  </si>
  <si>
    <t xml:space="preserve">Stonebridge Outlet 1</t>
  </si>
  <si>
    <t xml:space="preserve">RB-100598</t>
  </si>
  <si>
    <t xml:space="preserve">Kingsford Outlet 47</t>
  </si>
  <si>
    <t xml:space="preserve">RB-100599</t>
  </si>
  <si>
    <t xml:space="preserve">Palm Grove Outlet 274</t>
  </si>
  <si>
    <t xml:space="preserve">RB-100600</t>
  </si>
  <si>
    <t xml:space="preserve">RB-100601</t>
  </si>
  <si>
    <t xml:space="preserve">Palm Grove Outlet 143</t>
  </si>
  <si>
    <t xml:space="preserve">RB-100602</t>
  </si>
  <si>
    <t xml:space="preserve">RB-100603</t>
  </si>
  <si>
    <t xml:space="preserve">Kingsford Outlet 320</t>
  </si>
  <si>
    <t xml:space="preserve">RB-100604</t>
  </si>
  <si>
    <t xml:space="preserve">RB-100605</t>
  </si>
  <si>
    <t xml:space="preserve">RB-100606</t>
  </si>
  <si>
    <t xml:space="preserve">Eastwick Outlet 318</t>
  </si>
  <si>
    <t xml:space="preserve">RB-100607</t>
  </si>
  <si>
    <t xml:space="preserve">RB-100608</t>
  </si>
  <si>
    <t xml:space="preserve">RB-100609</t>
  </si>
  <si>
    <t xml:space="preserve">Ironwood Outlet 178</t>
  </si>
  <si>
    <t xml:space="preserve">RB-100610</t>
  </si>
  <si>
    <t xml:space="preserve">RB-100611</t>
  </si>
  <si>
    <t xml:space="preserve">Palm Grove Outlet 238</t>
  </si>
  <si>
    <t xml:space="preserve">RB-100612</t>
  </si>
  <si>
    <t xml:space="preserve">Ironwood Outlet 175</t>
  </si>
  <si>
    <t xml:space="preserve">RB-100613</t>
  </si>
  <si>
    <t xml:space="preserve">RB-100614</t>
  </si>
  <si>
    <t xml:space="preserve">Stonebridge Outlet 355</t>
  </si>
  <si>
    <t xml:space="preserve">RB-100615</t>
  </si>
  <si>
    <t xml:space="preserve">RB-100616</t>
  </si>
  <si>
    <t xml:space="preserve">RB-100617</t>
  </si>
  <si>
    <t xml:space="preserve">Ironwood Outlet 207</t>
  </si>
  <si>
    <t xml:space="preserve">RB-100618</t>
  </si>
  <si>
    <t xml:space="preserve">RB-100619</t>
  </si>
  <si>
    <t xml:space="preserve">RB-100620</t>
  </si>
  <si>
    <t xml:space="preserve">Ironwood Outlet 219</t>
  </si>
  <si>
    <t xml:space="preserve">RB-100621</t>
  </si>
  <si>
    <t xml:space="preserve">Kingsford Outlet 393</t>
  </si>
  <si>
    <t xml:space="preserve">RB-100622</t>
  </si>
  <si>
    <t xml:space="preserve">RB-100623</t>
  </si>
  <si>
    <t xml:space="preserve">RB-100624</t>
  </si>
  <si>
    <t xml:space="preserve">RB-100625</t>
  </si>
  <si>
    <t xml:space="preserve">Palm Grove Outlet 78</t>
  </si>
  <si>
    <t xml:space="preserve">RB-100626</t>
  </si>
  <si>
    <t xml:space="preserve">Kingsford Outlet 266</t>
  </si>
  <si>
    <t xml:space="preserve">RB-100627</t>
  </si>
  <si>
    <t xml:space="preserve">Northgate Outlet 303</t>
  </si>
  <si>
    <t xml:space="preserve">RB-100628</t>
  </si>
  <si>
    <t xml:space="preserve">Northgate Outlet 141</t>
  </si>
  <si>
    <t xml:space="preserve">RB-100629</t>
  </si>
  <si>
    <t xml:space="preserve">Kingsford Outlet 170</t>
  </si>
  <si>
    <t xml:space="preserve">RB-100630</t>
  </si>
  <si>
    <t xml:space="preserve">RB-100631</t>
  </si>
  <si>
    <t xml:space="preserve">Ironwood Outlet 234</t>
  </si>
  <si>
    <t xml:space="preserve">RB-100632</t>
  </si>
  <si>
    <t xml:space="preserve">RB-100633</t>
  </si>
  <si>
    <t xml:space="preserve">RB-100634</t>
  </si>
  <si>
    <t xml:space="preserve">RB-100635</t>
  </si>
  <si>
    <t xml:space="preserve">Northgate Outlet 17</t>
  </si>
  <si>
    <t xml:space="preserve">RB-100636</t>
  </si>
  <si>
    <t xml:space="preserve">Kingsford Outlet 68</t>
  </si>
  <si>
    <t xml:space="preserve">RB-100637</t>
  </si>
  <si>
    <t xml:space="preserve">Stonebridge Outlet 225</t>
  </si>
  <si>
    <t xml:space="preserve">RB-100638</t>
  </si>
  <si>
    <t xml:space="preserve">RB-100639</t>
  </si>
  <si>
    <t xml:space="preserve">RB-100640</t>
  </si>
  <si>
    <t xml:space="preserve">Kingsford Outlet 400</t>
  </si>
  <si>
    <t xml:space="preserve">RB-100641</t>
  </si>
  <si>
    <t xml:space="preserve">Kingsford Outlet 31</t>
  </si>
  <si>
    <t xml:space="preserve">RB-100642</t>
  </si>
  <si>
    <t xml:space="preserve">Eastwick Trading</t>
  </si>
  <si>
    <t xml:space="preserve">RB-100643</t>
  </si>
  <si>
    <t xml:space="preserve">RB-100644</t>
  </si>
  <si>
    <t xml:space="preserve">Eastwick Outlet 144</t>
  </si>
  <si>
    <t xml:space="preserve">RB-100645</t>
  </si>
  <si>
    <t xml:space="preserve">Eastwick Outlet 186</t>
  </si>
  <si>
    <t xml:space="preserve">RB-100646</t>
  </si>
  <si>
    <t xml:space="preserve">RB-100647</t>
  </si>
  <si>
    <t xml:space="preserve">RB-100648</t>
  </si>
  <si>
    <t xml:space="preserve">RB-100649</t>
  </si>
  <si>
    <t xml:space="preserve">RB-100650</t>
  </si>
  <si>
    <t xml:space="preserve">RB-100651</t>
  </si>
  <si>
    <t xml:space="preserve">RB-100652</t>
  </si>
  <si>
    <t xml:space="preserve">RB-100653</t>
  </si>
  <si>
    <t xml:space="preserve">Ironwood Outlet 114</t>
  </si>
  <si>
    <t xml:space="preserve">RB-100654</t>
  </si>
  <si>
    <t xml:space="preserve">Eastwick Outlet 35</t>
  </si>
  <si>
    <t xml:space="preserve">RB-100655</t>
  </si>
  <si>
    <t xml:space="preserve">Northgate Outlet 2</t>
  </si>
  <si>
    <t xml:space="preserve">RB-100656</t>
  </si>
  <si>
    <t xml:space="preserve">RB-100657</t>
  </si>
  <si>
    <t xml:space="preserve">Northgate Outlet 329</t>
  </si>
  <si>
    <t xml:space="preserve">RB-100658</t>
  </si>
  <si>
    <t xml:space="preserve">RB-100659</t>
  </si>
  <si>
    <t xml:space="preserve">RB-100660</t>
  </si>
  <si>
    <t xml:space="preserve">RB-100661</t>
  </si>
  <si>
    <t xml:space="preserve">Stonebridge Outlet 357</t>
  </si>
  <si>
    <t xml:space="preserve">RB-100662</t>
  </si>
  <si>
    <t xml:space="preserve">Northgate Outlet 269</t>
  </si>
  <si>
    <t xml:space="preserve">RB-100663</t>
  </si>
  <si>
    <t xml:space="preserve">Kingsford Outlet 48</t>
  </si>
  <si>
    <t xml:space="preserve">RB-100664</t>
  </si>
  <si>
    <t xml:space="preserve">Eastwick Outlet 8</t>
  </si>
  <si>
    <t xml:space="preserve">RB-100665</t>
  </si>
  <si>
    <t xml:space="preserve">Palm Grove Outlet 62</t>
  </si>
  <si>
    <t xml:space="preserve">RB-100666</t>
  </si>
  <si>
    <t xml:space="preserve">Stonebridge Outlet 8</t>
  </si>
  <si>
    <t xml:space="preserve">RB-100667</t>
  </si>
  <si>
    <t xml:space="preserve">RB-100668</t>
  </si>
  <si>
    <t xml:space="preserve">Eastwick Outlet 301</t>
  </si>
  <si>
    <t xml:space="preserve">RB-100669</t>
  </si>
  <si>
    <t xml:space="preserve">Palm Grove Outlet 382</t>
  </si>
  <si>
    <t xml:space="preserve">RB-100670</t>
  </si>
  <si>
    <t xml:space="preserve">RB-100671</t>
  </si>
  <si>
    <t xml:space="preserve">Palm Grove Outlet 33</t>
  </si>
  <si>
    <t xml:space="preserve">RB-100672</t>
  </si>
  <si>
    <t xml:space="preserve">RB-100673</t>
  </si>
  <si>
    <t xml:space="preserve">RB-100674</t>
  </si>
  <si>
    <t xml:space="preserve">RB-100675</t>
  </si>
  <si>
    <t xml:space="preserve">RB-100676</t>
  </si>
  <si>
    <t xml:space="preserve">RB-100677</t>
  </si>
  <si>
    <t xml:space="preserve">RB-100678</t>
  </si>
  <si>
    <t xml:space="preserve">Eastwick Outlet 291</t>
  </si>
  <si>
    <t xml:space="preserve">RB-100679</t>
  </si>
  <si>
    <t xml:space="preserve">RB-100680</t>
  </si>
  <si>
    <t xml:space="preserve">Eastwick Outlet 320</t>
  </si>
  <si>
    <t xml:space="preserve">RB-100681</t>
  </si>
  <si>
    <t xml:space="preserve">Eastwick Outlet 31</t>
  </si>
  <si>
    <t xml:space="preserve">RB-100682</t>
  </si>
  <si>
    <t xml:space="preserve">RB-100683</t>
  </si>
  <si>
    <t xml:space="preserve">RB-100684</t>
  </si>
  <si>
    <t xml:space="preserve">Stonebridge Outlet 7</t>
  </si>
  <si>
    <t xml:space="preserve">RB-100685</t>
  </si>
  <si>
    <t xml:space="preserve">Palm Grove Outlet 387</t>
  </si>
  <si>
    <t xml:space="preserve">RB-100686</t>
  </si>
  <si>
    <t xml:space="preserve">RB-100687</t>
  </si>
  <si>
    <t xml:space="preserve">RB-100688</t>
  </si>
  <si>
    <t xml:space="preserve">Northgate Outlet 338</t>
  </si>
  <si>
    <t xml:space="preserve">RB-100689</t>
  </si>
  <si>
    <t xml:space="preserve">RB-100690</t>
  </si>
  <si>
    <t xml:space="preserve">RB-100691</t>
  </si>
  <si>
    <t xml:space="preserve">RB-100692</t>
  </si>
  <si>
    <t xml:space="preserve">RB-100693</t>
  </si>
  <si>
    <t xml:space="preserve">RB-100694</t>
  </si>
  <si>
    <t xml:space="preserve">RB-100695</t>
  </si>
  <si>
    <t xml:space="preserve">RB-100696</t>
  </si>
  <si>
    <t xml:space="preserve">Eastwick Outlet 46</t>
  </si>
  <si>
    <t xml:space="preserve">RB-100697</t>
  </si>
  <si>
    <t xml:space="preserve">RB-100698</t>
  </si>
  <si>
    <t xml:space="preserve">RB-100699</t>
  </si>
  <si>
    <t xml:space="preserve">Palm Grove Outlet 163</t>
  </si>
  <si>
    <t xml:space="preserve">RB-100700</t>
  </si>
  <si>
    <t xml:space="preserve">Ironwood Outlet 21</t>
  </si>
  <si>
    <t xml:space="preserve">RB-100701</t>
  </si>
  <si>
    <t xml:space="preserve">Palm Grove Outlet 385</t>
  </si>
  <si>
    <t xml:space="preserve">RB-100702</t>
  </si>
  <si>
    <t xml:space="preserve">RB-100703</t>
  </si>
  <si>
    <t xml:space="preserve">RB-100704</t>
  </si>
  <si>
    <t xml:space="preserve">RB-100705</t>
  </si>
  <si>
    <t xml:space="preserve">RB-100706</t>
  </si>
  <si>
    <t xml:space="preserve">RB-100707</t>
  </si>
  <si>
    <t xml:space="preserve">RB-100708</t>
  </si>
  <si>
    <t xml:space="preserve">Kingsford Outlet 61</t>
  </si>
  <si>
    <t xml:space="preserve">RB-100709</t>
  </si>
  <si>
    <t xml:space="preserve">Palm Grove Outlet 376</t>
  </si>
  <si>
    <t xml:space="preserve">RB-100710</t>
  </si>
  <si>
    <t xml:space="preserve">RB-100711</t>
  </si>
  <si>
    <t xml:space="preserve">RB-100712</t>
  </si>
  <si>
    <t xml:space="preserve">RB-100713</t>
  </si>
  <si>
    <t xml:space="preserve">Northgate Outlet 162</t>
  </si>
  <si>
    <t xml:space="preserve">RB-100714</t>
  </si>
  <si>
    <t xml:space="preserve">Stonebridge Outlet 120</t>
  </si>
  <si>
    <t xml:space="preserve">RB-100715</t>
  </si>
  <si>
    <t xml:space="preserve">RB-100716</t>
  </si>
  <si>
    <t xml:space="preserve">RB-100717</t>
  </si>
  <si>
    <t xml:space="preserve">RB-100718</t>
  </si>
  <si>
    <t xml:space="preserve">Palm Grove Outlet 363</t>
  </si>
  <si>
    <t xml:space="preserve">RB-100719</t>
  </si>
  <si>
    <t xml:space="preserve">Kingsford Outlet 252</t>
  </si>
  <si>
    <t xml:space="preserve">RB-100720</t>
  </si>
  <si>
    <t xml:space="preserve">RB-100721</t>
  </si>
  <si>
    <t xml:space="preserve">Northgate Outlet 228</t>
  </si>
  <si>
    <t xml:space="preserve">RB-100722</t>
  </si>
  <si>
    <t xml:space="preserve">Ironwood Outlet 72</t>
  </si>
  <si>
    <t xml:space="preserve">RB-100723</t>
  </si>
  <si>
    <t xml:space="preserve">Ironwood Outlet 327</t>
  </si>
  <si>
    <t xml:space="preserve">RB-100724</t>
  </si>
  <si>
    <t xml:space="preserve">RB-100725</t>
  </si>
  <si>
    <t xml:space="preserve">RB-100726</t>
  </si>
  <si>
    <t xml:space="preserve">RB-100727</t>
  </si>
  <si>
    <t xml:space="preserve">RB-100728</t>
  </si>
  <si>
    <t xml:space="preserve">RB-100729</t>
  </si>
  <si>
    <t xml:space="preserve">RB-100730</t>
  </si>
  <si>
    <t xml:space="preserve">RB-100731</t>
  </si>
  <si>
    <t xml:space="preserve">RB-100732</t>
  </si>
  <si>
    <t xml:space="preserve">Palm Grove Outlet 92</t>
  </si>
  <si>
    <t xml:space="preserve">RB-100733</t>
  </si>
  <si>
    <t xml:space="preserve">Northgate Outlet 122</t>
  </si>
  <si>
    <t xml:space="preserve">RB-100734</t>
  </si>
  <si>
    <t xml:space="preserve">Kingsford Outlet 223</t>
  </si>
  <si>
    <t xml:space="preserve">RB-100735</t>
  </si>
  <si>
    <t xml:space="preserve">RB-100736</t>
  </si>
  <si>
    <t xml:space="preserve">RB-100737</t>
  </si>
  <si>
    <t xml:space="preserve">Palm Grove Outlet 63</t>
  </si>
  <si>
    <t xml:space="preserve">RB-100738</t>
  </si>
  <si>
    <t xml:space="preserve">Eastwick Outlet 292</t>
  </si>
  <si>
    <t xml:space="preserve">RB-100739</t>
  </si>
  <si>
    <t xml:space="preserve">Stonebridge Outlet 138</t>
  </si>
  <si>
    <t xml:space="preserve">RB-100740</t>
  </si>
  <si>
    <t xml:space="preserve">RB-100741</t>
  </si>
  <si>
    <t xml:space="preserve">Palm Grove Outlet 305</t>
  </si>
  <si>
    <t xml:space="preserve">RB-100742</t>
  </si>
  <si>
    <t xml:space="preserve">RB-100743</t>
  </si>
  <si>
    <t xml:space="preserve">Stonebridge Outlet 290</t>
  </si>
  <si>
    <t xml:space="preserve">RB-100744</t>
  </si>
  <si>
    <t xml:space="preserve">RB-100745</t>
  </si>
  <si>
    <t xml:space="preserve">RB-100746</t>
  </si>
  <si>
    <t xml:space="preserve">Stonebridge Outlet 44</t>
  </si>
  <si>
    <t xml:space="preserve">RB-100747</t>
  </si>
  <si>
    <t xml:space="preserve">RB-100748</t>
  </si>
  <si>
    <t xml:space="preserve">RB-100749</t>
  </si>
  <si>
    <t xml:space="preserve">RB-100750</t>
  </si>
  <si>
    <t xml:space="preserve">Kingsford Outlet 178</t>
  </si>
  <si>
    <t xml:space="preserve">RB-100751</t>
  </si>
  <si>
    <t xml:space="preserve">Palm Grove Outlet 351</t>
  </si>
  <si>
    <t xml:space="preserve">RB-100752</t>
  </si>
  <si>
    <t xml:space="preserve">RB-100753</t>
  </si>
  <si>
    <t xml:space="preserve">RB-100754</t>
  </si>
  <si>
    <t xml:space="preserve">Ironwood Outlet 174</t>
  </si>
  <si>
    <t xml:space="preserve">RB-100755</t>
  </si>
  <si>
    <t xml:space="preserve">Stonebridge Outlet 171</t>
  </si>
  <si>
    <t xml:space="preserve">RB-100756</t>
  </si>
  <si>
    <t xml:space="preserve">RB-100757</t>
  </si>
  <si>
    <t xml:space="preserve">Stonebridge Outlet 327</t>
  </si>
  <si>
    <t xml:space="preserve">RB-100758</t>
  </si>
  <si>
    <t xml:space="preserve">RB-100759</t>
  </si>
  <si>
    <t xml:space="preserve">RB-100760</t>
  </si>
  <si>
    <t xml:space="preserve">Northgate Outlet 295</t>
  </si>
  <si>
    <t xml:space="preserve">RB-100761</t>
  </si>
  <si>
    <t xml:space="preserve">Northgate Outlet 98</t>
  </si>
  <si>
    <t xml:space="preserve">RB-100762</t>
  </si>
  <si>
    <t xml:space="preserve">RB-100763</t>
  </si>
  <si>
    <t xml:space="preserve">RB-100764</t>
  </si>
  <si>
    <t xml:space="preserve">Kingsford Outlet 268</t>
  </si>
  <si>
    <t xml:space="preserve">RB-100765</t>
  </si>
  <si>
    <t xml:space="preserve">Northgate Outlet 330</t>
  </si>
  <si>
    <t xml:space="preserve">RB-100766</t>
  </si>
  <si>
    <t xml:space="preserve">Kingsford Outlet 346</t>
  </si>
  <si>
    <t xml:space="preserve">RB-100767</t>
  </si>
  <si>
    <t xml:space="preserve">RB-100768</t>
  </si>
  <si>
    <t xml:space="preserve">Northgate Outlet 197</t>
  </si>
  <si>
    <t xml:space="preserve">RB-100769</t>
  </si>
  <si>
    <t xml:space="preserve">RB-100770</t>
  </si>
  <si>
    <t xml:space="preserve">RB-100771</t>
  </si>
  <si>
    <t xml:space="preserve">RB-100772</t>
  </si>
  <si>
    <t xml:space="preserve">Eastwick Outlet 32</t>
  </si>
  <si>
    <t xml:space="preserve">RB-100773</t>
  </si>
  <si>
    <t xml:space="preserve">RB-100774</t>
  </si>
  <si>
    <t xml:space="preserve">RB-100775</t>
  </si>
  <si>
    <t xml:space="preserve">RB-100776</t>
  </si>
  <si>
    <t xml:space="preserve">RB-100777</t>
  </si>
  <si>
    <t xml:space="preserve">Stonebridge Outlet 97</t>
  </si>
  <si>
    <t xml:space="preserve">RB-100778</t>
  </si>
  <si>
    <t xml:space="preserve">RB-100779</t>
  </si>
  <si>
    <t xml:space="preserve">RB-100780</t>
  </si>
  <si>
    <t xml:space="preserve">RB-100781</t>
  </si>
  <si>
    <t xml:space="preserve">RB-100782</t>
  </si>
  <si>
    <t xml:space="preserve">Palm Grove Outlet 336</t>
  </si>
  <si>
    <t xml:space="preserve">RB-100783</t>
  </si>
  <si>
    <t xml:space="preserve">RB-100784</t>
  </si>
  <si>
    <t xml:space="preserve">Stonebridge Outlet 131</t>
  </si>
  <si>
    <t xml:space="preserve">RB-100785</t>
  </si>
  <si>
    <t xml:space="preserve">Ironwood Outlet 366</t>
  </si>
  <si>
    <t xml:space="preserve">RB-100786</t>
  </si>
  <si>
    <t xml:space="preserve">RB-100787</t>
  </si>
  <si>
    <t xml:space="preserve">RB-100788</t>
  </si>
  <si>
    <t xml:space="preserve">Northgate Outlet 344</t>
  </si>
  <si>
    <t xml:space="preserve">RB-100789</t>
  </si>
  <si>
    <t xml:space="preserve">RB-100790</t>
  </si>
  <si>
    <t xml:space="preserve">RB-100791</t>
  </si>
  <si>
    <t xml:space="preserve">RB-100792</t>
  </si>
  <si>
    <t xml:space="preserve">Eastwick Outlet 233</t>
  </si>
  <si>
    <t xml:space="preserve">RB-100793</t>
  </si>
  <si>
    <t xml:space="preserve">Palm Grove Outlet 132</t>
  </si>
  <si>
    <t xml:space="preserve">RB-100794</t>
  </si>
  <si>
    <t xml:space="preserve">Eastwick Outlet 3</t>
  </si>
  <si>
    <t xml:space="preserve">RB-100795</t>
  </si>
  <si>
    <t xml:space="preserve">RB-100796</t>
  </si>
  <si>
    <t xml:space="preserve">Northgate Outlet 302</t>
  </si>
  <si>
    <t xml:space="preserve">RB-100797</t>
  </si>
  <si>
    <t xml:space="preserve">RB-100798</t>
  </si>
  <si>
    <t xml:space="preserve">Northgate Outlet 273</t>
  </si>
  <si>
    <t xml:space="preserve">RB-100799</t>
  </si>
  <si>
    <t xml:space="preserve">Kingsford Outlet 12</t>
  </si>
  <si>
    <t xml:space="preserve">RB-100800</t>
  </si>
  <si>
    <t xml:space="preserve">Stonebridge Outlet 321</t>
  </si>
  <si>
    <t xml:space="preserve">RB-100801</t>
  </si>
  <si>
    <t xml:space="preserve">RB-100802</t>
  </si>
  <si>
    <t xml:space="preserve">RB-100803</t>
  </si>
  <si>
    <t xml:space="preserve">Eastwick Outlet 77</t>
  </si>
  <si>
    <t xml:space="preserve">RB-100804</t>
  </si>
  <si>
    <t xml:space="preserve">RB-100805</t>
  </si>
  <si>
    <t xml:space="preserve">Palm Grove Outlet 264</t>
  </si>
  <si>
    <t xml:space="preserve">RB-100806</t>
  </si>
  <si>
    <t xml:space="preserve">Palm Grove Outlet 383</t>
  </si>
  <si>
    <t xml:space="preserve">RB-100807</t>
  </si>
  <si>
    <t xml:space="preserve">RB-100808</t>
  </si>
  <si>
    <t xml:space="preserve">Eastwick Outlet 293</t>
  </si>
  <si>
    <t xml:space="preserve">RB-100809</t>
  </si>
  <si>
    <t xml:space="preserve">RB-100810</t>
  </si>
  <si>
    <t xml:space="preserve">RB-100811</t>
  </si>
  <si>
    <t xml:space="preserve">Ironwood Outlet 119</t>
  </si>
  <si>
    <t xml:space="preserve">RB-100812</t>
  </si>
  <si>
    <t xml:space="preserve">Northgate Outlet 400</t>
  </si>
  <si>
    <t xml:space="preserve">RB-100813</t>
  </si>
  <si>
    <t xml:space="preserve">Stonebridge Outlet 330</t>
  </si>
  <si>
    <t xml:space="preserve">RB-100814</t>
  </si>
  <si>
    <t xml:space="preserve">Ironwood Outlet 316</t>
  </si>
  <si>
    <t xml:space="preserve">RB-100815</t>
  </si>
  <si>
    <t xml:space="preserve">RB-100816</t>
  </si>
  <si>
    <t xml:space="preserve">RB-100817</t>
  </si>
  <si>
    <t xml:space="preserve">Stonebridge Outlet 52</t>
  </si>
  <si>
    <t xml:space="preserve">RB-100818</t>
  </si>
  <si>
    <t xml:space="preserve">Kingsford Outlet 293</t>
  </si>
  <si>
    <t xml:space="preserve">RB-100819</t>
  </si>
  <si>
    <t xml:space="preserve">RB-100820</t>
  </si>
  <si>
    <t xml:space="preserve">Eastwick Outlet 124</t>
  </si>
  <si>
    <t xml:space="preserve">RB-100821</t>
  </si>
  <si>
    <t xml:space="preserve">RB-100822</t>
  </si>
  <si>
    <t xml:space="preserve">RB-100823</t>
  </si>
  <si>
    <t xml:space="preserve">RB-100824</t>
  </si>
  <si>
    <t xml:space="preserve">RB-100825</t>
  </si>
  <si>
    <t xml:space="preserve">Kingsford Outlet 306</t>
  </si>
  <si>
    <t xml:space="preserve">RB-100826</t>
  </si>
  <si>
    <t xml:space="preserve">Palm Grove Outlet 101</t>
  </si>
  <si>
    <t xml:space="preserve">RB-100827</t>
  </si>
  <si>
    <t xml:space="preserve">Palm Grove Outlet 117</t>
  </si>
  <si>
    <t xml:space="preserve">RB-100828</t>
  </si>
  <si>
    <t xml:space="preserve">RB-100829</t>
  </si>
  <si>
    <t xml:space="preserve">RB-100830</t>
  </si>
  <si>
    <t xml:space="preserve">RB-100831</t>
  </si>
  <si>
    <t xml:space="preserve">Ironwood Outlet 217</t>
  </si>
  <si>
    <t xml:space="preserve">RB-100832</t>
  </si>
  <si>
    <t xml:space="preserve">RB-100833</t>
  </si>
  <si>
    <t xml:space="preserve">RB-100834</t>
  </si>
  <si>
    <t xml:space="preserve">RB-100835</t>
  </si>
  <si>
    <t xml:space="preserve">RB-100836</t>
  </si>
  <si>
    <t xml:space="preserve">RB-100837</t>
  </si>
  <si>
    <t xml:space="preserve">RB-100838</t>
  </si>
  <si>
    <t xml:space="preserve">RB-100839</t>
  </si>
  <si>
    <t xml:space="preserve">RB-100840</t>
  </si>
  <si>
    <t xml:space="preserve">RB-100841</t>
  </si>
  <si>
    <t xml:space="preserve">Palm Grove Outlet 174</t>
  </si>
  <si>
    <t xml:space="preserve">RB-100842</t>
  </si>
  <si>
    <t xml:space="preserve">Ironwood Outlet 69</t>
  </si>
  <si>
    <t xml:space="preserve">RB-100843</t>
  </si>
  <si>
    <t xml:space="preserve">RB-100844</t>
  </si>
  <si>
    <t xml:space="preserve">RB-100845</t>
  </si>
  <si>
    <t xml:space="preserve">Kingsford Outlet 379</t>
  </si>
  <si>
    <t xml:space="preserve">RB-100846</t>
  </si>
  <si>
    <t xml:space="preserve">Northgate Outlet 317</t>
  </si>
  <si>
    <t xml:space="preserve">RB-100847</t>
  </si>
  <si>
    <t xml:space="preserve">Eastwick Outlet 80</t>
  </si>
  <si>
    <t xml:space="preserve">RB-100848</t>
  </si>
  <si>
    <t xml:space="preserve">Kingsford Outlet 153</t>
  </si>
  <si>
    <t xml:space="preserve">RB-100849</t>
  </si>
  <si>
    <t xml:space="preserve">RB-100850</t>
  </si>
  <si>
    <t xml:space="preserve">RB-100851</t>
  </si>
  <si>
    <t xml:space="preserve">RB-100852</t>
  </si>
  <si>
    <t xml:space="preserve">RB-100853</t>
  </si>
  <si>
    <t xml:space="preserve">Eastwick Outlet 354</t>
  </si>
  <si>
    <t xml:space="preserve">RB-100854</t>
  </si>
  <si>
    <t xml:space="preserve">RB-100855</t>
  </si>
  <si>
    <t xml:space="preserve">Ironwood Outlet 245</t>
  </si>
  <si>
    <t xml:space="preserve">RB-100856</t>
  </si>
  <si>
    <t xml:space="preserve">RB-100857</t>
  </si>
  <si>
    <t xml:space="preserve">Northgate Outlet 265</t>
  </si>
  <si>
    <t xml:space="preserve">RB-100858</t>
  </si>
  <si>
    <t xml:space="preserve">RB-100859</t>
  </si>
  <si>
    <t xml:space="preserve">Eastwick Outlet 58</t>
  </si>
  <si>
    <t xml:space="preserve">RB-100860</t>
  </si>
  <si>
    <t xml:space="preserve">Palm Grove Outlet 204</t>
  </si>
  <si>
    <t xml:space="preserve">RB-100861</t>
  </si>
  <si>
    <t xml:space="preserve">Ironwood Outlet 293</t>
  </si>
  <si>
    <t xml:space="preserve">RB-100862</t>
  </si>
  <si>
    <t xml:space="preserve">RB-100863</t>
  </si>
  <si>
    <t xml:space="preserve">Northgate Outlet 84</t>
  </si>
  <si>
    <t xml:space="preserve">RB-100864</t>
  </si>
  <si>
    <t xml:space="preserve">Northgate Outlet 285</t>
  </si>
  <si>
    <t xml:space="preserve">RB-100865</t>
  </si>
  <si>
    <t xml:space="preserve">RB-100866</t>
  </si>
  <si>
    <t xml:space="preserve">Eastwick Outlet 395</t>
  </si>
  <si>
    <t xml:space="preserve">RB-100867</t>
  </si>
  <si>
    <t xml:space="preserve">RB-100868</t>
  </si>
  <si>
    <t xml:space="preserve">Eastwick Outlet 255</t>
  </si>
  <si>
    <t xml:space="preserve">RB-100869</t>
  </si>
  <si>
    <t xml:space="preserve">RB-100870</t>
  </si>
  <si>
    <t xml:space="preserve">RB-100871</t>
  </si>
  <si>
    <t xml:space="preserve">RB-100872</t>
  </si>
  <si>
    <t xml:space="preserve">RB-100873</t>
  </si>
  <si>
    <t xml:space="preserve">RB-100874</t>
  </si>
  <si>
    <t xml:space="preserve">RB-100875</t>
  </si>
  <si>
    <t xml:space="preserve">RB-100876</t>
  </si>
  <si>
    <t xml:space="preserve">RB-100877</t>
  </si>
  <si>
    <t xml:space="preserve">RB-100878</t>
  </si>
  <si>
    <t xml:space="preserve">RB-100879</t>
  </si>
  <si>
    <t xml:space="preserve">RB-100880</t>
  </si>
  <si>
    <t xml:space="preserve">RB-100881</t>
  </si>
  <si>
    <t xml:space="preserve">Ironwood Outlet 50</t>
  </si>
  <si>
    <t xml:space="preserve">RB-100882</t>
  </si>
  <si>
    <t xml:space="preserve">RB-100883</t>
  </si>
  <si>
    <t xml:space="preserve">Stonebridge Outlet 363</t>
  </si>
  <si>
    <t xml:space="preserve">RB-100884</t>
  </si>
  <si>
    <t xml:space="preserve">Ironwood Outlet 251</t>
  </si>
  <si>
    <t xml:space="preserve">RB-100885</t>
  </si>
  <si>
    <t xml:space="preserve">RB-100886</t>
  </si>
  <si>
    <t xml:space="preserve">Stonebridge Outlet 72</t>
  </si>
  <si>
    <t xml:space="preserve">RB-100887</t>
  </si>
  <si>
    <t xml:space="preserve">RB-100888</t>
  </si>
  <si>
    <t xml:space="preserve">Palm Grove Outlet 245</t>
  </si>
  <si>
    <t xml:space="preserve">RB-100889</t>
  </si>
  <si>
    <t xml:space="preserve">RB-100890</t>
  </si>
  <si>
    <t xml:space="preserve">RB-100891</t>
  </si>
  <si>
    <t xml:space="preserve">RB-100892</t>
  </si>
  <si>
    <t xml:space="preserve">Eastwick Outlet 7</t>
  </si>
  <si>
    <t xml:space="preserve">RB-100893</t>
  </si>
  <si>
    <t xml:space="preserve">RB-100894</t>
  </si>
  <si>
    <t xml:space="preserve">Northgate Outlet 38</t>
  </si>
  <si>
    <t xml:space="preserve">RB-100895</t>
  </si>
  <si>
    <t xml:space="preserve">RB-100896</t>
  </si>
  <si>
    <t xml:space="preserve">Eastwick Outlet 150</t>
  </si>
  <si>
    <t xml:space="preserve">RB-100897</t>
  </si>
  <si>
    <t xml:space="preserve">Kingsford Outlet 193</t>
  </si>
  <si>
    <t xml:space="preserve">RB-100898</t>
  </si>
  <si>
    <t xml:space="preserve">RB-100899</t>
  </si>
  <si>
    <t xml:space="preserve">RB-100900</t>
  </si>
  <si>
    <t xml:space="preserve">Eastwick Outlet 42</t>
  </si>
  <si>
    <t xml:space="preserve">RB-100901</t>
  </si>
  <si>
    <t xml:space="preserve">RB-100902</t>
  </si>
  <si>
    <t xml:space="preserve">RB-100903</t>
  </si>
  <si>
    <t xml:space="preserve">RB-100904</t>
  </si>
  <si>
    <t xml:space="preserve">RB-100905</t>
  </si>
  <si>
    <t xml:space="preserve">RB-100906</t>
  </si>
  <si>
    <t xml:space="preserve">RB-100907</t>
  </si>
  <si>
    <t xml:space="preserve">Ironwood Outlet 156</t>
  </si>
  <si>
    <t xml:space="preserve">RB-100908</t>
  </si>
  <si>
    <t xml:space="preserve">RB-100909</t>
  </si>
  <si>
    <t xml:space="preserve">RB-100910</t>
  </si>
  <si>
    <t xml:space="preserve">Ironwood Outlet 299</t>
  </si>
  <si>
    <t xml:space="preserve">RB-100911</t>
  </si>
  <si>
    <t xml:space="preserve">RB-100912</t>
  </si>
  <si>
    <t xml:space="preserve">RB-100913</t>
  </si>
  <si>
    <t xml:space="preserve">Stonebridge Outlet 22</t>
  </si>
  <si>
    <t xml:space="preserve">RB-100914</t>
  </si>
  <si>
    <t xml:space="preserve">Palm Grove Outlet 91</t>
  </si>
  <si>
    <t xml:space="preserve">RB-100915</t>
  </si>
  <si>
    <t xml:space="preserve">RB-100916</t>
  </si>
  <si>
    <t xml:space="preserve">RB-100917</t>
  </si>
  <si>
    <t xml:space="preserve">RB-100918</t>
  </si>
  <si>
    <t xml:space="preserve">Kingsford Outlet 159</t>
  </si>
  <si>
    <t xml:space="preserve">RB-100919</t>
  </si>
  <si>
    <t xml:space="preserve">RB-100920</t>
  </si>
  <si>
    <t xml:space="preserve">RB-100921</t>
  </si>
  <si>
    <t xml:space="preserve">Stonebridge Outlet 350</t>
  </si>
  <si>
    <t xml:space="preserve">RB-100922</t>
  </si>
  <si>
    <t xml:space="preserve">RB-100923</t>
  </si>
  <si>
    <t xml:space="preserve">Ironwood Outlet 333</t>
  </si>
  <si>
    <t xml:space="preserve">RB-100924</t>
  </si>
  <si>
    <t xml:space="preserve">RB-100925</t>
  </si>
  <si>
    <t xml:space="preserve">Eastwick Outlet 145</t>
  </si>
  <si>
    <t xml:space="preserve">RB-100926</t>
  </si>
  <si>
    <t xml:space="preserve">RB-100927</t>
  </si>
  <si>
    <t xml:space="preserve">RB-100928</t>
  </si>
  <si>
    <t xml:space="preserve">Eastwick Outlet 43</t>
  </si>
  <si>
    <t xml:space="preserve">RB-100929</t>
  </si>
  <si>
    <t xml:space="preserve">RB-100930</t>
  </si>
  <si>
    <t xml:space="preserve">Northgate Outlet 308</t>
  </si>
  <si>
    <t xml:space="preserve">RB-100931</t>
  </si>
  <si>
    <t xml:space="preserve">RB-100932</t>
  </si>
  <si>
    <t xml:space="preserve">RB-100933</t>
  </si>
  <si>
    <t xml:space="preserve">RB-100934</t>
  </si>
  <si>
    <t xml:space="preserve">RB-100935</t>
  </si>
  <si>
    <t xml:space="preserve">RB-100936</t>
  </si>
  <si>
    <t xml:space="preserve">RB-100937</t>
  </si>
  <si>
    <t xml:space="preserve">Stonebridge Outlet 21</t>
  </si>
  <si>
    <t xml:space="preserve">RB-100938</t>
  </si>
  <si>
    <t xml:space="preserve">Northgate Outlet 178</t>
  </si>
  <si>
    <t xml:space="preserve">RB-100939</t>
  </si>
  <si>
    <t xml:space="preserve">RB-100940</t>
  </si>
  <si>
    <t xml:space="preserve">RB-100941</t>
  </si>
  <si>
    <t xml:space="preserve">RB-100942</t>
  </si>
  <si>
    <t xml:space="preserve">RB-100943</t>
  </si>
  <si>
    <t xml:space="preserve">Ironwood Outlet 373</t>
  </si>
  <si>
    <t xml:space="preserve">RB-100944</t>
  </si>
  <si>
    <t xml:space="preserve">RB-100945</t>
  </si>
  <si>
    <t xml:space="preserve">RB-100946</t>
  </si>
  <si>
    <t xml:space="preserve">RB-100947</t>
  </si>
  <si>
    <t xml:space="preserve">RB-100948</t>
  </si>
  <si>
    <t xml:space="preserve">Eastwick Outlet 299</t>
  </si>
  <si>
    <t xml:space="preserve">RB-100949</t>
  </si>
  <si>
    <t xml:space="preserve">RB-100950</t>
  </si>
  <si>
    <t xml:space="preserve">RB-100951</t>
  </si>
  <si>
    <t xml:space="preserve">RB-100952</t>
  </si>
  <si>
    <t xml:space="preserve">RB-100953</t>
  </si>
  <si>
    <t xml:space="preserve">Ironwood Outlet 64</t>
  </si>
  <si>
    <t xml:space="preserve">RB-100954</t>
  </si>
  <si>
    <t xml:space="preserve">Palm Grove Outlet 255</t>
  </si>
  <si>
    <t xml:space="preserve">RB-100955</t>
  </si>
  <si>
    <t xml:space="preserve">RB-100956</t>
  </si>
  <si>
    <t xml:space="preserve">RB-100957</t>
  </si>
  <si>
    <t xml:space="preserve">RB-100958</t>
  </si>
  <si>
    <t xml:space="preserve">Stonebridge Outlet 340</t>
  </si>
  <si>
    <t xml:space="preserve">RB-100959</t>
  </si>
  <si>
    <t xml:space="preserve">RB-100960</t>
  </si>
  <si>
    <t xml:space="preserve">Northgate Outlet 89</t>
  </si>
  <si>
    <t xml:space="preserve">RB-100961</t>
  </si>
  <si>
    <t xml:space="preserve">RB-100962</t>
  </si>
  <si>
    <t xml:space="preserve">Kingsford Outlet 49</t>
  </si>
  <si>
    <t xml:space="preserve">RB-100963</t>
  </si>
  <si>
    <t xml:space="preserve">Eastwick Outlet 67</t>
  </si>
  <si>
    <t xml:space="preserve">RB-100964</t>
  </si>
  <si>
    <t xml:space="preserve">RB-100965</t>
  </si>
  <si>
    <t xml:space="preserve">RB-100966</t>
  </si>
  <si>
    <t xml:space="preserve">Stonebridge Outlet 386</t>
  </si>
  <si>
    <t xml:space="preserve">RB-100967</t>
  </si>
  <si>
    <t xml:space="preserve">RB-100968</t>
  </si>
  <si>
    <t xml:space="preserve">Northgate Outlet 86</t>
  </si>
  <si>
    <t xml:space="preserve">RB-100969</t>
  </si>
  <si>
    <t xml:space="preserve">RB-100970</t>
  </si>
  <si>
    <t xml:space="preserve">RB-100971</t>
  </si>
  <si>
    <t xml:space="preserve">Stonebridge Outlet 353</t>
  </si>
  <si>
    <t xml:space="preserve">RB-100972</t>
  </si>
  <si>
    <t xml:space="preserve">RB-100973</t>
  </si>
  <si>
    <t xml:space="preserve">RB-100974</t>
  </si>
  <si>
    <t xml:space="preserve">RB-100975</t>
  </si>
  <si>
    <t xml:space="preserve">Kingsford Outlet 342</t>
  </si>
  <si>
    <t xml:space="preserve">RB-100976</t>
  </si>
  <si>
    <t xml:space="preserve">RB-100977</t>
  </si>
  <si>
    <t xml:space="preserve">RB-100978</t>
  </si>
  <si>
    <t xml:space="preserve">Northgate Outlet 331</t>
  </si>
  <si>
    <t xml:space="preserve">RB-100979</t>
  </si>
  <si>
    <t xml:space="preserve">Ironwood Outlet 53</t>
  </si>
  <si>
    <t xml:space="preserve">RB-100980</t>
  </si>
  <si>
    <t xml:space="preserve">RB-100981</t>
  </si>
  <si>
    <t xml:space="preserve">RB-100982</t>
  </si>
  <si>
    <t xml:space="preserve">RB-100983</t>
  </si>
  <si>
    <t xml:space="preserve">RB-100984</t>
  </si>
  <si>
    <t xml:space="preserve">RB-100985</t>
  </si>
  <si>
    <t xml:space="preserve">RB-100986</t>
  </si>
  <si>
    <t xml:space="preserve">Ironwood Outlet 271</t>
  </si>
  <si>
    <t xml:space="preserve">RB-100987</t>
  </si>
  <si>
    <t xml:space="preserve">RB-100988</t>
  </si>
  <si>
    <t xml:space="preserve">RB-100989</t>
  </si>
  <si>
    <t xml:space="preserve">Stonebridge Outlet 79</t>
  </si>
  <si>
    <t xml:space="preserve">RB-100990</t>
  </si>
  <si>
    <t xml:space="preserve">RB-100991</t>
  </si>
  <si>
    <t xml:space="preserve">Palm Grove Outlet 200</t>
  </si>
  <si>
    <t xml:space="preserve">RB-100992</t>
  </si>
  <si>
    <t xml:space="preserve">Palm Grove Outlet 159</t>
  </si>
  <si>
    <t xml:space="preserve">RB-100993</t>
  </si>
  <si>
    <t xml:space="preserve">RB-100994</t>
  </si>
  <si>
    <t xml:space="preserve">RB-100995</t>
  </si>
  <si>
    <t xml:space="preserve">RB-100996</t>
  </si>
  <si>
    <t xml:space="preserve">Palm Grove Outlet 29</t>
  </si>
  <si>
    <t xml:space="preserve">RB-100997</t>
  </si>
  <si>
    <t xml:space="preserve">RB-100998</t>
  </si>
  <si>
    <t xml:space="preserve">Ironwood Outlet 322</t>
  </si>
  <si>
    <t xml:space="preserve">RB-100999</t>
  </si>
  <si>
    <t xml:space="preserve">Palm Grove Outlet 241</t>
  </si>
  <si>
    <t xml:space="preserve">RB-101000</t>
  </si>
  <si>
    <t xml:space="preserve">RB-101001</t>
  </si>
  <si>
    <t xml:space="preserve">RB-101002</t>
  </si>
  <si>
    <t xml:space="preserve">Eastwick Outlet 115</t>
  </si>
  <si>
    <t xml:space="preserve">RB-101003</t>
  </si>
  <si>
    <t xml:space="preserve">RB-101004</t>
  </si>
  <si>
    <t xml:space="preserve">RB-101005</t>
  </si>
  <si>
    <t xml:space="preserve">RB-101006</t>
  </si>
  <si>
    <t xml:space="preserve">Ironwood Outlet 317</t>
  </si>
  <si>
    <t xml:space="preserve">RB-101007</t>
  </si>
  <si>
    <t xml:space="preserve">RB-101008</t>
  </si>
  <si>
    <t xml:space="preserve">RB-101009</t>
  </si>
  <si>
    <t xml:space="preserve">RB-101010</t>
  </si>
  <si>
    <t xml:space="preserve">Northgate Outlet 103</t>
  </si>
  <si>
    <t xml:space="preserve">RB-101011</t>
  </si>
  <si>
    <t xml:space="preserve">RB-101012</t>
  </si>
  <si>
    <t xml:space="preserve">Kingsford Outlet 352</t>
  </si>
  <si>
    <t xml:space="preserve">RB-101013</t>
  </si>
  <si>
    <t xml:space="preserve">RB-101014</t>
  </si>
  <si>
    <t xml:space="preserve">RB-101015</t>
  </si>
  <si>
    <t xml:space="preserve">RB-101016</t>
  </si>
  <si>
    <t xml:space="preserve">Kingsford Outlet 240</t>
  </si>
  <si>
    <t xml:space="preserve">RB-101017</t>
  </si>
  <si>
    <t xml:space="preserve">Palm Grove Outlet 277</t>
  </si>
  <si>
    <t xml:space="preserve">RB-101018</t>
  </si>
  <si>
    <t xml:space="preserve">RB-101019</t>
  </si>
  <si>
    <t xml:space="preserve">RB-101020</t>
  </si>
  <si>
    <t xml:space="preserve">RB-101021</t>
  </si>
  <si>
    <t xml:space="preserve">Northgate Outlet 87</t>
  </si>
  <si>
    <t xml:space="preserve">RB-101022</t>
  </si>
  <si>
    <t xml:space="preserve">Palm Grove Outlet 43</t>
  </si>
  <si>
    <t xml:space="preserve">RB-101023</t>
  </si>
  <si>
    <t xml:space="preserve">Kingsford Outlet 10</t>
  </si>
  <si>
    <t xml:space="preserve">RB-101024</t>
  </si>
  <si>
    <t xml:space="preserve">RB-101025</t>
  </si>
  <si>
    <t xml:space="preserve">Stonebridge Outlet 71</t>
  </si>
  <si>
    <t xml:space="preserve">RB-101026</t>
  </si>
  <si>
    <t xml:space="preserve">RB-101027</t>
  </si>
  <si>
    <t xml:space="preserve">RB-101028</t>
  </si>
  <si>
    <t xml:space="preserve">Kingsford Outlet 109</t>
  </si>
  <si>
    <t xml:space="preserve">RB-101029</t>
  </si>
  <si>
    <t xml:space="preserve">Northgate Outlet 76</t>
  </si>
  <si>
    <t xml:space="preserve">RB-101030</t>
  </si>
  <si>
    <t xml:space="preserve">RB-101031</t>
  </si>
  <si>
    <t xml:space="preserve">RB-101032</t>
  </si>
  <si>
    <t xml:space="preserve">RB-101033</t>
  </si>
  <si>
    <t xml:space="preserve">RB-101034</t>
  </si>
  <si>
    <t xml:space="preserve">RB-101035</t>
  </si>
  <si>
    <t xml:space="preserve">RB-101036</t>
  </si>
  <si>
    <t xml:space="preserve">RB-101037</t>
  </si>
  <si>
    <t xml:space="preserve">RB-101038</t>
  </si>
  <si>
    <t xml:space="preserve">RB-101039</t>
  </si>
  <si>
    <t xml:space="preserve">Northgate Outlet 125</t>
  </si>
  <si>
    <t xml:space="preserve">RB-101040</t>
  </si>
  <si>
    <t xml:space="preserve">RB-101041</t>
  </si>
  <si>
    <t xml:space="preserve">Eastwick Outlet 265</t>
  </si>
  <si>
    <t xml:space="preserve">RB-101042</t>
  </si>
  <si>
    <t xml:space="preserve">RB-101043</t>
  </si>
  <si>
    <t xml:space="preserve">RB-101044</t>
  </si>
  <si>
    <t xml:space="preserve">RB-101045</t>
  </si>
  <si>
    <t xml:space="preserve">RB-101046</t>
  </si>
  <si>
    <t xml:space="preserve">RB-101047</t>
  </si>
  <si>
    <t xml:space="preserve">Stonebridge Outlet 166</t>
  </si>
  <si>
    <t xml:space="preserve">RB-101048</t>
  </si>
  <si>
    <t xml:space="preserve">Stonebridge Outlet 125</t>
  </si>
  <si>
    <t xml:space="preserve">RB-101049</t>
  </si>
  <si>
    <t xml:space="preserve">RB-101050</t>
  </si>
  <si>
    <t xml:space="preserve">RB-101051</t>
  </si>
  <si>
    <t xml:space="preserve">Northgate Outlet 342</t>
  </si>
  <si>
    <t xml:space="preserve">RB-101052</t>
  </si>
  <si>
    <t xml:space="preserve">RB-101053</t>
  </si>
  <si>
    <t xml:space="preserve">RB-101054</t>
  </si>
  <si>
    <t xml:space="preserve">RB-101055</t>
  </si>
  <si>
    <t xml:space="preserve">RB-101056</t>
  </si>
  <si>
    <t xml:space="preserve">Stonebridge Outlet 307</t>
  </si>
  <si>
    <t xml:space="preserve">RB-101057</t>
  </si>
  <si>
    <t xml:space="preserve">Palm Grove Outlet 80</t>
  </si>
  <si>
    <t xml:space="preserve">RB-101058</t>
  </si>
  <si>
    <t xml:space="preserve">Eastwick Outlet 51</t>
  </si>
  <si>
    <t xml:space="preserve">RB-101059</t>
  </si>
  <si>
    <t xml:space="preserve">RB-101060</t>
  </si>
  <si>
    <t xml:space="preserve">RB-101061</t>
  </si>
  <si>
    <t xml:space="preserve">Palm Grove Outlet 285</t>
  </si>
  <si>
    <t xml:space="preserve">RB-101062</t>
  </si>
  <si>
    <t xml:space="preserve">RB-101063</t>
  </si>
  <si>
    <t xml:space="preserve">Stonebridge Outlet 34</t>
  </si>
  <si>
    <t xml:space="preserve">RB-101064</t>
  </si>
  <si>
    <t xml:space="preserve">RB-101065</t>
  </si>
  <si>
    <t xml:space="preserve">RB-101066</t>
  </si>
  <si>
    <t xml:space="preserve">RB-101067</t>
  </si>
  <si>
    <t xml:space="preserve">Ironwood Outlet 23</t>
  </si>
  <si>
    <t xml:space="preserve">RB-101068</t>
  </si>
  <si>
    <t xml:space="preserve">RB-101069</t>
  </si>
  <si>
    <t xml:space="preserve">Palm Grove Outlet 246</t>
  </si>
  <si>
    <t xml:space="preserve">RB-101070</t>
  </si>
  <si>
    <t xml:space="preserve">RB-101071</t>
  </si>
  <si>
    <t xml:space="preserve">Ironwood Outlet 214</t>
  </si>
  <si>
    <t xml:space="preserve">RB-101072</t>
  </si>
  <si>
    <t xml:space="preserve">RB-101073</t>
  </si>
  <si>
    <t xml:space="preserve">Kingsford Outlet 254</t>
  </si>
  <si>
    <t xml:space="preserve">RB-101074</t>
  </si>
  <si>
    <t xml:space="preserve">RB-101075</t>
  </si>
  <si>
    <t xml:space="preserve">Northgate Outlet 23</t>
  </si>
  <si>
    <t xml:space="preserve">RB-101076</t>
  </si>
  <si>
    <t xml:space="preserve">RB-101077</t>
  </si>
  <si>
    <t xml:space="preserve">Ironwood Outlet 374</t>
  </si>
  <si>
    <t xml:space="preserve">RB-101078</t>
  </si>
  <si>
    <t xml:space="preserve">Kingsford Outlet 388</t>
  </si>
  <si>
    <t xml:space="preserve">RB-101079</t>
  </si>
  <si>
    <t xml:space="preserve">Ironwood Outlet 135</t>
  </si>
  <si>
    <t xml:space="preserve">RB-101080</t>
  </si>
  <si>
    <t xml:space="preserve">RB-101081</t>
  </si>
  <si>
    <t xml:space="preserve">RB-101082</t>
  </si>
  <si>
    <t xml:space="preserve">Ironwood Outlet 205</t>
  </si>
  <si>
    <t xml:space="preserve">RB-101083</t>
  </si>
  <si>
    <t xml:space="preserve">RB-101084</t>
  </si>
  <si>
    <t xml:space="preserve">RB-101085</t>
  </si>
  <si>
    <t xml:space="preserve">RB-101086</t>
  </si>
  <si>
    <t xml:space="preserve">RB-101087</t>
  </si>
  <si>
    <t xml:space="preserve">Stonebridge Outlet 344</t>
  </si>
  <si>
    <t xml:space="preserve">RB-101088</t>
  </si>
  <si>
    <t xml:space="preserve">Palm Grove Outlet 253</t>
  </si>
  <si>
    <t xml:space="preserve">RB-101089</t>
  </si>
  <si>
    <t xml:space="preserve">RB-101090</t>
  </si>
  <si>
    <t xml:space="preserve">RB-101091</t>
  </si>
  <si>
    <t xml:space="preserve">RB-101092</t>
  </si>
  <si>
    <t xml:space="preserve">RB-101093</t>
  </si>
  <si>
    <t xml:space="preserve">RB-101094</t>
  </si>
  <si>
    <t xml:space="preserve">RB-101095</t>
  </si>
  <si>
    <t xml:space="preserve">Kingsford Outlet 392</t>
  </si>
  <si>
    <t xml:space="preserve">RB-101096</t>
  </si>
  <si>
    <t xml:space="preserve">RB-101097</t>
  </si>
  <si>
    <t xml:space="preserve">RB-101098</t>
  </si>
  <si>
    <t xml:space="preserve">Palm Grove Outlet 307</t>
  </si>
  <si>
    <t xml:space="preserve">RB-101099</t>
  </si>
  <si>
    <t xml:space="preserve">Stonebridge Outlet 68</t>
  </si>
  <si>
    <t xml:space="preserve">RB-101100</t>
  </si>
  <si>
    <t xml:space="preserve">RB-101101</t>
  </si>
  <si>
    <t xml:space="preserve">RB-101102</t>
  </si>
  <si>
    <t xml:space="preserve">RB-101103</t>
  </si>
  <si>
    <t xml:space="preserve">RB-101104</t>
  </si>
  <si>
    <t xml:space="preserve">RB-101105</t>
  </si>
  <si>
    <t xml:space="preserve">RB-101106</t>
  </si>
  <si>
    <t xml:space="preserve">RB-101107</t>
  </si>
  <si>
    <t xml:space="preserve">RB-101108</t>
  </si>
  <si>
    <t xml:space="preserve">RB-101109</t>
  </si>
  <si>
    <t xml:space="preserve">RB-101110</t>
  </si>
  <si>
    <t xml:space="preserve">RB-101111</t>
  </si>
  <si>
    <t xml:space="preserve">RB-101112</t>
  </si>
  <si>
    <t xml:space="preserve">Eastwick Outlet 147</t>
  </si>
  <si>
    <t xml:space="preserve">RB-101113</t>
  </si>
  <si>
    <t xml:space="preserve">RB-101114</t>
  </si>
  <si>
    <t xml:space="preserve">RB-101115</t>
  </si>
  <si>
    <t xml:space="preserve">Northgate Outlet 15</t>
  </si>
  <si>
    <t xml:space="preserve">RB-101116</t>
  </si>
  <si>
    <t xml:space="preserve">Northgate Outlet 134</t>
  </si>
  <si>
    <t xml:space="preserve">RB-101117</t>
  </si>
  <si>
    <t xml:space="preserve">RB-101118</t>
  </si>
  <si>
    <t xml:space="preserve">RB-101119</t>
  </si>
  <si>
    <t xml:space="preserve">Ironwood Outlet 164</t>
  </si>
  <si>
    <t xml:space="preserve">RB-101120</t>
  </si>
  <si>
    <t xml:space="preserve">Eastwick Outlet 21</t>
  </si>
  <si>
    <t xml:space="preserve">RB-101121</t>
  </si>
  <si>
    <t xml:space="preserve">RB-101122</t>
  </si>
  <si>
    <t xml:space="preserve">Kingsford Outlet 297</t>
  </si>
  <si>
    <t xml:space="preserve">RB-101123</t>
  </si>
  <si>
    <t xml:space="preserve">RB-101124</t>
  </si>
  <si>
    <t xml:space="preserve">Ironwood Outlet 241</t>
  </si>
  <si>
    <t xml:space="preserve">RB-101125</t>
  </si>
  <si>
    <t xml:space="preserve">Eastwick Outlet 387</t>
  </si>
  <si>
    <t xml:space="preserve">RB-101126</t>
  </si>
  <si>
    <t xml:space="preserve">Palm Grove Outlet 261</t>
  </si>
  <si>
    <t xml:space="preserve">RB-101127</t>
  </si>
  <si>
    <t xml:space="preserve">RB-101128</t>
  </si>
  <si>
    <t xml:space="preserve">RB-101129</t>
  </si>
  <si>
    <t xml:space="preserve">RB-101130</t>
  </si>
  <si>
    <t xml:space="preserve">Ironwood Outlet 81</t>
  </si>
  <si>
    <t xml:space="preserve">RB-101131</t>
  </si>
  <si>
    <t xml:space="preserve">RB-101132</t>
  </si>
  <si>
    <t xml:space="preserve">Northgate Outlet 376</t>
  </si>
  <si>
    <t xml:space="preserve">RB-101133</t>
  </si>
  <si>
    <t xml:space="preserve">Eastwick Outlet 198</t>
  </si>
  <si>
    <t xml:space="preserve">RB-101134</t>
  </si>
  <si>
    <t xml:space="preserve">RB-101135</t>
  </si>
  <si>
    <t xml:space="preserve">Northgate Outlet 384</t>
  </si>
  <si>
    <t xml:space="preserve">RB-101136</t>
  </si>
  <si>
    <t xml:space="preserve">RB-101137</t>
  </si>
  <si>
    <t xml:space="preserve">RB-101138</t>
  </si>
  <si>
    <t xml:space="preserve">RB-101139</t>
  </si>
  <si>
    <t xml:space="preserve">RB-101140</t>
  </si>
  <si>
    <t xml:space="preserve">RB-101141</t>
  </si>
  <si>
    <t xml:space="preserve">RB-101142</t>
  </si>
  <si>
    <t xml:space="preserve">RB-101143</t>
  </si>
  <si>
    <t xml:space="preserve">Palm Grove Outlet 26</t>
  </si>
  <si>
    <t xml:space="preserve">RB-101144</t>
  </si>
  <si>
    <t xml:space="preserve">RB-101145</t>
  </si>
  <si>
    <t xml:space="preserve">Northgate Outlet 198</t>
  </si>
  <si>
    <t xml:space="preserve">RB-101146</t>
  </si>
  <si>
    <t xml:space="preserve">Kingsford Outlet 126</t>
  </si>
  <si>
    <t xml:space="preserve">RB-101147</t>
  </si>
  <si>
    <t xml:space="preserve">Palm Grove Outlet 67</t>
  </si>
  <si>
    <t xml:space="preserve">RB-101148</t>
  </si>
  <si>
    <t xml:space="preserve">Palm Grove Outlet 216</t>
  </si>
  <si>
    <t xml:space="preserve">RB-101149</t>
  </si>
  <si>
    <t xml:space="preserve">RB-101150</t>
  </si>
  <si>
    <t xml:space="preserve">RB-101151</t>
  </si>
  <si>
    <t xml:space="preserve">Palm Grove Outlet 240</t>
  </si>
  <si>
    <t xml:space="preserve">RB-101152</t>
  </si>
  <si>
    <t xml:space="preserve">RB-101153</t>
  </si>
  <si>
    <t xml:space="preserve">RB-101154</t>
  </si>
  <si>
    <t xml:space="preserve">RB-101155</t>
  </si>
  <si>
    <t xml:space="preserve">RB-101156</t>
  </si>
  <si>
    <t xml:space="preserve">RB-101157</t>
  </si>
  <si>
    <t xml:space="preserve">RB-101158</t>
  </si>
  <si>
    <t xml:space="preserve">Palm Grove Outlet 130</t>
  </si>
  <si>
    <t xml:space="preserve">RB-101159</t>
  </si>
  <si>
    <t xml:space="preserve">RB-101160</t>
  </si>
  <si>
    <t xml:space="preserve">RB-101161</t>
  </si>
  <si>
    <t xml:space="preserve">RB-101162</t>
  </si>
  <si>
    <t xml:space="preserve">RB-101163</t>
  </si>
  <si>
    <t xml:space="preserve">RB-101164</t>
  </si>
  <si>
    <t xml:space="preserve">RB-101165</t>
  </si>
  <si>
    <t xml:space="preserve">RB-101166</t>
  </si>
  <si>
    <t xml:space="preserve">RB-101167</t>
  </si>
  <si>
    <t xml:space="preserve">RB-101168</t>
  </si>
  <si>
    <t xml:space="preserve">RB-101169</t>
  </si>
  <si>
    <t xml:space="preserve">RB-101170</t>
  </si>
  <si>
    <t xml:space="preserve">RB-101171</t>
  </si>
  <si>
    <t xml:space="preserve">RB-101172</t>
  </si>
  <si>
    <t xml:space="preserve">RB-101173</t>
  </si>
  <si>
    <t xml:space="preserve">RB-101174</t>
  </si>
  <si>
    <t xml:space="preserve">RB-101175</t>
  </si>
  <si>
    <t xml:space="preserve">RB-101176</t>
  </si>
  <si>
    <t xml:space="preserve">RB-101177</t>
  </si>
  <si>
    <t xml:space="preserve">Ironwood Outlet 228</t>
  </si>
  <si>
    <t xml:space="preserve">RB-101178</t>
  </si>
  <si>
    <t xml:space="preserve">RB-101179</t>
  </si>
  <si>
    <t xml:space="preserve">RB-101180</t>
  </si>
  <si>
    <t xml:space="preserve">RB-101181</t>
  </si>
  <si>
    <t xml:space="preserve">Kingsford Outlet 256</t>
  </si>
  <si>
    <t xml:space="preserve">RB-101182</t>
  </si>
  <si>
    <t xml:space="preserve">RB-101183</t>
  </si>
  <si>
    <t xml:space="preserve">Eastwick Outlet 257</t>
  </si>
  <si>
    <t xml:space="preserve">RB-101184</t>
  </si>
  <si>
    <t xml:space="preserve">Palm Grove Outlet 30</t>
  </si>
  <si>
    <t xml:space="preserve">RB-101185</t>
  </si>
  <si>
    <t xml:space="preserve">RB-101186</t>
  </si>
  <si>
    <t xml:space="preserve">RB-101187</t>
  </si>
  <si>
    <t xml:space="preserve">Northgate Outlet 298</t>
  </si>
  <si>
    <t xml:space="preserve">RB-101188</t>
  </si>
  <si>
    <t xml:space="preserve">Stonebridge Outlet 175</t>
  </si>
  <si>
    <t xml:space="preserve">RB-101189</t>
  </si>
  <si>
    <t xml:space="preserve">RB-101190</t>
  </si>
  <si>
    <t xml:space="preserve">Ironwood Outlet 97</t>
  </si>
  <si>
    <t xml:space="preserve">RB-101191</t>
  </si>
  <si>
    <t xml:space="preserve">RB-101192</t>
  </si>
  <si>
    <t xml:space="preserve">RB-101193</t>
  </si>
  <si>
    <t xml:space="preserve">RB-101194</t>
  </si>
  <si>
    <t xml:space="preserve">RB-101195</t>
  </si>
  <si>
    <t xml:space="preserve">RB-101196</t>
  </si>
  <si>
    <t xml:space="preserve">RB-101197</t>
  </si>
  <si>
    <t xml:space="preserve">Eastwick Outlet 344</t>
  </si>
  <si>
    <t xml:space="preserve">RB-101198</t>
  </si>
  <si>
    <t xml:space="preserve">Palm Grove Outlet 66</t>
  </si>
  <si>
    <t xml:space="preserve">RB-101199</t>
  </si>
  <si>
    <t xml:space="preserve">RB-101200</t>
  </si>
  <si>
    <t xml:space="preserve">RB-101201</t>
  </si>
  <si>
    <t xml:space="preserve">RB-101202</t>
  </si>
  <si>
    <t xml:space="preserve">RB-101203</t>
  </si>
  <si>
    <t xml:space="preserve">RB-101204</t>
  </si>
  <si>
    <t xml:space="preserve">RB-101205</t>
  </si>
  <si>
    <t xml:space="preserve">Kingsford Outlet 2</t>
  </si>
  <si>
    <t xml:space="preserve">RB-101206</t>
  </si>
  <si>
    <t xml:space="preserve">RB-101207</t>
  </si>
  <si>
    <t xml:space="preserve">RB-101208</t>
  </si>
  <si>
    <t xml:space="preserve">Stonebridge Outlet 144</t>
  </si>
  <si>
    <t xml:space="preserve">RB-101209</t>
  </si>
  <si>
    <t xml:space="preserve">RB-101210</t>
  </si>
  <si>
    <t xml:space="preserve">RB-101211</t>
  </si>
  <si>
    <t xml:space="preserve">RB-101212</t>
  </si>
  <si>
    <t xml:space="preserve">Palm Grove Outlet 341</t>
  </si>
  <si>
    <t xml:space="preserve">RB-101213</t>
  </si>
  <si>
    <t xml:space="preserve">RB-101214</t>
  </si>
  <si>
    <t xml:space="preserve">RB-101215</t>
  </si>
  <si>
    <t xml:space="preserve">Northgate Outlet 374</t>
  </si>
  <si>
    <t xml:space="preserve">RB-101216</t>
  </si>
  <si>
    <t xml:space="preserve">RB-101217</t>
  </si>
  <si>
    <t xml:space="preserve">Ironwood Outlet 369</t>
  </si>
  <si>
    <t xml:space="preserve">RB-101218</t>
  </si>
  <si>
    <t xml:space="preserve">Palm Grove Outlet 316</t>
  </si>
  <si>
    <t xml:space="preserve">RB-101219</t>
  </si>
  <si>
    <t xml:space="preserve">RB-101220</t>
  </si>
  <si>
    <t xml:space="preserve">RB-101221</t>
  </si>
  <si>
    <t xml:space="preserve">Stonebridge Outlet 137</t>
  </si>
  <si>
    <t xml:space="preserve">RB-101222</t>
  </si>
  <si>
    <t xml:space="preserve">Kingsford Outlet 147</t>
  </si>
  <si>
    <t xml:space="preserve">RB-101223</t>
  </si>
  <si>
    <t xml:space="preserve">RB-101224</t>
  </si>
  <si>
    <t xml:space="preserve">RB-101225</t>
  </si>
  <si>
    <t xml:space="preserve">Ironwood Outlet 100</t>
  </si>
  <si>
    <t xml:space="preserve">RB-101226</t>
  </si>
  <si>
    <t xml:space="preserve">RB-101227</t>
  </si>
  <si>
    <t xml:space="preserve">RB-101228</t>
  </si>
  <si>
    <t xml:space="preserve">RB-101229</t>
  </si>
  <si>
    <t xml:space="preserve">Eastwick Outlet 394</t>
  </si>
  <si>
    <t xml:space="preserve">RB-101230</t>
  </si>
  <si>
    <t xml:space="preserve">RB-101231</t>
  </si>
  <si>
    <t xml:space="preserve">Northgate Outlet 9</t>
  </si>
  <si>
    <t xml:space="preserve">RB-101232</t>
  </si>
  <si>
    <t xml:space="preserve">RB-101233</t>
  </si>
  <si>
    <t xml:space="preserve">RB-101234</t>
  </si>
  <si>
    <t xml:space="preserve">Eastwick Outlet 181</t>
  </si>
  <si>
    <t xml:space="preserve">RB-101235</t>
  </si>
  <si>
    <t xml:space="preserve">Stonebridge Outlet 215</t>
  </si>
  <si>
    <t xml:space="preserve">RB-101236</t>
  </si>
  <si>
    <t xml:space="preserve">RB-101237</t>
  </si>
  <si>
    <t xml:space="preserve">RB-101238</t>
  </si>
  <si>
    <t xml:space="preserve">Stonebridge Outlet 82</t>
  </si>
  <si>
    <t xml:space="preserve">RB-101239</t>
  </si>
  <si>
    <t xml:space="preserve">Ironwood Outlet 146</t>
  </si>
  <si>
    <t xml:space="preserve">RB-101240</t>
  </si>
  <si>
    <t xml:space="preserve">RB-101241</t>
  </si>
  <si>
    <t xml:space="preserve">Kingsford Outlet 213</t>
  </si>
  <si>
    <t xml:space="preserve">RB-101242</t>
  </si>
  <si>
    <t xml:space="preserve">Northgate Outlet 233</t>
  </si>
  <si>
    <t xml:space="preserve">RB-101243</t>
  </si>
  <si>
    <t xml:space="preserve">RB-101244</t>
  </si>
  <si>
    <t xml:space="preserve">RB-101245</t>
  </si>
  <si>
    <t xml:space="preserve">RB-101246</t>
  </si>
  <si>
    <t xml:space="preserve">Palm Grove Outlet 139</t>
  </si>
  <si>
    <t xml:space="preserve">RB-101247</t>
  </si>
  <si>
    <t xml:space="preserve">RB-101248</t>
  </si>
  <si>
    <t xml:space="preserve">RB-101249</t>
  </si>
  <si>
    <t xml:space="preserve">RB-101250</t>
  </si>
  <si>
    <t xml:space="preserve">Palm Grove Outlet 207</t>
  </si>
  <si>
    <t xml:space="preserve">RB-101251</t>
  </si>
  <si>
    <t xml:space="preserve">RB-101252</t>
  </si>
  <si>
    <t xml:space="preserve">RB-101253</t>
  </si>
  <si>
    <t xml:space="preserve">RB-101254</t>
  </si>
  <si>
    <t xml:space="preserve">Stonebridge Outlet 168</t>
  </si>
  <si>
    <t xml:space="preserve">RB-101255</t>
  </si>
  <si>
    <t xml:space="preserve">RB-101256</t>
  </si>
  <si>
    <t xml:space="preserve">Eastwick Outlet 244</t>
  </si>
  <si>
    <t xml:space="preserve">RB-101257</t>
  </si>
  <si>
    <t xml:space="preserve">RB-101258</t>
  </si>
  <si>
    <t xml:space="preserve">RB-101259</t>
  </si>
  <si>
    <t xml:space="preserve">Northgate Outlet 292</t>
  </si>
  <si>
    <t xml:space="preserve">RB-101260</t>
  </si>
  <si>
    <t xml:space="preserve">RB-101261</t>
  </si>
  <si>
    <t xml:space="preserve">Palm Grove Outlet 289</t>
  </si>
  <si>
    <t xml:space="preserve">RB-101262</t>
  </si>
  <si>
    <t xml:space="preserve">Kingsford Outlet 115</t>
  </si>
  <si>
    <t xml:space="preserve">RB-101263</t>
  </si>
  <si>
    <t xml:space="preserve">RB-101264</t>
  </si>
  <si>
    <t xml:space="preserve">RB-101265</t>
  </si>
  <si>
    <t xml:space="preserve">RB-101266</t>
  </si>
  <si>
    <t xml:space="preserve">RB-101267</t>
  </si>
  <si>
    <t xml:space="preserve">RB-101268</t>
  </si>
  <si>
    <t xml:space="preserve">RB-101269</t>
  </si>
  <si>
    <t xml:space="preserve">Palm Grove Outlet 31</t>
  </si>
  <si>
    <t xml:space="preserve">RB-101270</t>
  </si>
  <si>
    <t xml:space="preserve">RB-101271</t>
  </si>
  <si>
    <t xml:space="preserve">Northgate Outlet 159</t>
  </si>
  <si>
    <t xml:space="preserve">RB-101272</t>
  </si>
  <si>
    <t xml:space="preserve">RB-101273</t>
  </si>
  <si>
    <t xml:space="preserve">RB-101274</t>
  </si>
  <si>
    <t xml:space="preserve">RB-101275</t>
  </si>
  <si>
    <t xml:space="preserve">RB-101276</t>
  </si>
  <si>
    <t xml:space="preserve">RB-101277</t>
  </si>
  <si>
    <t xml:space="preserve">RB-101278</t>
  </si>
  <si>
    <t xml:space="preserve">RB-101279</t>
  </si>
  <si>
    <t xml:space="preserve">RB-101280</t>
  </si>
  <si>
    <t xml:space="preserve">Stonebridge Outlet 64</t>
  </si>
  <si>
    <t xml:space="preserve">RB-101281</t>
  </si>
  <si>
    <t xml:space="preserve">RB-101282</t>
  </si>
  <si>
    <t xml:space="preserve">Eastwick Outlet 364</t>
  </si>
  <si>
    <t xml:space="preserve">RB-101283</t>
  </si>
  <si>
    <t xml:space="preserve">Ironwood Outlet 305</t>
  </si>
  <si>
    <t xml:space="preserve">RB-101284</t>
  </si>
  <si>
    <t xml:space="preserve">RB-101285</t>
  </si>
  <si>
    <t xml:space="preserve">Stonebridge Outlet 253</t>
  </si>
  <si>
    <t xml:space="preserve">RB-101286</t>
  </si>
  <si>
    <t xml:space="preserve">Ironwood Outlet 261</t>
  </si>
  <si>
    <t xml:space="preserve">RB-101287</t>
  </si>
  <si>
    <t xml:space="preserve">RB-101288</t>
  </si>
  <si>
    <t xml:space="preserve">RB-101289</t>
  </si>
  <si>
    <t xml:space="preserve">Kingsford Outlet 72</t>
  </si>
  <si>
    <t xml:space="preserve">RB-101290</t>
  </si>
  <si>
    <t xml:space="preserve">Palm Grove Outlet 221</t>
  </si>
  <si>
    <t xml:space="preserve">RB-101291</t>
  </si>
  <si>
    <t xml:space="preserve">RB-101292</t>
  </si>
  <si>
    <t xml:space="preserve">RB-101293</t>
  </si>
  <si>
    <t xml:space="preserve">Palm Grove Outlet 179</t>
  </si>
  <si>
    <t xml:space="preserve">RB-101294</t>
  </si>
  <si>
    <t xml:space="preserve">Kingsford Outlet 19</t>
  </si>
  <si>
    <t xml:space="preserve">RB-101295</t>
  </si>
  <si>
    <t xml:space="preserve">RB-101296</t>
  </si>
  <si>
    <t xml:space="preserve">Kingsford Outlet 208</t>
  </si>
  <si>
    <t xml:space="preserve">RB-101297</t>
  </si>
  <si>
    <t xml:space="preserve">RB-101298</t>
  </si>
  <si>
    <t xml:space="preserve">RB-101299</t>
  </si>
  <si>
    <t xml:space="preserve">Northgate Outlet 368</t>
  </si>
  <si>
    <t xml:space="preserve">RB-101300</t>
  </si>
  <si>
    <t xml:space="preserve">Northgate Outlet 81</t>
  </si>
  <si>
    <t xml:space="preserve">RB-101301</t>
  </si>
  <si>
    <t xml:space="preserve">RB-101302</t>
  </si>
  <si>
    <t xml:space="preserve">RB-101303</t>
  </si>
  <si>
    <t xml:space="preserve">RB-101304</t>
  </si>
  <si>
    <t xml:space="preserve">Eastwick Outlet 185</t>
  </si>
  <si>
    <t xml:space="preserve">RB-101305</t>
  </si>
  <si>
    <t xml:space="preserve">RB-101306</t>
  </si>
  <si>
    <t xml:space="preserve">RB-101307</t>
  </si>
  <si>
    <t xml:space="preserve">Ironwood Outlet 364</t>
  </si>
  <si>
    <t xml:space="preserve">RB-101308</t>
  </si>
  <si>
    <t xml:space="preserve">RB-101309</t>
  </si>
  <si>
    <t xml:space="preserve">Eastwick Outlet 227</t>
  </si>
  <si>
    <t xml:space="preserve">RB-101310</t>
  </si>
  <si>
    <t xml:space="preserve">RB-101311</t>
  </si>
  <si>
    <t xml:space="preserve">RB-101312</t>
  </si>
  <si>
    <t xml:space="preserve">RB-101313</t>
  </si>
  <si>
    <t xml:space="preserve">Palm Grove Outlet 249</t>
  </si>
  <si>
    <t xml:space="preserve">RB-101314</t>
  </si>
  <si>
    <t xml:space="preserve">RB-101315</t>
  </si>
  <si>
    <t xml:space="preserve">Northgate Outlet 279</t>
  </si>
  <si>
    <t xml:space="preserve">RB-101316</t>
  </si>
  <si>
    <t xml:space="preserve">Stonebridge Outlet 336</t>
  </si>
  <si>
    <t xml:space="preserve">RB-101317</t>
  </si>
  <si>
    <t xml:space="preserve">Northgate Outlet 341</t>
  </si>
  <si>
    <t xml:space="preserve">RB-101318</t>
  </si>
  <si>
    <t xml:space="preserve">Kingsford Outlet 87</t>
  </si>
  <si>
    <t xml:space="preserve">RB-101319</t>
  </si>
  <si>
    <t xml:space="preserve">RB-101320</t>
  </si>
  <si>
    <t xml:space="preserve">RB-101321</t>
  </si>
  <si>
    <t xml:space="preserve">Kingsford Outlet 355</t>
  </si>
  <si>
    <t xml:space="preserve">RB-101322</t>
  </si>
  <si>
    <t xml:space="preserve">Palm Grove Outlet 248</t>
  </si>
  <si>
    <t xml:space="preserve">RB-101323</t>
  </si>
  <si>
    <t xml:space="preserve">RB-101324</t>
  </si>
  <si>
    <t xml:space="preserve">RB-101325</t>
  </si>
  <si>
    <t xml:space="preserve">RB-101326</t>
  </si>
  <si>
    <t xml:space="preserve">RB-101327</t>
  </si>
  <si>
    <t xml:space="preserve">Stonebridge Outlet 75</t>
  </si>
  <si>
    <t xml:space="preserve">RB-101328</t>
  </si>
  <si>
    <t xml:space="preserve">RB-101329</t>
  </si>
  <si>
    <t xml:space="preserve">Palm Grove Outlet 319</t>
  </si>
  <si>
    <t xml:space="preserve">RB-101330</t>
  </si>
  <si>
    <t xml:space="preserve">RB-101331</t>
  </si>
  <si>
    <t xml:space="preserve">Stonebridge Outlet 369</t>
  </si>
  <si>
    <t xml:space="preserve">RB-101332</t>
  </si>
  <si>
    <t xml:space="preserve">RB-101333</t>
  </si>
  <si>
    <t xml:space="preserve">RB-101334</t>
  </si>
  <si>
    <t xml:space="preserve">RB-101335</t>
  </si>
  <si>
    <t xml:space="preserve">Stonebridge Outlet 309</t>
  </si>
  <si>
    <t xml:space="preserve">RB-101336</t>
  </si>
  <si>
    <t xml:space="preserve">RB-101337</t>
  </si>
  <si>
    <t xml:space="preserve">RB-101338</t>
  </si>
  <si>
    <t xml:space="preserve">Eastwick Outlet 333</t>
  </si>
  <si>
    <t xml:space="preserve">RB-101339</t>
  </si>
  <si>
    <t xml:space="preserve">RB-101340</t>
  </si>
  <si>
    <t xml:space="preserve">RB-101341</t>
  </si>
  <si>
    <t xml:space="preserve">Ironwood Outlet 66</t>
  </si>
  <si>
    <t xml:space="preserve">RB-101342</t>
  </si>
  <si>
    <t xml:space="preserve">RB-101343</t>
  </si>
  <si>
    <t xml:space="preserve">RB-101344</t>
  </si>
  <si>
    <t xml:space="preserve">RB-101345</t>
  </si>
  <si>
    <t xml:space="preserve">RB-101346</t>
  </si>
  <si>
    <t xml:space="preserve">Kingsford Outlet 247</t>
  </si>
  <si>
    <t xml:space="preserve">RB-101347</t>
  </si>
  <si>
    <t xml:space="preserve">RB-101348</t>
  </si>
  <si>
    <t xml:space="preserve">Stonebridge Outlet 217</t>
  </si>
  <si>
    <t xml:space="preserve">RB-101349</t>
  </si>
  <si>
    <t xml:space="preserve">RB-101350</t>
  </si>
  <si>
    <t xml:space="preserve">Ironwood Outlet 297</t>
  </si>
  <si>
    <t xml:space="preserve">RB-101351</t>
  </si>
  <si>
    <t xml:space="preserve">Kingsford Outlet 263</t>
  </si>
  <si>
    <t xml:space="preserve">RB-101352</t>
  </si>
  <si>
    <t xml:space="preserve">Ironwood Outlet 337</t>
  </si>
  <si>
    <t xml:space="preserve">RB-101353</t>
  </si>
  <si>
    <t xml:space="preserve">RB-101354</t>
  </si>
  <si>
    <t xml:space="preserve">RB-101355</t>
  </si>
  <si>
    <t xml:space="preserve">RB-101356</t>
  </si>
  <si>
    <t xml:space="preserve">RB-101357</t>
  </si>
  <si>
    <t xml:space="preserve">RB-101358</t>
  </si>
  <si>
    <t xml:space="preserve">RB-101359</t>
  </si>
  <si>
    <t xml:space="preserve">Palm Grove Outlet 311</t>
  </si>
  <si>
    <t xml:space="preserve">RB-101360</t>
  </si>
  <si>
    <t xml:space="preserve">RB-101361</t>
  </si>
  <si>
    <t xml:space="preserve">RB-101362</t>
  </si>
  <si>
    <t xml:space="preserve">RB-101363</t>
  </si>
  <si>
    <t xml:space="preserve">RB-101364</t>
  </si>
  <si>
    <t xml:space="preserve">RB-101365</t>
  </si>
  <si>
    <t xml:space="preserve">Stonebridge Outlet 358</t>
  </si>
  <si>
    <t xml:space="preserve">RB-101366</t>
  </si>
  <si>
    <t xml:space="preserve">Northgate Outlet 171</t>
  </si>
  <si>
    <t xml:space="preserve">RB-101367</t>
  </si>
  <si>
    <t xml:space="preserve">RB-101368</t>
  </si>
  <si>
    <t xml:space="preserve">Palm Grove Outlet 177</t>
  </si>
  <si>
    <t xml:space="preserve">RB-101369</t>
  </si>
  <si>
    <t xml:space="preserve">RB-101370</t>
  </si>
  <si>
    <t xml:space="preserve">Northgate Outlet 107</t>
  </si>
  <si>
    <t xml:space="preserve">RB-101371</t>
  </si>
  <si>
    <t xml:space="preserve">Kingsford Outlet 231</t>
  </si>
  <si>
    <t xml:space="preserve">RB-101372</t>
  </si>
  <si>
    <t xml:space="preserve">RB-101373</t>
  </si>
  <si>
    <t xml:space="preserve">RB-101374</t>
  </si>
  <si>
    <t xml:space="preserve">RB-101375</t>
  </si>
  <si>
    <t xml:space="preserve">Eastwick Outlet 310</t>
  </si>
  <si>
    <t xml:space="preserve">RB-101376</t>
  </si>
  <si>
    <t xml:space="preserve">RB-101377</t>
  </si>
  <si>
    <t xml:space="preserve">RB-101378</t>
  </si>
  <si>
    <t xml:space="preserve">Stonebridge Outlet 222</t>
  </si>
  <si>
    <t xml:space="preserve">RB-101379</t>
  </si>
  <si>
    <t xml:space="preserve">Palm Grove Outlet 150</t>
  </si>
  <si>
    <t xml:space="preserve">RB-101380</t>
  </si>
  <si>
    <t xml:space="preserve">RB-101381</t>
  </si>
  <si>
    <t xml:space="preserve">RB-101382</t>
  </si>
  <si>
    <t xml:space="preserve">Stonebridge Outlet 193</t>
  </si>
  <si>
    <t xml:space="preserve">RB-101383</t>
  </si>
  <si>
    <t xml:space="preserve">Eastwick Outlet 158</t>
  </si>
  <si>
    <t xml:space="preserve">RB-101384</t>
  </si>
  <si>
    <t xml:space="preserve">Stonebridge Outlet 325</t>
  </si>
  <si>
    <t xml:space="preserve">RB-101385</t>
  </si>
  <si>
    <t xml:space="preserve">RB-101386</t>
  </si>
  <si>
    <t xml:space="preserve">Palm Grove Outlet 215</t>
  </si>
  <si>
    <t xml:space="preserve">RB-101387</t>
  </si>
  <si>
    <t xml:space="preserve">Palm Grove Outlet 108</t>
  </si>
  <si>
    <t xml:space="preserve">RB-101388</t>
  </si>
  <si>
    <t xml:space="preserve">Stonebridge Outlet 161</t>
  </si>
  <si>
    <t xml:space="preserve">RB-101389</t>
  </si>
  <si>
    <t xml:space="preserve">RB-101390</t>
  </si>
  <si>
    <t xml:space="preserve">RB-101391</t>
  </si>
  <si>
    <t xml:space="preserve">RB-101392</t>
  </si>
  <si>
    <t xml:space="preserve">RB-101393</t>
  </si>
  <si>
    <t xml:space="preserve">RB-101394</t>
  </si>
  <si>
    <t xml:space="preserve">RB-101395</t>
  </si>
  <si>
    <t xml:space="preserve">RB-101396</t>
  </si>
  <si>
    <t xml:space="preserve">RB-101397</t>
  </si>
  <si>
    <t xml:space="preserve">Ironwood Outlet 157</t>
  </si>
  <si>
    <t xml:space="preserve">RB-101398</t>
  </si>
  <si>
    <t xml:space="preserve">RB-101399</t>
  </si>
  <si>
    <t xml:space="preserve">RB-101400</t>
  </si>
  <si>
    <t xml:space="preserve">Ironwood Outlet 252</t>
  </si>
  <si>
    <t xml:space="preserve">RB-101401</t>
  </si>
  <si>
    <t xml:space="preserve">RB-101402</t>
  </si>
  <si>
    <t xml:space="preserve">Kingsford Outlet 35</t>
  </si>
  <si>
    <t xml:space="preserve">RB-101403</t>
  </si>
  <si>
    <t xml:space="preserve">RB-101404</t>
  </si>
  <si>
    <t xml:space="preserve">Eastwick Outlet 2</t>
  </si>
  <si>
    <t xml:space="preserve">RB-101405</t>
  </si>
  <si>
    <t xml:space="preserve">RB-101406</t>
  </si>
  <si>
    <t xml:space="preserve">RB-101407</t>
  </si>
  <si>
    <t xml:space="preserve">RB-101408</t>
  </si>
  <si>
    <t xml:space="preserve">Palm Grove Outlet 32</t>
  </si>
  <si>
    <t xml:space="preserve">RB-101409</t>
  </si>
  <si>
    <t xml:space="preserve">Stonebridge Outlet 136</t>
  </si>
  <si>
    <t xml:space="preserve">RB-101410</t>
  </si>
  <si>
    <t xml:space="preserve">RB-101411</t>
  </si>
  <si>
    <t xml:space="preserve">Palm Grove Outlet 293</t>
  </si>
  <si>
    <t xml:space="preserve">RB-101412</t>
  </si>
  <si>
    <t xml:space="preserve">RB-101413</t>
  </si>
  <si>
    <t xml:space="preserve">RB-101414</t>
  </si>
  <si>
    <t xml:space="preserve">Northgate Outlet 180</t>
  </si>
  <si>
    <t xml:space="preserve">RB-101415</t>
  </si>
  <si>
    <t xml:space="preserve">Palm Grove Outlet 58</t>
  </si>
  <si>
    <t xml:space="preserve">RB-101416</t>
  </si>
  <si>
    <t xml:space="preserve">Eastwick Outlet 382</t>
  </si>
  <si>
    <t xml:space="preserve">RB-101417</t>
  </si>
  <si>
    <t xml:space="preserve">Eastwick Outlet 183</t>
  </si>
  <si>
    <t xml:space="preserve">RB-101418</t>
  </si>
  <si>
    <t xml:space="preserve">Ironwood Outlet 121</t>
  </si>
  <si>
    <t xml:space="preserve">RB-101419</t>
  </si>
  <si>
    <t xml:space="preserve">RB-101420</t>
  </si>
  <si>
    <t xml:space="preserve">Stonebridge Outlet 107</t>
  </si>
  <si>
    <t xml:space="preserve">RB-101421</t>
  </si>
  <si>
    <t xml:space="preserve">RB-101422</t>
  </si>
  <si>
    <t xml:space="preserve">RB-101423</t>
  </si>
  <si>
    <t xml:space="preserve">Eastwick Outlet 151</t>
  </si>
  <si>
    <t xml:space="preserve">RB-101424</t>
  </si>
  <si>
    <t xml:space="preserve">RB-101425</t>
  </si>
  <si>
    <t xml:space="preserve">Northgate Outlet 282</t>
  </si>
  <si>
    <t xml:space="preserve">RB-101426</t>
  </si>
  <si>
    <t xml:space="preserve">RB-101427</t>
  </si>
  <si>
    <t xml:space="preserve">RB-101428</t>
  </si>
  <si>
    <t xml:space="preserve">RB-101429</t>
  </si>
  <si>
    <t xml:space="preserve">Eastwick Outlet 321</t>
  </si>
  <si>
    <t xml:space="preserve">RB-101430</t>
  </si>
  <si>
    <t xml:space="preserve">RB-101431</t>
  </si>
  <si>
    <t xml:space="preserve">Kingsford Outlet 215</t>
  </si>
  <si>
    <t xml:space="preserve">RB-101432</t>
  </si>
  <si>
    <t xml:space="preserve">Eastwick Outlet 263</t>
  </si>
  <si>
    <t xml:space="preserve">RB-101433</t>
  </si>
  <si>
    <t xml:space="preserve">RB-101434</t>
  </si>
  <si>
    <t xml:space="preserve">Kingsford Outlet 239</t>
  </si>
  <si>
    <t xml:space="preserve">RB-101435</t>
  </si>
  <si>
    <t xml:space="preserve">Palm Grove Outlet 131</t>
  </si>
  <si>
    <t xml:space="preserve">RB-101436</t>
  </si>
  <si>
    <t xml:space="preserve">RB-101437</t>
  </si>
  <si>
    <t xml:space="preserve">Eastwick Outlet 211</t>
  </si>
  <si>
    <t xml:space="preserve">RB-101438</t>
  </si>
  <si>
    <t xml:space="preserve">Palm Grove Outlet 23</t>
  </si>
  <si>
    <t xml:space="preserve">RB-101439</t>
  </si>
  <si>
    <t xml:space="preserve">Eastwick Outlet 308</t>
  </si>
  <si>
    <t xml:space="preserve">RB-101440</t>
  </si>
  <si>
    <t xml:space="preserve">Ironwood Outlet 141</t>
  </si>
  <si>
    <t xml:space="preserve">RB-101441</t>
  </si>
  <si>
    <t xml:space="preserve">RB-101442</t>
  </si>
  <si>
    <t xml:space="preserve">RB-101443</t>
  </si>
  <si>
    <t xml:space="preserve">Stonebridge Outlet 380</t>
  </si>
  <si>
    <t xml:space="preserve">RB-101444</t>
  </si>
  <si>
    <t xml:space="preserve">Ironwood Outlet 163</t>
  </si>
  <si>
    <t xml:space="preserve">RB-101445</t>
  </si>
  <si>
    <t xml:space="preserve">RB-101446</t>
  </si>
  <si>
    <t xml:space="preserve">RB-101447</t>
  </si>
  <si>
    <t xml:space="preserve">RB-101448</t>
  </si>
  <si>
    <t xml:space="preserve">Stonebridge Outlet 55</t>
  </si>
  <si>
    <t xml:space="preserve">RB-101449</t>
  </si>
  <si>
    <t xml:space="preserve">RB-101450</t>
  </si>
  <si>
    <t xml:space="preserve">RB-101451</t>
  </si>
  <si>
    <t xml:space="preserve">RB-101452</t>
  </si>
  <si>
    <t xml:space="preserve">RB-101453</t>
  </si>
  <si>
    <t xml:space="preserve">RB-101454</t>
  </si>
  <si>
    <t xml:space="preserve">RB-101455</t>
  </si>
  <si>
    <t xml:space="preserve">RB-101456</t>
  </si>
  <si>
    <t xml:space="preserve">Palm Grove Outlet 326</t>
  </si>
  <si>
    <t xml:space="preserve">RB-101457</t>
  </si>
  <si>
    <t xml:space="preserve">Eastwick Outlet 251</t>
  </si>
  <si>
    <t xml:space="preserve">RB-101458</t>
  </si>
  <si>
    <t xml:space="preserve">RB-101459</t>
  </si>
  <si>
    <t xml:space="preserve">RB-101460</t>
  </si>
  <si>
    <t xml:space="preserve">RB-101461</t>
  </si>
  <si>
    <t xml:space="preserve">RB-101462</t>
  </si>
  <si>
    <t xml:space="preserve">RB-101463</t>
  </si>
  <si>
    <t xml:space="preserve">RB-101464</t>
  </si>
  <si>
    <t xml:space="preserve">RB-101465</t>
  </si>
  <si>
    <t xml:space="preserve">Ironwood Outlet 77</t>
  </si>
  <si>
    <t xml:space="preserve">RB-101466</t>
  </si>
  <si>
    <t xml:space="preserve">RB-101467</t>
  </si>
  <si>
    <t xml:space="preserve">Kingsford Outlet 151</t>
  </si>
  <si>
    <t xml:space="preserve">RB-101468</t>
  </si>
  <si>
    <t xml:space="preserve">RB-101469</t>
  </si>
  <si>
    <t xml:space="preserve">RB-101470</t>
  </si>
  <si>
    <t xml:space="preserve">RB-101471</t>
  </si>
  <si>
    <t xml:space="preserve">RB-101472</t>
  </si>
  <si>
    <t xml:space="preserve">Kingsford Outlet 301</t>
  </si>
  <si>
    <t xml:space="preserve">RB-101473</t>
  </si>
  <si>
    <t xml:space="preserve">RB-101474</t>
  </si>
  <si>
    <t xml:space="preserve">RB-101475</t>
  </si>
  <si>
    <t xml:space="preserve">Northgate Outlet 214</t>
  </si>
  <si>
    <t xml:space="preserve">RB-101476</t>
  </si>
  <si>
    <t xml:space="preserve">RB-101477</t>
  </si>
  <si>
    <t xml:space="preserve">RB-101478</t>
  </si>
  <si>
    <t xml:space="preserve">Kingsford Outlet 84</t>
  </si>
  <si>
    <t xml:space="preserve">RB-101479</t>
  </si>
  <si>
    <t xml:space="preserve">Palm Grove Outlet 129</t>
  </si>
  <si>
    <t xml:space="preserve">RB-101480</t>
  </si>
  <si>
    <t xml:space="preserve">Ironwood Outlet 171</t>
  </si>
  <si>
    <t xml:space="preserve">RB-101481</t>
  </si>
  <si>
    <t xml:space="preserve">Palm Grove Outlet 282</t>
  </si>
  <si>
    <t xml:space="preserve">RB-101482</t>
  </si>
  <si>
    <t xml:space="preserve">Eastwick Outlet 324</t>
  </si>
  <si>
    <t xml:space="preserve">RB-101483</t>
  </si>
  <si>
    <t xml:space="preserve">Kingsford Outlet 172</t>
  </si>
  <si>
    <t xml:space="preserve">RB-101484</t>
  </si>
  <si>
    <t xml:space="preserve">RB-101485</t>
  </si>
  <si>
    <t xml:space="preserve">Northgate Outlet 346</t>
  </si>
  <si>
    <t xml:space="preserve">RB-101486</t>
  </si>
  <si>
    <t xml:space="preserve">RB-101487</t>
  </si>
  <si>
    <t xml:space="preserve">RB-101488</t>
  </si>
  <si>
    <t xml:space="preserve">RB-101489</t>
  </si>
  <si>
    <t xml:space="preserve">RB-101490</t>
  </si>
  <si>
    <t xml:space="preserve">RB-101491</t>
  </si>
  <si>
    <t xml:space="preserve">Palm Grove Outlet 133</t>
  </si>
  <si>
    <t xml:space="preserve">RB-101492</t>
  </si>
  <si>
    <t xml:space="preserve">Palm Grove Outlet 25</t>
  </si>
  <si>
    <t xml:space="preserve">RB-101493</t>
  </si>
  <si>
    <t xml:space="preserve">RB-101494</t>
  </si>
  <si>
    <t xml:space="preserve">RB-101495</t>
  </si>
  <si>
    <t xml:space="preserve">RB-101496</t>
  </si>
  <si>
    <t xml:space="preserve">RB-101497</t>
  </si>
  <si>
    <t xml:space="preserve">Northgate Outlet 213</t>
  </si>
  <si>
    <t xml:space="preserve">RB-101498</t>
  </si>
  <si>
    <t xml:space="preserve">RB-101499</t>
  </si>
  <si>
    <t xml:space="preserve">RB-101500</t>
  </si>
  <si>
    <t xml:space="preserve">RB-101501</t>
  </si>
  <si>
    <t xml:space="preserve">RB-101502</t>
  </si>
  <si>
    <t xml:space="preserve">RB-101503</t>
  </si>
  <si>
    <t xml:space="preserve">RB-101504</t>
  </si>
  <si>
    <t xml:space="preserve">Ironwood Outlet 358</t>
  </si>
  <si>
    <t xml:space="preserve">RB-101505</t>
  </si>
  <si>
    <t xml:space="preserve">RB-101506</t>
  </si>
  <si>
    <t xml:space="preserve">Kingsford Outlet 390</t>
  </si>
  <si>
    <t xml:space="preserve">RB-101507</t>
  </si>
  <si>
    <t xml:space="preserve">RB-101508</t>
  </si>
  <si>
    <t xml:space="preserve">RB-101509</t>
  </si>
  <si>
    <t xml:space="preserve">RB-101510</t>
  </si>
  <si>
    <t xml:space="preserve">RB-101511</t>
  </si>
  <si>
    <t xml:space="preserve">RB-101512</t>
  </si>
  <si>
    <t xml:space="preserve">Eastwick Outlet 197</t>
  </si>
  <si>
    <t xml:space="preserve">RB-101513</t>
  </si>
  <si>
    <t xml:space="preserve">Eastwick Outlet 16</t>
  </si>
  <si>
    <t xml:space="preserve">RB-101514</t>
  </si>
  <si>
    <t xml:space="preserve">RB-101515</t>
  </si>
  <si>
    <t xml:space="preserve">RB-101516</t>
  </si>
  <si>
    <t xml:space="preserve">Palm Grove Outlet 247</t>
  </si>
  <si>
    <t xml:space="preserve">RB-101517</t>
  </si>
  <si>
    <t xml:space="preserve">Kingsford Outlet 14</t>
  </si>
  <si>
    <t xml:space="preserve">RB-101518</t>
  </si>
  <si>
    <t xml:space="preserve">RB-101519</t>
  </si>
  <si>
    <t xml:space="preserve">RB-101520</t>
  </si>
  <si>
    <t xml:space="preserve">Palm Grove Outlet 71</t>
  </si>
  <si>
    <t xml:space="preserve">RB-101521</t>
  </si>
  <si>
    <t xml:space="preserve">RB-101522</t>
  </si>
  <si>
    <t xml:space="preserve">Palm Grove Outlet 171</t>
  </si>
  <si>
    <t xml:space="preserve">RB-101523</t>
  </si>
  <si>
    <t xml:space="preserve">RB-101524</t>
  </si>
  <si>
    <t xml:space="preserve">Stonebridge Outlet 375</t>
  </si>
  <si>
    <t xml:space="preserve">RB-101525</t>
  </si>
  <si>
    <t xml:space="preserve">RB-101526</t>
  </si>
  <si>
    <t xml:space="preserve">Ironwood Outlet 65</t>
  </si>
  <si>
    <t xml:space="preserve">RB-101527</t>
  </si>
  <si>
    <t xml:space="preserve">RB-101528</t>
  </si>
  <si>
    <t xml:space="preserve">Palm Grove Outlet 355</t>
  </si>
  <si>
    <t xml:space="preserve">RB-101529</t>
  </si>
  <si>
    <t xml:space="preserve">RB-101530</t>
  </si>
  <si>
    <t xml:space="preserve">RB-101531</t>
  </si>
  <si>
    <t xml:space="preserve">RB-101532</t>
  </si>
  <si>
    <t xml:space="preserve">Ironwood Outlet 355</t>
  </si>
  <si>
    <t xml:space="preserve">RB-101533</t>
  </si>
  <si>
    <t xml:space="preserve">RB-101534</t>
  </si>
  <si>
    <t xml:space="preserve">Ironwood Outlet 124</t>
  </si>
  <si>
    <t xml:space="preserve">RB-101535</t>
  </si>
  <si>
    <t xml:space="preserve">RB-101536</t>
  </si>
  <si>
    <t xml:space="preserve">RB-101537</t>
  </si>
  <si>
    <t xml:space="preserve">RB-101538</t>
  </si>
  <si>
    <t xml:space="preserve">RB-101539</t>
  </si>
  <si>
    <t xml:space="preserve">Eastwick Outlet 367</t>
  </si>
  <si>
    <t xml:space="preserve">RB-101540</t>
  </si>
  <si>
    <t xml:space="preserve">Kingsford Outlet 369</t>
  </si>
  <si>
    <t xml:space="preserve">RB-101541</t>
  </si>
  <si>
    <t xml:space="preserve">Kingsford Outlet 311</t>
  </si>
  <si>
    <t xml:space="preserve">RB-101542</t>
  </si>
  <si>
    <t xml:space="preserve">Northgate Outlet 293</t>
  </si>
  <si>
    <t xml:space="preserve">RB-101543</t>
  </si>
  <si>
    <t xml:space="preserve">RB-101544</t>
  </si>
  <si>
    <t xml:space="preserve">Palm Grove Outlet 1</t>
  </si>
  <si>
    <t xml:space="preserve">RB-101545</t>
  </si>
  <si>
    <t xml:space="preserve">Stonebridge Outlet 385</t>
  </si>
  <si>
    <t xml:space="preserve">RB-101546</t>
  </si>
  <si>
    <t xml:space="preserve">RB-101547</t>
  </si>
  <si>
    <t xml:space="preserve">RB-101548</t>
  </si>
  <si>
    <t xml:space="preserve">RB-101549</t>
  </si>
  <si>
    <t xml:space="preserve">Stonebridge Outlet 16</t>
  </si>
  <si>
    <t xml:space="preserve">RB-101550</t>
  </si>
  <si>
    <t xml:space="preserve">Eastwick Outlet 223</t>
  </si>
  <si>
    <t xml:space="preserve">RB-101551</t>
  </si>
  <si>
    <t xml:space="preserve">Ironwood Outlet 260</t>
  </si>
  <si>
    <t xml:space="preserve">RB-101552</t>
  </si>
  <si>
    <t xml:space="preserve">Palm Grove Outlet 148</t>
  </si>
  <si>
    <t xml:space="preserve">RB-101553</t>
  </si>
  <si>
    <t xml:space="preserve">RB-101554</t>
  </si>
  <si>
    <t xml:space="preserve">RB-101555</t>
  </si>
  <si>
    <t xml:space="preserve">Stonebridge Outlet 322</t>
  </si>
  <si>
    <t xml:space="preserve">RB-101556</t>
  </si>
  <si>
    <t xml:space="preserve">RB-101557</t>
  </si>
  <si>
    <t xml:space="preserve">RB-101558</t>
  </si>
  <si>
    <t xml:space="preserve">RB-101559</t>
  </si>
  <si>
    <t xml:space="preserve">RB-101560</t>
  </si>
  <si>
    <t xml:space="preserve">RB-101561</t>
  </si>
  <si>
    <t xml:space="preserve">Stonebridge Outlet 282</t>
  </si>
  <si>
    <t xml:space="preserve">RB-101562</t>
  </si>
  <si>
    <t xml:space="preserve">RB-101563</t>
  </si>
  <si>
    <t xml:space="preserve">Palm Grove Outlet 295</t>
  </si>
  <si>
    <t xml:space="preserve">RB-101564</t>
  </si>
  <si>
    <t xml:space="preserve">Palm Grove Outlet 195</t>
  </si>
  <si>
    <t xml:space="preserve">RB-101565</t>
  </si>
  <si>
    <t xml:space="preserve">RB-101566</t>
  </si>
  <si>
    <t xml:space="preserve">RB-101567</t>
  </si>
  <si>
    <t xml:space="preserve">RB-101568</t>
  </si>
  <si>
    <t xml:space="preserve">RB-101569</t>
  </si>
  <si>
    <t xml:space="preserve">Kingsford Outlet 341</t>
  </si>
  <si>
    <t xml:space="preserve">RB-101570</t>
  </si>
  <si>
    <t xml:space="preserve">RB-101571</t>
  </si>
  <si>
    <t xml:space="preserve">RB-101572</t>
  </si>
  <si>
    <t xml:space="preserve">RB-101573</t>
  </si>
  <si>
    <t xml:space="preserve">RB-101574</t>
  </si>
  <si>
    <t xml:space="preserve">Stonebridge Outlet 328</t>
  </si>
  <si>
    <t xml:space="preserve">RB-101575</t>
  </si>
  <si>
    <t xml:space="preserve">Stonebridge Outlet 299</t>
  </si>
  <si>
    <t xml:space="preserve">RB-101576</t>
  </si>
  <si>
    <t xml:space="preserve">RB-101577</t>
  </si>
  <si>
    <t xml:space="preserve">RB-101578</t>
  </si>
  <si>
    <t xml:space="preserve">RB-101579</t>
  </si>
  <si>
    <t xml:space="preserve">RB-101580</t>
  </si>
  <si>
    <t xml:space="preserve">RB-101581</t>
  </si>
  <si>
    <t xml:space="preserve">Palm Grove Outlet 322</t>
  </si>
  <si>
    <t xml:space="preserve">RB-101582</t>
  </si>
  <si>
    <t xml:space="preserve">Stonebridge Outlet 127</t>
  </si>
  <si>
    <t xml:space="preserve">RB-101583</t>
  </si>
  <si>
    <t xml:space="preserve">RB-101584</t>
  </si>
  <si>
    <t xml:space="preserve">RB-101585</t>
  </si>
  <si>
    <t xml:space="preserve">RB-101586</t>
  </si>
  <si>
    <t xml:space="preserve">RB-101587</t>
  </si>
  <si>
    <t xml:space="preserve">RB-101588</t>
  </si>
  <si>
    <t xml:space="preserve">Eastwick Outlet 235</t>
  </si>
  <si>
    <t xml:space="preserve">RB-101589</t>
  </si>
  <si>
    <t xml:space="preserve">Kingsford Outlet 78</t>
  </si>
  <si>
    <t xml:space="preserve">RB-101590</t>
  </si>
  <si>
    <t xml:space="preserve">Northgate Outlet 311</t>
  </si>
  <si>
    <t xml:space="preserve">RB-101591</t>
  </si>
  <si>
    <t xml:space="preserve">Palm Grove Outlet 256</t>
  </si>
  <si>
    <t xml:space="preserve">RB-101592</t>
  </si>
  <si>
    <t xml:space="preserve">RB-101593</t>
  </si>
  <si>
    <t xml:space="preserve">RB-101594</t>
  </si>
  <si>
    <t xml:space="preserve">Kingsford Outlet 359</t>
  </si>
  <si>
    <t xml:space="preserve">RB-101595</t>
  </si>
  <si>
    <t xml:space="preserve">Palm Grove Outlet 380</t>
  </si>
  <si>
    <t xml:space="preserve">RB-101596</t>
  </si>
  <si>
    <t xml:space="preserve">RB-101597</t>
  </si>
  <si>
    <t xml:space="preserve">Palm Grove Outlet 154</t>
  </si>
  <si>
    <t xml:space="preserve">RB-101598</t>
  </si>
  <si>
    <t xml:space="preserve">Eastwick Outlet 193</t>
  </si>
  <si>
    <t xml:space="preserve">RB-101599</t>
  </si>
  <si>
    <t xml:space="preserve">RB-101600</t>
  </si>
  <si>
    <t xml:space="preserve">RB-101601</t>
  </si>
  <si>
    <t xml:space="preserve">Stonebridge Outlet 227</t>
  </si>
  <si>
    <t xml:space="preserve">RB-101602</t>
  </si>
  <si>
    <t xml:space="preserve">Ironwood Outlet 187</t>
  </si>
  <si>
    <t xml:space="preserve">RB-101603</t>
  </si>
  <si>
    <t xml:space="preserve">RB-101604</t>
  </si>
  <si>
    <t xml:space="preserve">Stonebridge Outlet 347</t>
  </si>
  <si>
    <t xml:space="preserve">RB-101605</t>
  </si>
  <si>
    <t xml:space="preserve">RB-101606</t>
  </si>
  <si>
    <t xml:space="preserve">RB-101607</t>
  </si>
  <si>
    <t xml:space="preserve">RB-101608</t>
  </si>
  <si>
    <t xml:space="preserve">RB-101609</t>
  </si>
  <si>
    <t xml:space="preserve">RB-101610</t>
  </si>
  <si>
    <t xml:space="preserve">RB-101611</t>
  </si>
  <si>
    <t xml:space="preserve">RB-101612</t>
  </si>
  <si>
    <t xml:space="preserve">Northgate Outlet 106</t>
  </si>
  <si>
    <t xml:space="preserve">RB-101613</t>
  </si>
  <si>
    <t xml:space="preserve">RB-101614</t>
  </si>
  <si>
    <t xml:space="preserve">Ironwood Outlet 44</t>
  </si>
  <si>
    <t xml:space="preserve">RB-101615</t>
  </si>
  <si>
    <t xml:space="preserve">Kingsford Outlet 325</t>
  </si>
  <si>
    <t xml:space="preserve">RB-101616</t>
  </si>
  <si>
    <t xml:space="preserve">RB-101617</t>
  </si>
  <si>
    <t xml:space="preserve">Stonebridge Outlet 233</t>
  </si>
  <si>
    <t xml:space="preserve">RB-101618</t>
  </si>
  <si>
    <t xml:space="preserve">RB-101619</t>
  </si>
  <si>
    <t xml:space="preserve">Palm Grove Outlet 85</t>
  </si>
  <si>
    <t xml:space="preserve">RB-101620</t>
  </si>
  <si>
    <t xml:space="preserve">RB-101621</t>
  </si>
  <si>
    <t xml:space="preserve">RB-101622</t>
  </si>
  <si>
    <t xml:space="preserve">RB-101623</t>
  </si>
  <si>
    <t xml:space="preserve">Ironwood Outlet 8</t>
  </si>
  <si>
    <t xml:space="preserve">RB-101624</t>
  </si>
  <si>
    <t xml:space="preserve">RB-101625</t>
  </si>
  <si>
    <t xml:space="preserve">RB-101626</t>
  </si>
  <si>
    <t xml:space="preserve">RB-101627</t>
  </si>
  <si>
    <t xml:space="preserve">Eastwick Outlet 363</t>
  </si>
  <si>
    <t xml:space="preserve">RB-101628</t>
  </si>
  <si>
    <t xml:space="preserve">Eastwick Outlet 353</t>
  </si>
  <si>
    <t xml:space="preserve">RB-101629</t>
  </si>
  <si>
    <t xml:space="preserve">RB-101630</t>
  </si>
  <si>
    <t xml:space="preserve">Palm Grove Outlet 400</t>
  </si>
  <si>
    <t xml:space="preserve">RB-101631</t>
  </si>
  <si>
    <t xml:space="preserve">Northgate Outlet 260</t>
  </si>
  <si>
    <t xml:space="preserve">RB-101632</t>
  </si>
  <si>
    <t xml:space="preserve">RB-101633</t>
  </si>
  <si>
    <t xml:space="preserve">Ironwood Outlet 338</t>
  </si>
  <si>
    <t xml:space="preserve">RB-101634</t>
  </si>
  <si>
    <t xml:space="preserve">RB-101635</t>
  </si>
  <si>
    <t xml:space="preserve">RB-101636</t>
  </si>
  <si>
    <t xml:space="preserve">RB-101637</t>
  </si>
  <si>
    <t xml:space="preserve">Stonebridge Outlet 270</t>
  </si>
  <si>
    <t xml:space="preserve">RB-101638</t>
  </si>
  <si>
    <t xml:space="preserve">Eastwick Outlet 305</t>
  </si>
  <si>
    <t xml:space="preserve">RB-101639</t>
  </si>
  <si>
    <t xml:space="preserve">RB-101640</t>
  </si>
  <si>
    <t xml:space="preserve">RB-101641</t>
  </si>
  <si>
    <t xml:space="preserve">RB-101642</t>
  </si>
  <si>
    <t xml:space="preserve">RB-101643</t>
  </si>
  <si>
    <t xml:space="preserve">Northgate Outlet 222</t>
  </si>
  <si>
    <t xml:space="preserve">RB-101644</t>
  </si>
  <si>
    <t xml:space="preserve">RB-101645</t>
  </si>
  <si>
    <t xml:space="preserve">RB-101646</t>
  </si>
  <si>
    <t xml:space="preserve">RB-101647</t>
  </si>
  <si>
    <t xml:space="preserve">Kingsford Outlet 111</t>
  </si>
  <si>
    <t xml:space="preserve">RB-101648</t>
  </si>
  <si>
    <t xml:space="preserve">Eastwick Outlet 110</t>
  </si>
  <si>
    <t xml:space="preserve">RB-101649</t>
  </si>
  <si>
    <t xml:space="preserve">Ironwood Outlet 319</t>
  </si>
  <si>
    <t xml:space="preserve">RB-101650</t>
  </si>
  <si>
    <t xml:space="preserve">Palm Grove Outlet 157</t>
  </si>
  <si>
    <t xml:space="preserve">RB-101651</t>
  </si>
  <si>
    <t xml:space="preserve">RB-101652</t>
  </si>
  <si>
    <t xml:space="preserve">Northgate Outlet 238</t>
  </si>
  <si>
    <t xml:space="preserve">RB-101653</t>
  </si>
  <si>
    <t xml:space="preserve">RB-101654</t>
  </si>
  <si>
    <t xml:space="preserve">RB-101655</t>
  </si>
  <si>
    <t xml:space="preserve">RB-101656</t>
  </si>
  <si>
    <t xml:space="preserve">RB-101657</t>
  </si>
  <si>
    <t xml:space="preserve">RB-101658</t>
  </si>
  <si>
    <t xml:space="preserve">RB-101659</t>
  </si>
  <si>
    <t xml:space="preserve">RB-101660</t>
  </si>
  <si>
    <t xml:space="preserve">RB-101661</t>
  </si>
  <si>
    <t xml:space="preserve">Kingsford Outlet 32</t>
  </si>
  <si>
    <t xml:space="preserve">RB-101662</t>
  </si>
  <si>
    <t xml:space="preserve">RB-101663</t>
  </si>
  <si>
    <t xml:space="preserve">Ironwood Outlet 354</t>
  </si>
  <si>
    <t xml:space="preserve">RB-101664</t>
  </si>
  <si>
    <t xml:space="preserve">Eastwick Outlet 25</t>
  </si>
  <si>
    <t xml:space="preserve">RB-101665</t>
  </si>
  <si>
    <t xml:space="preserve">RB-101666</t>
  </si>
  <si>
    <t xml:space="preserve">Stonebridge Outlet 169</t>
  </si>
  <si>
    <t xml:space="preserve">RB-101667</t>
  </si>
  <si>
    <t xml:space="preserve">RB-101668</t>
  </si>
  <si>
    <t xml:space="preserve">Palm Grove Outlet 223</t>
  </si>
  <si>
    <t xml:space="preserve">RB-101669</t>
  </si>
  <si>
    <t xml:space="preserve">RB-101670</t>
  </si>
  <si>
    <t xml:space="preserve">RB-101671</t>
  </si>
  <si>
    <t xml:space="preserve">RB-101672</t>
  </si>
  <si>
    <t xml:space="preserve">Palm Grove Outlet 317</t>
  </si>
  <si>
    <t xml:space="preserve">RB-101673</t>
  </si>
  <si>
    <t xml:space="preserve">Eastwick Outlet 217</t>
  </si>
  <si>
    <t xml:space="preserve">RB-101674</t>
  </si>
  <si>
    <t xml:space="preserve">RB-101675</t>
  </si>
  <si>
    <t xml:space="preserve">Kingsford Outlet 21</t>
  </si>
  <si>
    <t xml:space="preserve">RB-101676</t>
  </si>
  <si>
    <t xml:space="preserve">RB-101677</t>
  </si>
  <si>
    <t xml:space="preserve">Stonebridge Outlet 104</t>
  </si>
  <si>
    <t xml:space="preserve">RB-101678</t>
  </si>
  <si>
    <t xml:space="preserve">RB-101679</t>
  </si>
  <si>
    <t xml:space="preserve">RB-101680</t>
  </si>
  <si>
    <t xml:space="preserve">Palm Grove Outlet 300</t>
  </si>
  <si>
    <t xml:space="preserve">RB-101681</t>
  </si>
  <si>
    <t xml:space="preserve">RB-101682</t>
  </si>
  <si>
    <t xml:space="preserve">RB-101683</t>
  </si>
  <si>
    <t xml:space="preserve">RB-101684</t>
  </si>
  <si>
    <t xml:space="preserve">RB-101685</t>
  </si>
  <si>
    <t xml:space="preserve">RB-101686</t>
  </si>
  <si>
    <t xml:space="preserve">RB-101687</t>
  </si>
  <si>
    <t xml:space="preserve">Eastwick Outlet 380</t>
  </si>
  <si>
    <t xml:space="preserve">RB-101688</t>
  </si>
  <si>
    <t xml:space="preserve">RB-101689</t>
  </si>
  <si>
    <t xml:space="preserve">Palm Grove Outlet 9</t>
  </si>
  <si>
    <t xml:space="preserve">RB-101690</t>
  </si>
  <si>
    <t xml:space="preserve">RB-101691</t>
  </si>
  <si>
    <t xml:space="preserve">RB-101692</t>
  </si>
  <si>
    <t xml:space="preserve">RB-101693</t>
  </si>
  <si>
    <t xml:space="preserve">Eastwick Outlet 362</t>
  </si>
  <si>
    <t xml:space="preserve">RB-101694</t>
  </si>
  <si>
    <t xml:space="preserve">RB-101695</t>
  </si>
  <si>
    <t xml:space="preserve">Stonebridge Outlet 236</t>
  </si>
  <si>
    <t xml:space="preserve">RB-101696</t>
  </si>
  <si>
    <t xml:space="preserve">RB-101697</t>
  </si>
  <si>
    <t xml:space="preserve">RB-101698</t>
  </si>
  <si>
    <t xml:space="preserve">RB-101699</t>
  </si>
  <si>
    <t xml:space="preserve">RB-101700</t>
  </si>
  <si>
    <t xml:space="preserve">Eastwick Outlet 286</t>
  </si>
  <si>
    <t xml:space="preserve">RB-101701</t>
  </si>
  <si>
    <t xml:space="preserve">Eastwick Outlet 366</t>
  </si>
  <si>
    <t xml:space="preserve">RB-101702</t>
  </si>
  <si>
    <t xml:space="preserve">RB-101703</t>
  </si>
  <si>
    <t xml:space="preserve">Northgate Outlet 355</t>
  </si>
  <si>
    <t xml:space="preserve">RB-101704</t>
  </si>
  <si>
    <t xml:space="preserve">RB-101705</t>
  </si>
  <si>
    <t xml:space="preserve">RB-101706</t>
  </si>
  <si>
    <t xml:space="preserve">Stonebridge Outlet 91</t>
  </si>
  <si>
    <t xml:space="preserve">RB-101707</t>
  </si>
  <si>
    <t xml:space="preserve">Northgate Outlet 6</t>
  </si>
  <si>
    <t xml:space="preserve">RB-101708</t>
  </si>
  <si>
    <t xml:space="preserve">Kingsford Outlet 264</t>
  </si>
  <si>
    <t xml:space="preserve">RB-101709</t>
  </si>
  <si>
    <t xml:space="preserve">RB-101710</t>
  </si>
  <si>
    <t xml:space="preserve">RB-101711</t>
  </si>
  <si>
    <t xml:space="preserve">Stonebridge Outlet 241</t>
  </si>
  <si>
    <t xml:space="preserve">RB-101712</t>
  </si>
  <si>
    <t xml:space="preserve">RB-101713</t>
  </si>
  <si>
    <t xml:space="preserve">Eastwick Outlet 330</t>
  </si>
  <si>
    <t xml:space="preserve">RB-101714</t>
  </si>
  <si>
    <t xml:space="preserve">RB-101715</t>
  </si>
  <si>
    <t xml:space="preserve">RB-101716</t>
  </si>
  <si>
    <t xml:space="preserve">RB-101717</t>
  </si>
  <si>
    <t xml:space="preserve">RB-101718</t>
  </si>
  <si>
    <t xml:space="preserve">Kingsford Outlet 196</t>
  </si>
  <si>
    <t xml:space="preserve">RB-101719</t>
  </si>
  <si>
    <t xml:space="preserve">Ironwood Outlet 127</t>
  </si>
  <si>
    <t xml:space="preserve">RB-101720</t>
  </si>
  <si>
    <t xml:space="preserve">RB-101721</t>
  </si>
  <si>
    <t xml:space="preserve">Kingsford Outlet 358</t>
  </si>
  <si>
    <t xml:space="preserve">RB-101722</t>
  </si>
  <si>
    <t xml:space="preserve">RB-101723</t>
  </si>
  <si>
    <t xml:space="preserve">Northgate Outlet 232</t>
  </si>
  <si>
    <t xml:space="preserve">RB-101724</t>
  </si>
  <si>
    <t xml:space="preserve">RB-101725</t>
  </si>
  <si>
    <t xml:space="preserve">Ironwood Outlet 111</t>
  </si>
  <si>
    <t xml:space="preserve">RB-101726</t>
  </si>
  <si>
    <t xml:space="preserve">Eastwick Outlet 188</t>
  </si>
  <si>
    <t xml:space="preserve">RB-101727</t>
  </si>
  <si>
    <t xml:space="preserve">RB-101728</t>
  </si>
  <si>
    <t xml:space="preserve">RB-101729</t>
  </si>
  <si>
    <t xml:space="preserve">Kingsford Outlet 161</t>
  </si>
  <si>
    <t xml:space="preserve">RB-101730</t>
  </si>
  <si>
    <t xml:space="preserve">Northgate Outlet 18</t>
  </si>
  <si>
    <t xml:space="preserve">RB-101731</t>
  </si>
  <si>
    <t xml:space="preserve">RB-101732</t>
  </si>
  <si>
    <t xml:space="preserve">RB-101733</t>
  </si>
  <si>
    <t xml:space="preserve">Stonebridge Outlet 316</t>
  </si>
  <si>
    <t xml:space="preserve">RB-101734</t>
  </si>
  <si>
    <t xml:space="preserve">Ironwood Outlet 2</t>
  </si>
  <si>
    <t xml:space="preserve">RB-101735</t>
  </si>
  <si>
    <t xml:space="preserve">RB-101736</t>
  </si>
  <si>
    <t xml:space="preserve">RB-101737</t>
  </si>
  <si>
    <t xml:space="preserve">Palm Grove Outlet 348</t>
  </si>
  <si>
    <t xml:space="preserve">RB-101738</t>
  </si>
  <si>
    <t xml:space="preserve">Ironwood Outlet 24</t>
  </si>
  <si>
    <t xml:space="preserve">RB-101739</t>
  </si>
  <si>
    <t xml:space="preserve">RB-101740</t>
  </si>
  <si>
    <t xml:space="preserve">RB-101741</t>
  </si>
  <si>
    <t xml:space="preserve">Kingsford Outlet 69</t>
  </si>
  <si>
    <t xml:space="preserve">RB-101742</t>
  </si>
  <si>
    <t xml:space="preserve">RB-101743</t>
  </si>
  <si>
    <t xml:space="preserve">Stonebridge Outlet 273</t>
  </si>
  <si>
    <t xml:space="preserve">RB-101744</t>
  </si>
  <si>
    <t xml:space="preserve">Stonebridge Outlet 157</t>
  </si>
  <si>
    <t xml:space="preserve">RB-101745</t>
  </si>
  <si>
    <t xml:space="preserve">RB-101746</t>
  </si>
  <si>
    <t xml:space="preserve">Stonebridge Outlet 184</t>
  </si>
  <si>
    <t xml:space="preserve">RB-101747</t>
  </si>
  <si>
    <t xml:space="preserve">RB-101748</t>
  </si>
  <si>
    <t xml:space="preserve">RB-101749</t>
  </si>
  <si>
    <t xml:space="preserve">RB-101750</t>
  </si>
  <si>
    <t xml:space="preserve">RB-101751</t>
  </si>
  <si>
    <t xml:space="preserve">RB-101752</t>
  </si>
  <si>
    <t xml:space="preserve">Palm Grove Outlet 312</t>
  </si>
  <si>
    <t xml:space="preserve">RB-101753</t>
  </si>
  <si>
    <t xml:space="preserve">RB-101754</t>
  </si>
  <si>
    <t xml:space="preserve">RB-101755</t>
  </si>
  <si>
    <t xml:space="preserve">RB-101756</t>
  </si>
  <si>
    <t xml:space="preserve">Eastwick Outlet 22</t>
  </si>
  <si>
    <t xml:space="preserve">RB-101757</t>
  </si>
  <si>
    <t xml:space="preserve">Eastwick Outlet 26</t>
  </si>
  <si>
    <t xml:space="preserve">RB-101758</t>
  </si>
  <si>
    <t xml:space="preserve">RB-101759</t>
  </si>
  <si>
    <t xml:space="preserve">Ironwood Outlet 13</t>
  </si>
  <si>
    <t xml:space="preserve">RB-101760</t>
  </si>
  <si>
    <t xml:space="preserve">RB-101761</t>
  </si>
  <si>
    <t xml:space="preserve">RB-101762</t>
  </si>
  <si>
    <t xml:space="preserve">RB-101763</t>
  </si>
  <si>
    <t xml:space="preserve">RB-101764</t>
  </si>
  <si>
    <t xml:space="preserve">RB-101765</t>
  </si>
  <si>
    <t xml:space="preserve">RB-101766</t>
  </si>
  <si>
    <t xml:space="preserve">Eastwick Outlet 400</t>
  </si>
  <si>
    <t xml:space="preserve">RB-101767</t>
  </si>
  <si>
    <t xml:space="preserve">RB-101768</t>
  </si>
  <si>
    <t xml:space="preserve">Kingsford Outlet 149</t>
  </si>
  <si>
    <t xml:space="preserve">RB-101769</t>
  </si>
  <si>
    <t xml:space="preserve">Ironwood Outlet 247</t>
  </si>
  <si>
    <t xml:space="preserve">RB-101770</t>
  </si>
  <si>
    <t xml:space="preserve">RB-101771</t>
  </si>
  <si>
    <t xml:space="preserve">RB-101772</t>
  </si>
  <si>
    <t xml:space="preserve">RB-101773</t>
  </si>
  <si>
    <t xml:space="preserve">RB-101774</t>
  </si>
  <si>
    <t xml:space="preserve">Kingsford Outlet 280</t>
  </si>
  <si>
    <t xml:space="preserve">RB-101775</t>
  </si>
  <si>
    <t xml:space="preserve">RB-101776</t>
  </si>
  <si>
    <t xml:space="preserve">Stonebridge Outlet 121</t>
  </si>
  <si>
    <t xml:space="preserve">RB-101777</t>
  </si>
  <si>
    <t xml:space="preserve">Stonebridge Outlet 191</t>
  </si>
  <si>
    <t xml:space="preserve">RB-101778</t>
  </si>
  <si>
    <t xml:space="preserve">Northgate Outlet 158</t>
  </si>
  <si>
    <t xml:space="preserve">RB-101779</t>
  </si>
  <si>
    <t xml:space="preserve">RB-101780</t>
  </si>
  <si>
    <t xml:space="preserve">RB-101781</t>
  </si>
  <si>
    <t xml:space="preserve">RB-101782</t>
  </si>
  <si>
    <t xml:space="preserve">Palm Grove Outlet 173</t>
  </si>
  <si>
    <t xml:space="preserve">RB-101783</t>
  </si>
  <si>
    <t xml:space="preserve">RB-101784</t>
  </si>
  <si>
    <t xml:space="preserve">RB-101785</t>
  </si>
  <si>
    <t xml:space="preserve">RB-101786</t>
  </si>
  <si>
    <t xml:space="preserve">Northgate Outlet 351</t>
  </si>
  <si>
    <t xml:space="preserve">RB-101787</t>
  </si>
  <si>
    <t xml:space="preserve">RB-101788</t>
  </si>
  <si>
    <t xml:space="preserve">RB-101789</t>
  </si>
  <si>
    <t xml:space="preserve">Ironwood Outlet 136</t>
  </si>
  <si>
    <t xml:space="preserve">RB-101790</t>
  </si>
  <si>
    <t xml:space="preserve">Stonebridge Outlet 242</t>
  </si>
  <si>
    <t xml:space="preserve">RB-101791</t>
  </si>
  <si>
    <t xml:space="preserve">Northgate Outlet 49</t>
  </si>
  <si>
    <t xml:space="preserve">RB-101792</t>
  </si>
  <si>
    <t xml:space="preserve">RB-101793</t>
  </si>
  <si>
    <t xml:space="preserve">Stonebridge Outlet 67</t>
  </si>
  <si>
    <t xml:space="preserve">RB-101794</t>
  </si>
  <si>
    <t xml:space="preserve">Northgate Outlet 352</t>
  </si>
  <si>
    <t xml:space="preserve">RB-101795</t>
  </si>
  <si>
    <t xml:space="preserve">Eastwick Outlet 192</t>
  </si>
  <si>
    <t xml:space="preserve">RB-101796</t>
  </si>
  <si>
    <t xml:space="preserve">RB-101797</t>
  </si>
  <si>
    <t xml:space="preserve">RB-101798</t>
  </si>
  <si>
    <t xml:space="preserve">Palm Grove Outlet 235</t>
  </si>
  <si>
    <t xml:space="preserve">RB-101799</t>
  </si>
  <si>
    <t xml:space="preserve">RB-101800</t>
  </si>
  <si>
    <t xml:space="preserve">RB-101801</t>
  </si>
  <si>
    <t xml:space="preserve">RB-101802</t>
  </si>
  <si>
    <t xml:space="preserve">RB-101803</t>
  </si>
  <si>
    <t xml:space="preserve">RB-101804</t>
  </si>
  <si>
    <t xml:space="preserve">Northgate Outlet 241</t>
  </si>
  <si>
    <t xml:space="preserve">RB-101805</t>
  </si>
  <si>
    <t xml:space="preserve">RB-101806</t>
  </si>
  <si>
    <t xml:space="preserve">RB-101807</t>
  </si>
  <si>
    <t xml:space="preserve">RB-101808</t>
  </si>
  <si>
    <t xml:space="preserve">RB-101809</t>
  </si>
  <si>
    <t xml:space="preserve">Palm Grove Outlet 180</t>
  </si>
  <si>
    <t xml:space="preserve">RB-101810</t>
  </si>
  <si>
    <t xml:space="preserve">RB-101811</t>
  </si>
  <si>
    <t xml:space="preserve">RB-101812</t>
  </si>
  <si>
    <t xml:space="preserve">RB-101813</t>
  </si>
  <si>
    <t xml:space="preserve">Kingsford Outlet 324</t>
  </si>
  <si>
    <t xml:space="preserve">RB-101814</t>
  </si>
  <si>
    <t xml:space="preserve">RB-101815</t>
  </si>
  <si>
    <t xml:space="preserve">RB-101816</t>
  </si>
  <si>
    <t xml:space="preserve">RB-101817</t>
  </si>
  <si>
    <t xml:space="preserve">Northgate Outlet 119</t>
  </si>
  <si>
    <t xml:space="preserve">RB-101818</t>
  </si>
  <si>
    <t xml:space="preserve">RB-101819</t>
  </si>
  <si>
    <t xml:space="preserve">RB-101820</t>
  </si>
  <si>
    <t xml:space="preserve">Northgate Outlet 378</t>
  </si>
  <si>
    <t xml:space="preserve">RB-101821</t>
  </si>
  <si>
    <t xml:space="preserve">Kingsford Outlet 220</t>
  </si>
  <si>
    <t xml:space="preserve">RB-101822</t>
  </si>
  <si>
    <t xml:space="preserve">Palm Grove Outlet 120</t>
  </si>
  <si>
    <t xml:space="preserve">RB-101823</t>
  </si>
  <si>
    <t xml:space="preserve">RB-101824</t>
  </si>
  <si>
    <t xml:space="preserve">RB-101825</t>
  </si>
  <si>
    <t xml:space="preserve">Eastwick Outlet 346</t>
  </si>
  <si>
    <t xml:space="preserve">RB-101826</t>
  </si>
  <si>
    <t xml:space="preserve">RB-101827</t>
  </si>
  <si>
    <t xml:space="preserve">Kingsford Outlet 60</t>
  </si>
  <si>
    <t xml:space="preserve">RB-101828</t>
  </si>
  <si>
    <t xml:space="preserve">RB-101829</t>
  </si>
  <si>
    <t xml:space="preserve">Ironwood Outlet 226</t>
  </si>
  <si>
    <t xml:space="preserve">RB-101830</t>
  </si>
  <si>
    <t xml:space="preserve">Kingsford Outlet 107</t>
  </si>
  <si>
    <t xml:space="preserve">RB-101831</t>
  </si>
  <si>
    <t xml:space="preserve">RB-101832</t>
  </si>
  <si>
    <t xml:space="preserve">RB-101833</t>
  </si>
  <si>
    <t xml:space="preserve">Kingsford Outlet 237</t>
  </si>
  <si>
    <t xml:space="preserve">RB-101834</t>
  </si>
  <si>
    <t xml:space="preserve">RB-101835</t>
  </si>
  <si>
    <t xml:space="preserve">RB-101836</t>
  </si>
  <si>
    <t xml:space="preserve">Ironwood Outlet 307</t>
  </si>
  <si>
    <t xml:space="preserve">RB-101837</t>
  </si>
  <si>
    <t xml:space="preserve">Eastwick Outlet 266</t>
  </si>
  <si>
    <t xml:space="preserve">RB-101838</t>
  </si>
  <si>
    <t xml:space="preserve">RB-101839</t>
  </si>
  <si>
    <t xml:space="preserve">Northgate Outlet 186</t>
  </si>
  <si>
    <t xml:space="preserve">RB-101840</t>
  </si>
  <si>
    <t xml:space="preserve">RB-101841</t>
  </si>
  <si>
    <t xml:space="preserve">RB-101842</t>
  </si>
  <si>
    <t xml:space="preserve">Stonebridge Outlet 39</t>
  </si>
  <si>
    <t xml:space="preserve">RB-101843</t>
  </si>
  <si>
    <t xml:space="preserve">RB-101844</t>
  </si>
  <si>
    <t xml:space="preserve">Ironwood Outlet 275</t>
  </si>
  <si>
    <t xml:space="preserve">RB-101845</t>
  </si>
  <si>
    <t xml:space="preserve">Kingsford Outlet 195</t>
  </si>
  <si>
    <t xml:space="preserve">RB-101846</t>
  </si>
  <si>
    <t xml:space="preserve">Stonebridge Outlet 4</t>
  </si>
  <si>
    <t xml:space="preserve">RB-101847</t>
  </si>
  <si>
    <t xml:space="preserve">RB-101848</t>
  </si>
  <si>
    <t xml:space="preserve">RB-101849</t>
  </si>
  <si>
    <t xml:space="preserve">Stonebridge Outlet 302</t>
  </si>
  <si>
    <t xml:space="preserve">RB-101850</t>
  </si>
  <si>
    <t xml:space="preserve">RB-101851</t>
  </si>
  <si>
    <t xml:space="preserve">RB-101852</t>
  </si>
  <si>
    <t xml:space="preserve">Eastwick Outlet 315</t>
  </si>
  <si>
    <t xml:space="preserve">RB-101853</t>
  </si>
  <si>
    <t xml:space="preserve">RB-101854</t>
  </si>
  <si>
    <t xml:space="preserve">Palm Grove Outlet 260</t>
  </si>
  <si>
    <t xml:space="preserve">RB-101855</t>
  </si>
  <si>
    <t xml:space="preserve">RB-101856</t>
  </si>
  <si>
    <t xml:space="preserve">RB-101857</t>
  </si>
  <si>
    <t xml:space="preserve">Kingsford Outlet 102</t>
  </si>
  <si>
    <t xml:space="preserve">RB-101858</t>
  </si>
  <si>
    <t xml:space="preserve">RB-101859</t>
  </si>
  <si>
    <t xml:space="preserve">RB-101860</t>
  </si>
  <si>
    <t xml:space="preserve">Northgate Outlet 110</t>
  </si>
  <si>
    <t xml:space="preserve">RB-101861</t>
  </si>
  <si>
    <t xml:space="preserve">Palm Grove Outlet 107</t>
  </si>
  <si>
    <t xml:space="preserve">RB-101862</t>
  </si>
  <si>
    <t xml:space="preserve">RB-101863</t>
  </si>
  <si>
    <t xml:space="preserve">Stonebridge Outlet 318</t>
  </si>
  <si>
    <t xml:space="preserve">RB-101864</t>
  </si>
  <si>
    <t xml:space="preserve">RB-101865</t>
  </si>
  <si>
    <t xml:space="preserve">RB-101866</t>
  </si>
  <si>
    <t xml:space="preserve">Stonebridge Outlet 160</t>
  </si>
  <si>
    <t xml:space="preserve">RB-101867</t>
  </si>
  <si>
    <t xml:space="preserve">RB-101868</t>
  </si>
  <si>
    <t xml:space="preserve">RB-101869</t>
  </si>
  <si>
    <t xml:space="preserve">RB-101870</t>
  </si>
  <si>
    <t xml:space="preserve">RB-101871</t>
  </si>
  <si>
    <t xml:space="preserve">Ironwood Outlet 150</t>
  </si>
  <si>
    <t xml:space="preserve">RB-101872</t>
  </si>
  <si>
    <t xml:space="preserve">RB-101873</t>
  </si>
  <si>
    <t xml:space="preserve">RB-101874</t>
  </si>
  <si>
    <t xml:space="preserve">RB-101875</t>
  </si>
  <si>
    <t xml:space="preserve">Eastwick Outlet 390</t>
  </si>
  <si>
    <t xml:space="preserve">RB-101876</t>
  </si>
  <si>
    <t xml:space="preserve">Kingsford Outlet 189</t>
  </si>
  <si>
    <t xml:space="preserve">RB-101877</t>
  </si>
  <si>
    <t xml:space="preserve">RB-101878</t>
  </si>
  <si>
    <t xml:space="preserve">RB-101879</t>
  </si>
  <si>
    <t xml:space="preserve">RB-101880</t>
  </si>
  <si>
    <t xml:space="preserve">Eastwick Outlet 359</t>
  </si>
  <si>
    <t xml:space="preserve">RB-101881</t>
  </si>
  <si>
    <t xml:space="preserve">RB-101882</t>
  </si>
  <si>
    <t xml:space="preserve">RB-101883</t>
  </si>
  <si>
    <t xml:space="preserve">RB-101884</t>
  </si>
  <si>
    <t xml:space="preserve">RB-101885</t>
  </si>
  <si>
    <t xml:space="preserve">RB-101886</t>
  </si>
  <si>
    <t xml:space="preserve">RB-101887</t>
  </si>
  <si>
    <t xml:space="preserve">RB-101888</t>
  </si>
  <si>
    <t xml:space="preserve">Palm Grove Outlet 124</t>
  </si>
  <si>
    <t xml:space="preserve">RB-101889</t>
  </si>
  <si>
    <t xml:space="preserve">RB-101890</t>
  </si>
  <si>
    <t xml:space="preserve">RB-101891</t>
  </si>
  <si>
    <t xml:space="preserve">RB-101892</t>
  </si>
  <si>
    <t xml:space="preserve">Palm Grove Outlet 95</t>
  </si>
  <si>
    <t xml:space="preserve">RB-101893</t>
  </si>
  <si>
    <t xml:space="preserve">RB-101894</t>
  </si>
  <si>
    <t xml:space="preserve">RB-101895</t>
  </si>
  <si>
    <t xml:space="preserve">RB-101896</t>
  </si>
  <si>
    <t xml:space="preserve">RB-101897</t>
  </si>
  <si>
    <t xml:space="preserve">RB-101898</t>
  </si>
  <si>
    <t xml:space="preserve">RB-101899</t>
  </si>
  <si>
    <t xml:space="preserve">RB-101900</t>
  </si>
  <si>
    <t xml:space="preserve">RB-101901</t>
  </si>
  <si>
    <t xml:space="preserve">Northgate Outlet 128</t>
  </si>
  <si>
    <t xml:space="preserve">RB-101902</t>
  </si>
  <si>
    <t xml:space="preserve">RB-101903</t>
  </si>
  <si>
    <t xml:space="preserve">RB-101904</t>
  </si>
  <si>
    <t xml:space="preserve">RB-101905</t>
  </si>
  <si>
    <t xml:space="preserve">RB-101906</t>
  </si>
  <si>
    <t xml:space="preserve">RB-101907</t>
  </si>
  <si>
    <t xml:space="preserve">RB-101908</t>
  </si>
  <si>
    <t xml:space="preserve">RB-101909</t>
  </si>
  <si>
    <t xml:space="preserve">RB-101910</t>
  </si>
  <si>
    <t xml:space="preserve">Stonebridge Outlet 92</t>
  </si>
  <si>
    <t xml:space="preserve">RB-101911</t>
  </si>
  <si>
    <t xml:space="preserve">RB-101912</t>
  </si>
  <si>
    <t xml:space="preserve">RB-101913</t>
  </si>
  <si>
    <t xml:space="preserve">RB-101914</t>
  </si>
  <si>
    <t xml:space="preserve">RB-101915</t>
  </si>
  <si>
    <t xml:space="preserve">RB-101916</t>
  </si>
  <si>
    <t xml:space="preserve">RB-101917</t>
  </si>
  <si>
    <t xml:space="preserve">RB-101918</t>
  </si>
  <si>
    <t xml:space="preserve">RB-101919</t>
  </si>
  <si>
    <t xml:space="preserve">RB-101920</t>
  </si>
  <si>
    <t xml:space="preserve">RB-101921</t>
  </si>
  <si>
    <t xml:space="preserve">RB-101922</t>
  </si>
  <si>
    <t xml:space="preserve">Ironwood Outlet 80</t>
  </si>
  <si>
    <t xml:space="preserve">RB-101923</t>
  </si>
  <si>
    <t xml:space="preserve">RB-101924</t>
  </si>
  <si>
    <t xml:space="preserve">RB-101925</t>
  </si>
  <si>
    <t xml:space="preserve">RB-101926</t>
  </si>
  <si>
    <t xml:space="preserve">Ironwood Outlet 168</t>
  </si>
  <si>
    <t xml:space="preserve">RB-101927</t>
  </si>
  <si>
    <t xml:space="preserve">RB-101928</t>
  </si>
  <si>
    <t xml:space="preserve">RB-101929</t>
  </si>
  <si>
    <t xml:space="preserve">RB-101930</t>
  </si>
  <si>
    <t xml:space="preserve">Kingsford Outlet 74</t>
  </si>
  <si>
    <t xml:space="preserve">RB-101931</t>
  </si>
  <si>
    <t xml:space="preserve">Kingsford Outlet 374</t>
  </si>
  <si>
    <t xml:space="preserve">RB-101932</t>
  </si>
  <si>
    <t xml:space="preserve">RB-101933</t>
  </si>
  <si>
    <t xml:space="preserve">RB-101934</t>
  </si>
  <si>
    <t xml:space="preserve">Stonebridge Outlet 268</t>
  </si>
  <si>
    <t xml:space="preserve">RB-101935</t>
  </si>
  <si>
    <t xml:space="preserve">Northgate Outlet 372</t>
  </si>
  <si>
    <t xml:space="preserve">RB-101936</t>
  </si>
  <si>
    <t xml:space="preserve">RB-101937</t>
  </si>
  <si>
    <t xml:space="preserve">RB-101938</t>
  </si>
  <si>
    <t xml:space="preserve">Eastwick Outlet 104</t>
  </si>
  <si>
    <t xml:space="preserve">RB-101939</t>
  </si>
  <si>
    <t xml:space="preserve">RB-101940</t>
  </si>
  <si>
    <t xml:space="preserve">RB-101941</t>
  </si>
  <si>
    <t xml:space="preserve">RB-101942</t>
  </si>
  <si>
    <t xml:space="preserve">Northgate Outlet 393</t>
  </si>
  <si>
    <t xml:space="preserve">RB-101943</t>
  </si>
  <si>
    <t xml:space="preserve">RB-101944</t>
  </si>
  <si>
    <t xml:space="preserve">RB-101945</t>
  </si>
  <si>
    <t xml:space="preserve">Ironwood Outlet 331</t>
  </si>
  <si>
    <t xml:space="preserve">RB-101946</t>
  </si>
  <si>
    <t xml:space="preserve">RB-101947</t>
  </si>
  <si>
    <t xml:space="preserve">RB-101948</t>
  </si>
  <si>
    <t xml:space="preserve">RB-101949</t>
  </si>
  <si>
    <t xml:space="preserve">RB-101950</t>
  </si>
  <si>
    <t xml:space="preserve">Palm Grove Outlet 375</t>
  </si>
  <si>
    <t xml:space="preserve">RB-101951</t>
  </si>
  <si>
    <t xml:space="preserve">RB-101952</t>
  </si>
  <si>
    <t xml:space="preserve">RB-101953</t>
  </si>
  <si>
    <t xml:space="preserve">RB-101954</t>
  </si>
  <si>
    <t xml:space="preserve">RB-101955</t>
  </si>
  <si>
    <t xml:space="preserve">Eastwick Outlet 397</t>
  </si>
  <si>
    <t xml:space="preserve">RB-101956</t>
  </si>
  <si>
    <t xml:space="preserve">Stonebridge Outlet 387</t>
  </si>
  <si>
    <t xml:space="preserve">RB-101957</t>
  </si>
  <si>
    <t xml:space="preserve">RB-101958</t>
  </si>
  <si>
    <t xml:space="preserve">RB-101959</t>
  </si>
  <si>
    <t xml:space="preserve">Ironwood Outlet 169</t>
  </si>
  <si>
    <t xml:space="preserve">RB-101960</t>
  </si>
  <si>
    <t xml:space="preserve">RB-101961</t>
  </si>
  <si>
    <t xml:space="preserve">RB-101962</t>
  </si>
  <si>
    <t xml:space="preserve">Eastwick Outlet 108</t>
  </si>
  <si>
    <t xml:space="preserve">RB-101963</t>
  </si>
  <si>
    <t xml:space="preserve">RB-101964</t>
  </si>
  <si>
    <t xml:space="preserve">Stonebridge Outlet 50</t>
  </si>
  <si>
    <t xml:space="preserve">RB-101965</t>
  </si>
  <si>
    <t xml:space="preserve">RB-101966</t>
  </si>
  <si>
    <t xml:space="preserve">Stonebridge Outlet 119</t>
  </si>
  <si>
    <t xml:space="preserve">RB-101967</t>
  </si>
  <si>
    <t xml:space="preserve">Ironwood Outlet 78</t>
  </si>
  <si>
    <t xml:space="preserve">RB-101968</t>
  </si>
  <si>
    <t xml:space="preserve">Kingsford Outlet 194</t>
  </si>
  <si>
    <t xml:space="preserve">RB-101969</t>
  </si>
  <si>
    <t xml:space="preserve">Kingsford Outlet 234</t>
  </si>
  <si>
    <t xml:space="preserve">RB-101970</t>
  </si>
  <si>
    <t xml:space="preserve">RB-101971</t>
  </si>
  <si>
    <t xml:space="preserve">RB-101972</t>
  </si>
  <si>
    <t xml:space="preserve">RB-101973</t>
  </si>
  <si>
    <t xml:space="preserve">RB-101974</t>
  </si>
  <si>
    <t xml:space="preserve">RB-101975</t>
  </si>
  <si>
    <t xml:space="preserve">RB-101976</t>
  </si>
  <si>
    <t xml:space="preserve">RB-101977</t>
  </si>
  <si>
    <t xml:space="preserve">RB-101978</t>
  </si>
  <si>
    <t xml:space="preserve">Ironwood Outlet 387</t>
  </si>
  <si>
    <t xml:space="preserve">RB-101979</t>
  </si>
  <si>
    <t xml:space="preserve">RB-101980</t>
  </si>
  <si>
    <t xml:space="preserve">RB-101981</t>
  </si>
  <si>
    <t xml:space="preserve">RB-101982</t>
  </si>
  <si>
    <t xml:space="preserve">RB-101983</t>
  </si>
  <si>
    <t xml:space="preserve">RB-101984</t>
  </si>
  <si>
    <t xml:space="preserve">RB-101985</t>
  </si>
  <si>
    <t xml:space="preserve">Palm Grove Outlet 79</t>
  </si>
  <si>
    <t xml:space="preserve">RB-101986</t>
  </si>
  <si>
    <t xml:space="preserve">RB-101987</t>
  </si>
  <si>
    <t xml:space="preserve">Eastwick Outlet 157</t>
  </si>
  <si>
    <t xml:space="preserve">RB-101988</t>
  </si>
  <si>
    <t xml:space="preserve">RB-101989</t>
  </si>
  <si>
    <t xml:space="preserve">Stonebridge Outlet 99</t>
  </si>
  <si>
    <t xml:space="preserve">RB-101990</t>
  </si>
  <si>
    <t xml:space="preserve">RB-101991</t>
  </si>
  <si>
    <t xml:space="preserve">Ironwood Outlet 399</t>
  </si>
  <si>
    <t xml:space="preserve">RB-101992</t>
  </si>
  <si>
    <t xml:space="preserve">RB-101993</t>
  </si>
  <si>
    <t xml:space="preserve">RB-101994</t>
  </si>
  <si>
    <t xml:space="preserve">RB-101995</t>
  </si>
  <si>
    <t xml:space="preserve">Northgate Outlet 334</t>
  </si>
  <si>
    <t xml:space="preserve">RB-101996</t>
  </si>
  <si>
    <t xml:space="preserve">RB-101997</t>
  </si>
  <si>
    <t xml:space="preserve">Northgate Outlet 179</t>
  </si>
  <si>
    <t xml:space="preserve">RB-101998</t>
  </si>
  <si>
    <t xml:space="preserve">RB-101999</t>
  </si>
  <si>
    <t xml:space="preserve">Riverbend Supply Co. — impairment rates and bands</t>
  </si>
  <si>
    <t xml:space="preserve">Days Overdue From</t>
  </si>
  <si>
    <t xml:space="preserve">Tax Rate</t>
  </si>
  <si>
    <t xml:space="preserve">Billed</t>
  </si>
  <si>
    <t xml:space="preserve">Riverbend Supply Co. — debtor impairment summary</t>
  </si>
  <si>
    <t xml:space="preserve">Measure</t>
  </si>
  <si>
    <t xml:space="preserve">Value</t>
  </si>
  <si>
    <t xml:space="preserve">Total balance</t>
  </si>
  <si>
    <t xml:space="preserve">Total provision</t>
  </si>
  <si>
    <t xml:space="preserve">Total impairment</t>
  </si>
  <si>
    <t xml:space="preserve">Average balance</t>
  </si>
  <si>
    <t xml:space="preserve">Largest balance</t>
  </si>
  <si>
    <t xml:space="preserve">Accounts</t>
  </si>
  <si>
    <t xml:space="preserve">Business discount rate</t>
  </si>
  <si>
    <t xml:space="preserve">Provision after tax</t>
  </si>
  <si>
    <t xml:space="preserve">Billed, January to March</t>
  </si>
  <si>
    <t xml:space="preserve">Billed less provision</t>
  </si>
  <si>
    <t xml:space="preserve">Balance-weighted rate</t>
  </si>
  <si>
    <t xml:space="preserve">Notes to the impairment calculation</t>
  </si>
  <si>
    <t xml:space="preserve">Provision for debtors with balances outstanding over 120 days is raised at 85 percent.</t>
  </si>
  <si>
    <t xml:space="preserve">Wholesale accounts are discounted at the reduced rate approved by the board.</t>
  </si>
  <si>
    <t xml:space="preserve">The discount rate is applied monthly over the period the account has been overdue.</t>
  </si>
  <si>
    <t xml:space="preserve">The rates and bands table is reviewed at each financial year end.</t>
  </si>
  <si>
    <t xml:space="preserve">Accounts with a zero balance are retained for audit and excluded from the ratio columns.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</si>
</sst>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n">
        <v>0</v>
      </c>
      <c r="F2" s="0" t="n">
        <v>44</v>
      </c>
      <c r="G2" s="0" t="str">
        <f aca="false">IF(F2&lt;=30,"Current",IF(F2&lt;=60,"31 to 60 days",IF(F2&lt;=90,"61 to 90 days",IF(F2&lt;=120,"91 to 120 days","Over 120 days"))))</f>
        <v>31 to 60 days</v>
      </c>
      <c r="H2" s="0" t="n">
        <f aca="false">VLOOKUP(D2,Rates!$A$4:$B$7,2,FALSE())</f>
        <v>0.085</v>
      </c>
      <c r="I2" s="0" t="n">
        <f aca="false">VLOOKUP(F2,Rates!$D$4:$E$8,2)</f>
        <v>0.1</v>
      </c>
      <c r="J2" s="0" t="n">
        <f aca="false">ROUND(E2*I2,2)</f>
        <v>0</v>
      </c>
      <c r="K2" s="1" t="n">
        <f aca="false">PV(H2/12,F2/30,0,-E2)</f>
        <v>-0</v>
      </c>
      <c r="L2" s="0" t="n">
        <f aca="false">ROUND(E2-K2,2)</f>
        <v>0</v>
      </c>
      <c r="M2" s="0" t="e">
        <f aca="false">F2/E2</f>
        <v>#DIV/0!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n">
        <v>5374.44</v>
      </c>
      <c r="F3" s="0" t="n">
        <v>209</v>
      </c>
      <c r="G3" s="0" t="str">
        <f aca="false">IF(F3&lt;=30,"Current",IF(F3&lt;=60,"31 to 60 days",IF(F3&lt;=90,"61 to 90 days",IF(F3&lt;=120,"91 to 120 days","Over 120 days"))))</f>
        <v>Over 120 days</v>
      </c>
      <c r="H3" s="0" t="n">
        <f aca="false">VLOOKUP(D3,Rates!$A$4:$B$7,2,FALSE())</f>
        <v>0.05</v>
      </c>
      <c r="I3" s="0" t="n">
        <f aca="false">VLOOKUP(F3,Rates!$D$4:$E$8,2)</f>
        <v>0.85</v>
      </c>
      <c r="J3" s="0" t="n">
        <f aca="false">ROUND(E3*I3,2)</f>
        <v>4568.27</v>
      </c>
      <c r="K3" s="1" t="n">
        <f aca="false">PV(H3/12,F3/30,0,-E3)</f>
        <v>5220.98933564171</v>
      </c>
      <c r="L3" s="0" t="n">
        <f aca="false">ROUND(E3-K3,2)</f>
        <v>153.45</v>
      </c>
      <c r="M3" s="0" t="n">
        <f aca="false">F3/E3</f>
        <v>0.0388877724935063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15</v>
      </c>
      <c r="D4" s="0" t="s">
        <v>23</v>
      </c>
      <c r="E4" s="0" t="n">
        <v>30915.63</v>
      </c>
      <c r="F4" s="0" t="n">
        <v>147</v>
      </c>
      <c r="G4" s="0" t="str">
        <f aca="false">IF(F4&lt;=30,"Current",IF(F4&lt;=60,"31 to 60 days",IF(F4&lt;=90,"61 to 90 days",IF(F4&lt;=120,"91 to 120 days","Over 120 days"))))</f>
        <v>Over 120 days</v>
      </c>
      <c r="H4" s="0" t="n">
        <f aca="false">VLOOKUP(D4,Rates!$A$4:$B$7,2,FALSE())</f>
        <v>0.115</v>
      </c>
      <c r="I4" s="0" t="n">
        <f aca="false">VLOOKUP(F4,Rates!$D$4:$E$8,2)</f>
        <v>0.85</v>
      </c>
      <c r="J4" s="0" t="n">
        <f aca="false">ROUND(E4*I4,2)</f>
        <v>26278.29</v>
      </c>
      <c r="K4" s="1" t="n">
        <f aca="false">PV(H4/12,F4/30,0,-E4)</f>
        <v>29504.0378221276</v>
      </c>
      <c r="L4" s="0" t="n">
        <f aca="false">ROUND(E4-K4,2)</f>
        <v>1411.59</v>
      </c>
      <c r="M4" s="0" t="n">
        <f aca="false">F4/E4</f>
        <v>0.00475487641688039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23</v>
      </c>
      <c r="E5" s="0" t="n">
        <v>42350.26</v>
      </c>
      <c r="F5" s="0" t="n">
        <v>136</v>
      </c>
      <c r="G5" s="0" t="str">
        <f aca="false">IF(F5&lt;=30,"Current",IF(F5&lt;=60,"31 to 60 days",IF(F5&lt;=90,"61 to 90 days",IF(F5&lt;=120,"91 to 120 days","Over 120 days"))))</f>
        <v>Over 120 days</v>
      </c>
      <c r="H5" s="0" t="n">
        <f aca="false">VLOOKUP(D5,Rates!$A$4:$B$7,2,FALSE())</f>
        <v>0.115</v>
      </c>
      <c r="I5" s="0" t="n">
        <f aca="false">VLOOKUP(F5,Rates!$D$4:$E$8,2)</f>
        <v>0.85</v>
      </c>
      <c r="J5" s="0" t="n">
        <f aca="false">ROUND(E5*I5,2)</f>
        <v>35997.72</v>
      </c>
      <c r="K5" s="1" t="n">
        <f aca="false">PV(H5/12,F5/30,0,-E5)</f>
        <v>40558.1589206328</v>
      </c>
      <c r="L5" s="0" t="n">
        <f aca="false">ROUND(E5-K5,2)</f>
        <v>1792.1</v>
      </c>
      <c r="M5" s="0" t="n">
        <f aca="false">F5/E5</f>
        <v>0.00321131440515359</v>
      </c>
    </row>
    <row r="6" customFormat="false" ht="12.8" hidden="false" customHeight="false" outlineLevel="0" collapsed="false">
      <c r="A6" s="0" t="s">
        <v>27</v>
      </c>
      <c r="B6" s="0" t="s">
        <v>28</v>
      </c>
      <c r="C6" s="0" t="s">
        <v>15</v>
      </c>
      <c r="D6" s="0" t="s">
        <v>20</v>
      </c>
      <c r="E6" s="0" t="n">
        <v>28671.46</v>
      </c>
      <c r="F6" s="0" t="n">
        <v>50</v>
      </c>
      <c r="G6" s="0" t="str">
        <f aca="false">IF(F6&lt;=30,"Current",IF(F6&lt;=60,"31 to 60 days",IF(F6&lt;=90,"61 to 90 days",IF(F6&lt;=120,"91 to 120 days","Over 120 days"))))</f>
        <v>31 to 60 days</v>
      </c>
      <c r="H6" s="0" t="n">
        <f aca="false">VLOOKUP(D6,Rates!$A$4:$B$7,2,FALSE())</f>
        <v>0.05</v>
      </c>
      <c r="I6" s="0" t="n">
        <f aca="false">VLOOKUP(F6,Rates!$D$4:$E$8,2)</f>
        <v>0.1</v>
      </c>
      <c r="J6" s="0" t="n">
        <f aca="false">ROUND(E6*I6,2)</f>
        <v>2867.15</v>
      </c>
      <c r="K6" s="1" t="n">
        <f aca="false">PV(H6/12,F6/30,0,-E6)</f>
        <v>28473.4531849684</v>
      </c>
      <c r="L6" s="0" t="n">
        <f aca="false">ROUND(E6-K6,2)</f>
        <v>198.01</v>
      </c>
      <c r="M6" s="0" t="n">
        <f aca="false">F6/E6</f>
        <v>0.00174389445113712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20</v>
      </c>
      <c r="E7" s="0" t="n">
        <v>40877.29</v>
      </c>
      <c r="F7" s="0" t="n">
        <v>124</v>
      </c>
      <c r="G7" s="0" t="str">
        <f aca="false">IF(F7&lt;=30,"Current",IF(F7&lt;=60,"31 to 60 days",IF(F7&lt;=90,"61 to 90 days",IF(F7&lt;=120,"91 to 120 days","Over 120 days"))))</f>
        <v>Over 120 days</v>
      </c>
      <c r="H7" s="0" t="n">
        <f aca="false">VLOOKUP(D7,Rates!$A$4:$B$7,2,FALSE())</f>
        <v>0.05</v>
      </c>
      <c r="I7" s="0" t="n">
        <f aca="false">VLOOKUP(F7,Rates!$D$4:$E$8,2)</f>
        <v>0.85</v>
      </c>
      <c r="J7" s="0" t="n">
        <v>20438.65</v>
      </c>
      <c r="K7" s="1" t="n">
        <f aca="false">PV(H7/12,F7/30,0,-E7)</f>
        <v>40180.7574314127</v>
      </c>
      <c r="L7" s="0" t="n">
        <f aca="false">ROUND(E7-K7,2)</f>
        <v>696.53</v>
      </c>
      <c r="M7" s="0" t="n">
        <f aca="false">F7/E7</f>
        <v>0.00303346919524264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s">
        <v>26</v>
      </c>
      <c r="D8" s="0" t="s">
        <v>20</v>
      </c>
      <c r="E8" s="0" t="n">
        <v>30960.72</v>
      </c>
      <c r="F8" s="0" t="n">
        <v>239</v>
      </c>
      <c r="G8" s="0" t="str">
        <f aca="false">IF(F8&lt;=30,"Current",IF(F8&lt;=60,"31 to 60 days",IF(F8&lt;=90,"61 to 90 days",IF(F8&lt;=120,"91 to 120 days","Over 120 days"))))</f>
        <v>Over 120 days</v>
      </c>
      <c r="H8" s="0" t="n">
        <f aca="false">VLOOKUP(D8,Rates!$A$4:$B$7,2,FALSE())</f>
        <v>0.05</v>
      </c>
      <c r="I8" s="0" t="n">
        <f aca="false">VLOOKUP(F8,Rates!$D$4:$E$8,2)</f>
        <v>0.85</v>
      </c>
      <c r="J8" s="0" t="n">
        <f aca="false">ROUND(E8*I8,2)</f>
        <v>26316.61</v>
      </c>
      <c r="K8" s="1" t="n">
        <f aca="false">PV(H8/12,F8/30,0,-E8)</f>
        <v>29951.9318029339</v>
      </c>
      <c r="L8" s="0" t="n">
        <f aca="false">ROUND(E8-K8,2)</f>
        <v>1008.79</v>
      </c>
      <c r="M8" s="0" t="n">
        <f aca="false">F8/E8</f>
        <v>0.00771945872059823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36</v>
      </c>
      <c r="D9" s="0" t="s">
        <v>23</v>
      </c>
      <c r="E9" s="0" t="n">
        <v>30882.39</v>
      </c>
      <c r="F9" s="0" t="n">
        <v>35</v>
      </c>
      <c r="G9" s="0" t="str">
        <f aca="false">IF(F9&lt;=30,"Current",IF(F9&lt;=60,"31 to 60 days",IF(F9&lt;=90,"61 to 90 days",IF(F9&lt;=120,"91 to 120 days","Over 120 days"))))</f>
        <v>31 to 60 days</v>
      </c>
      <c r="H9" s="0" t="n">
        <f aca="false">VLOOKUP(D9,Rates!$A$4:$B$7,2,FALSE())</f>
        <v>0.115</v>
      </c>
      <c r="I9" s="0" t="n">
        <f aca="false">VLOOKUP(F9,Rates!$D$4:$E$8,2)</f>
        <v>0.1</v>
      </c>
      <c r="J9" s="0" t="n">
        <f aca="false">ROUND(E9*I9,2)</f>
        <v>3088.24</v>
      </c>
      <c r="K9" s="1" t="n">
        <f aca="false">PV(H9/12,F9/30,0,-E9)</f>
        <v>30540.6565208646</v>
      </c>
      <c r="L9" s="0" t="n">
        <f aca="false">ROUND(E9-K9,2)</f>
        <v>341.73</v>
      </c>
      <c r="M9" s="0" t="n">
        <f aca="false">F9/E9</f>
        <v>0.00113333197333497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15</v>
      </c>
      <c r="D10" s="0" t="s">
        <v>23</v>
      </c>
      <c r="E10" s="0" t="n">
        <v>6056.98</v>
      </c>
      <c r="F10" s="0" t="n">
        <v>202</v>
      </c>
      <c r="G10" s="0" t="str">
        <f aca="false">IF(F10&lt;=30,"Current",IF(F10&lt;=60,"31 to 60 days",IF(F10&lt;=90,"61 to 90 days",IF(F10&lt;=120,"91 to 120 days","Over 120 days"))))</f>
        <v>Over 120 days</v>
      </c>
      <c r="H10" s="0" t="n">
        <f aca="false">VLOOKUP(D10,Rates!$A$4:$B$7,2,FALSE())</f>
        <v>0.115</v>
      </c>
      <c r="I10" s="0" t="n">
        <f aca="false">VLOOKUP(F10,Rates!$D$4:$E$8,2)</f>
        <v>0.85</v>
      </c>
      <c r="J10" s="0" t="n">
        <f aca="false">ROUND(E10*I10,2)</f>
        <v>5148.43</v>
      </c>
      <c r="K10" s="1" t="n">
        <f aca="false">PV(H10/12,F10/30,0,-E10)</f>
        <v>5680.22464727041</v>
      </c>
      <c r="L10" s="0" t="n">
        <f aca="false">ROUND(E10-K10,2)</f>
        <v>376.76</v>
      </c>
      <c r="M10" s="0" t="n">
        <f aca="false">F10/E10</f>
        <v>0.0333499532770457</v>
      </c>
    </row>
    <row r="11" customFormat="false" ht="12.8" hidden="false" customHeight="false" outlineLevel="0" collapsed="false">
      <c r="A11" s="0" t="s">
        <v>39</v>
      </c>
      <c r="B11" s="0" t="s">
        <v>33</v>
      </c>
      <c r="C11" s="0" t="s">
        <v>26</v>
      </c>
      <c r="D11" s="0" t="s">
        <v>20</v>
      </c>
      <c r="E11" s="0" t="n">
        <v>32749.53</v>
      </c>
      <c r="F11" s="0" t="n">
        <v>179</v>
      </c>
      <c r="G11" s="0" t="str">
        <f aca="false">IF(F11&lt;=30,"Current",IF(F11&lt;=60,"31 to 60 days",IF(F11&lt;=90,"61 to 90 days",IF(F11&lt;=120,"91 to 120 days","Over 120 days"))))</f>
        <v>Over 120 days</v>
      </c>
      <c r="H11" s="0" t="n">
        <f aca="false">VLOOKUP(D11,Rates!$A$4:$B$7,2,FALSE())</f>
        <v>0.05</v>
      </c>
      <c r="I11" s="0" t="n">
        <f aca="false">VLOOKUP(F11,Rates!$D$4:$E$8,2)</f>
        <v>0.85</v>
      </c>
      <c r="J11" s="0" t="n">
        <f aca="false">ROUND(E11*I11,2)</f>
        <v>27837.1</v>
      </c>
      <c r="K11" s="1" t="n">
        <f aca="false">PV(H11/12,F11/30,0,-E11)</f>
        <v>31947.0278123737</v>
      </c>
      <c r="L11" s="0" t="n">
        <f aca="false">ROUND(E11-K11,2)</f>
        <v>802.5</v>
      </c>
      <c r="M11" s="0" t="n">
        <f aca="false">F11/E11</f>
        <v>0.00546572729440697</v>
      </c>
    </row>
    <row r="12" customFormat="false" ht="12.8" hidden="false" customHeight="false" outlineLevel="0" collapsed="false">
      <c r="A12" s="0" t="s">
        <v>40</v>
      </c>
      <c r="B12" s="0" t="s">
        <v>41</v>
      </c>
      <c r="C12" s="0" t="s">
        <v>42</v>
      </c>
      <c r="D12" s="0" t="s">
        <v>16</v>
      </c>
      <c r="E12" s="0" t="n">
        <v>16257.77</v>
      </c>
      <c r="F12" s="0" t="n">
        <v>89</v>
      </c>
      <c r="G12" s="0" t="str">
        <f aca="false">IF(F12&lt;=30,"Current",IF(F12&lt;=60,"31 to 60 days",IF(F12&lt;=90,"61 to 90 days",IF(F12&lt;=120,"91 to 120 days","Over 120 days"))))</f>
        <v>61 to 90 days</v>
      </c>
      <c r="H12" s="0" t="n">
        <f aca="false">VLOOKUP(D12,Rates!$A$4:$B$7,2,FALSE())</f>
        <v>0.085</v>
      </c>
      <c r="I12" s="0" t="n">
        <f aca="false">VLOOKUP(F12,Rates!$D$4:$E$8,2)</f>
        <v>0.25</v>
      </c>
      <c r="J12" s="0" t="n">
        <f aca="false">ROUND(E12*I12,2)</f>
        <v>4064.44</v>
      </c>
      <c r="K12" s="1" t="n">
        <f aca="false">PV(H12/12,F12/30,0,-E12)</f>
        <v>15920.8748859312</v>
      </c>
      <c r="L12" s="0" t="n">
        <f aca="false">ROUND(E12-K12,2)</f>
        <v>336.9</v>
      </c>
      <c r="M12" s="0" t="n">
        <f aca="false">F12/E12</f>
        <v>0.00547430551668525</v>
      </c>
    </row>
    <row r="13" customFormat="false" ht="12.8" hidden="false" customHeight="false" outlineLevel="0" collapsed="false">
      <c r="A13" s="0" t="s">
        <v>43</v>
      </c>
      <c r="B13" s="0" t="s">
        <v>44</v>
      </c>
      <c r="C13" s="0" t="s">
        <v>36</v>
      </c>
      <c r="D13" s="0" t="s">
        <v>23</v>
      </c>
      <c r="E13" s="0" t="n">
        <v>10195.32</v>
      </c>
      <c r="F13" s="0" t="n">
        <v>314</v>
      </c>
      <c r="G13" s="0" t="str">
        <f aca="false">IF(F13&lt;=30,"Current",IF(F13&lt;=60,"31 to 60 days",IF(F13&lt;=90,"61 to 90 days",IF(F13&lt;=120,"91 to 120 days","Over 120 days"))))</f>
        <v>Over 120 days</v>
      </c>
      <c r="H13" s="0" t="n">
        <f aca="false">VLOOKUP(D13,Rates!$A$4:$B$7,2,FALSE())</f>
        <v>0.115</v>
      </c>
      <c r="I13" s="0" t="n">
        <f aca="false">VLOOKUP(F13,Rates!$D$4:$E$8,2)</f>
        <v>0.85</v>
      </c>
      <c r="J13" s="0" t="n">
        <f aca="false">ROUND(E13*I13,2)</f>
        <v>8666.02</v>
      </c>
      <c r="K13" s="1" t="n">
        <f aca="false">PV(H13/12,F13/30,0,-E13)</f>
        <v>9226.69412365546</v>
      </c>
      <c r="L13" s="0" t="n">
        <f aca="false">ROUND(E13-K13,2)</f>
        <v>968.63</v>
      </c>
      <c r="M13" s="0" t="n">
        <f aca="false">F13/E13</f>
        <v>0.030798444776623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s">
        <v>42</v>
      </c>
      <c r="D14" s="0" t="s">
        <v>16</v>
      </c>
      <c r="E14" s="0" t="n">
        <v>33817.61</v>
      </c>
      <c r="F14" s="0" t="n">
        <v>18</v>
      </c>
      <c r="G14" s="0" t="str">
        <f aca="false">IF(F14&lt;=30,"Current",IF(F14&lt;=60,"31 to 60 days",IF(F14&lt;=90,"61 to 90 days",IF(F14&lt;=120,"91 to 120 days","Over 120 days"))))</f>
        <v>Current</v>
      </c>
      <c r="H14" s="0" t="n">
        <f aca="false">VLOOKUP(D14,Rates!$A$4:$B$7,2,FALSE())</f>
        <v>0.085</v>
      </c>
      <c r="I14" s="0" t="n">
        <f aca="false">VLOOKUP(F14,Rates!$D$4:$E$8,2)</f>
        <v>0.02</v>
      </c>
      <c r="J14" s="0" t="n">
        <f aca="false">ROUND(E14*I14,2)</f>
        <v>676.35</v>
      </c>
      <c r="K14" s="1" t="n">
        <f aca="false">PV(H14/12,F14/30,0,-E14)</f>
        <v>33674.6946301799</v>
      </c>
      <c r="L14" s="0" t="n">
        <f aca="false">ROUND(E14-K14,2)</f>
        <v>142.92</v>
      </c>
      <c r="M14" s="0" t="n">
        <f aca="false">F14/E14</f>
        <v>0.000532267064408159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0" t="s">
        <v>15</v>
      </c>
      <c r="D15" s="0" t="s">
        <v>49</v>
      </c>
      <c r="E15" s="0" t="n">
        <v>14915.07</v>
      </c>
      <c r="F15" s="0" t="n">
        <v>333</v>
      </c>
      <c r="G15" s="0" t="str">
        <f aca="false">IF(F15&lt;=30,"Current",IF(F15&lt;=60,"31 to 60 days",IF(F15&lt;=90,"61 to 90 days",IF(F15&lt;=120,"91 to 120 days","Over 120 days"))))</f>
        <v>Over 120 days</v>
      </c>
      <c r="H15" s="0" t="n">
        <f aca="false">VLOOKUP(D15,Rates!$A$4:$B$7,2,FALSE())</f>
        <v>0.02</v>
      </c>
      <c r="I15" s="0" t="n">
        <f aca="false">VLOOKUP(F15,Rates!$D$4:$E$8,2)</f>
        <v>0.85</v>
      </c>
      <c r="J15" s="0" t="n">
        <f aca="false">ROUND(E15*I15,2)</f>
        <v>12677.81</v>
      </c>
      <c r="K15" s="1" t="n">
        <f aca="false">PV(H15/12,F15/30,0,-E15)</f>
        <v>14641.9033565518</v>
      </c>
      <c r="L15" s="0" t="n">
        <f aca="false">ROUND(E15-K15,2)</f>
        <v>273.17</v>
      </c>
      <c r="M15" s="0" t="n">
        <f aca="false">F15/E15</f>
        <v>0.0223264121455682</v>
      </c>
    </row>
    <row r="16" customFormat="false" ht="12.8" hidden="false" customHeight="false" outlineLevel="0" collapsed="false">
      <c r="A16" s="0" t="s">
        <v>50</v>
      </c>
      <c r="B16" s="0" t="s">
        <v>51</v>
      </c>
      <c r="C16" s="0" t="s">
        <v>36</v>
      </c>
      <c r="D16" s="0" t="s">
        <v>20</v>
      </c>
      <c r="E16" s="0" t="n">
        <v>19285.32</v>
      </c>
      <c r="F16" s="0" t="n">
        <v>287</v>
      </c>
      <c r="G16" s="0" t="str">
        <f aca="false">IF(F16&lt;=30,"Current",IF(F16&lt;=60,"31 to 60 days",IF(F16&lt;=90,"61 to 90 days",IF(F16&lt;=120,"91 to 120 days","Over 120 days"))))</f>
        <v>Over 120 days</v>
      </c>
      <c r="H16" s="0" t="n">
        <f aca="false">VLOOKUP(D16,Rates!$A$4:$B$7,2,FALSE())</f>
        <v>0.05</v>
      </c>
      <c r="I16" s="0" t="n">
        <f aca="false">VLOOKUP(F16,Rates!$D$4:$E$8,2)</f>
        <v>0.85</v>
      </c>
      <c r="J16" s="0" t="n">
        <f aca="false">ROUND(E16*I16,2)</f>
        <v>16392.52</v>
      </c>
      <c r="K16" s="1" t="n">
        <f aca="false">PV(H16/12,F16/30,0,-E16)</f>
        <v>18533.2402045379</v>
      </c>
      <c r="L16" s="0" t="n">
        <f aca="false">ROUND(E16-K16,2)</f>
        <v>752.08</v>
      </c>
      <c r="M16" s="0" t="n">
        <f aca="false">F16/E16</f>
        <v>0.0148817857313231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s">
        <v>19</v>
      </c>
      <c r="D17" s="0" t="s">
        <v>23</v>
      </c>
      <c r="E17" s="0" t="n">
        <v>3378.05</v>
      </c>
      <c r="F17" s="0" t="n">
        <v>9</v>
      </c>
      <c r="G17" s="0" t="str">
        <f aca="false">IF(F17&lt;=30,"Current",IF(F17&lt;=60,"31 to 60 days",IF(F17&lt;=90,"61 to 90 days",IF(F17&lt;=120,"91 to 120 days","Over 120 days"))))</f>
        <v>Current</v>
      </c>
      <c r="H17" s="0" t="n">
        <f aca="false">VLOOKUP(D17,Rates!$A$4:$B$7,2,FALSE())</f>
        <v>0.115</v>
      </c>
      <c r="I17" s="0" t="n">
        <f aca="false">VLOOKUP(F17,Rates!$D$4:$E$8,2)</f>
        <v>0.02</v>
      </c>
      <c r="J17" s="0" t="n">
        <f aca="false">ROUND(E17*I17,2)</f>
        <v>67.56</v>
      </c>
      <c r="K17" s="1" t="n">
        <f aca="false">PV(H17/12,F17/30,0,-E17)</f>
        <v>3368.39816225537</v>
      </c>
      <c r="L17" s="0" t="n">
        <f aca="false">ROUND(E17-K17,2)</f>
        <v>9.65</v>
      </c>
      <c r="M17" s="0" t="n">
        <f aca="false">F17/E17</f>
        <v>0.00266425896597149</v>
      </c>
    </row>
    <row r="18" customFormat="false" ht="12.8" hidden="false" customHeight="false" outlineLevel="0" collapsed="false">
      <c r="A18" s="0" t="s">
        <v>54</v>
      </c>
      <c r="B18" s="0" t="s">
        <v>55</v>
      </c>
      <c r="C18" s="0" t="s">
        <v>26</v>
      </c>
      <c r="D18" s="0" t="s">
        <v>23</v>
      </c>
      <c r="E18" s="0" t="n">
        <v>24543.51</v>
      </c>
      <c r="F18" s="0" t="n">
        <v>341</v>
      </c>
      <c r="G18" s="0" t="str">
        <f aca="false">IF(F18&lt;=30,"Current",IF(F18&lt;=60,"31 to 60 days",IF(F18&lt;=90,"61 to 90 days",IF(F18&lt;=120,"91 to 120 days","Over 120 days"))))</f>
        <v>Over 120 days</v>
      </c>
      <c r="H18" s="0" t="n">
        <f aca="false">VLOOKUP(D18,Rates!$A$4:$B$7,2,FALSE())</f>
        <v>0.115</v>
      </c>
      <c r="I18" s="0" t="n">
        <f aca="false">VLOOKUP(F18,Rates!$D$4:$E$8,2)</f>
        <v>0.85</v>
      </c>
      <c r="J18" s="0" t="n">
        <f aca="false">ROUND(E18*I18,2)</f>
        <v>20861.98</v>
      </c>
      <c r="K18" s="1" t="n">
        <f aca="false">PV(H18/12,F18/30,0,-E18)</f>
        <v>22021.8590498127</v>
      </c>
      <c r="L18" s="0" t="n">
        <f aca="false">ROUND(E18-K18,2)</f>
        <v>2521.65</v>
      </c>
      <c r="M18" s="0" t="n">
        <f aca="false">F18/E18</f>
        <v>0.0138936932818493</v>
      </c>
    </row>
    <row r="19" customFormat="false" ht="12.8" hidden="false" customHeight="false" outlineLevel="0" collapsed="false">
      <c r="A19" s="0" t="s">
        <v>56</v>
      </c>
      <c r="B19" s="0" t="s">
        <v>57</v>
      </c>
      <c r="C19" s="0" t="s">
        <v>42</v>
      </c>
      <c r="D19" s="0" t="s">
        <v>16</v>
      </c>
      <c r="E19" s="0" t="n">
        <v>40680.69</v>
      </c>
      <c r="F19" s="0" t="n">
        <v>129</v>
      </c>
      <c r="G19" s="0" t="str">
        <f aca="false">IF(F19&lt;=30,"Current",IF(F19&lt;=60,"31 to 60 days",IF(F19&lt;=90,"61 to 90 days",IF(F19&lt;=120,"91 to 120 days","Over 120 days"))))</f>
        <v>Over 120 days</v>
      </c>
      <c r="H19" s="0" t="n">
        <f aca="false">VLOOKUP(D19,Rates!$A$4:$B$7,2,FALSE())</f>
        <v>0.085</v>
      </c>
      <c r="I19" s="0" t="n">
        <f aca="false">VLOOKUP(F19,Rates!$D$4:$E$8,2)</f>
        <v>0.85</v>
      </c>
      <c r="J19" s="0" t="n">
        <f aca="false">ROUND(E19*I19,2)</f>
        <v>34578.59</v>
      </c>
      <c r="K19" s="1" t="n">
        <f aca="false">PV(H19/12,F19/30,0,-E19)</f>
        <v>39464.5407385239</v>
      </c>
      <c r="L19" s="0" t="n">
        <f aca="false">ROUND(E19-K19,2)</f>
        <v>1216.15</v>
      </c>
      <c r="M19" s="0" t="n">
        <f aca="false">F19/E19</f>
        <v>0.00317103765939073</v>
      </c>
    </row>
    <row r="20" customFormat="false" ht="12.8" hidden="false" customHeight="false" outlineLevel="0" collapsed="false">
      <c r="A20" s="0" t="s">
        <v>58</v>
      </c>
      <c r="B20" s="0" t="s">
        <v>59</v>
      </c>
      <c r="C20" s="0" t="s">
        <v>26</v>
      </c>
      <c r="D20" s="0" t="s">
        <v>16</v>
      </c>
      <c r="E20" s="0" t="n">
        <v>39915.39</v>
      </c>
      <c r="F20" s="0" t="n">
        <v>18</v>
      </c>
      <c r="G20" s="0" t="str">
        <f aca="false">IF(F20&lt;=30,"Current",IF(F20&lt;=60,"31 to 60 days",IF(F20&lt;=90,"61 to 90 days",IF(F20&lt;=120,"91 to 120 days","Over 120 days"))))</f>
        <v>Current</v>
      </c>
      <c r="H20" s="0" t="n">
        <f aca="false">VLOOKUP(D20,Rates!$A$4:$B$7,2,FALSE())</f>
        <v>0.085</v>
      </c>
      <c r="I20" s="0" t="n">
        <f aca="false">VLOOKUP(F20,Rates!$D$4:$E$8,2)</f>
        <v>0.02</v>
      </c>
      <c r="J20" s="0" t="n">
        <f aca="false">ROUND(E20*I20,2)</f>
        <v>798.31</v>
      </c>
      <c r="K20" s="1" t="n">
        <f aca="false">PV(H20/12,F20/30,0,-E20)</f>
        <v>39746.7050242325</v>
      </c>
      <c r="L20" s="0" t="n">
        <f aca="false">ROUND(E20-K20,2)</f>
        <v>168.68</v>
      </c>
      <c r="M20" s="0" t="n">
        <f aca="false">F20/E20</f>
        <v>0.000450953880195083</v>
      </c>
    </row>
    <row r="21" customFormat="false" ht="12.8" hidden="false" customHeight="false" outlineLevel="0" collapsed="false">
      <c r="A21" s="0" t="s">
        <v>60</v>
      </c>
      <c r="B21" s="0" t="s">
        <v>61</v>
      </c>
      <c r="C21" s="0" t="s">
        <v>26</v>
      </c>
      <c r="D21" s="0" t="s">
        <v>16</v>
      </c>
      <c r="E21" s="0" t="n">
        <v>5650.92</v>
      </c>
      <c r="F21" s="0" t="n">
        <v>211</v>
      </c>
      <c r="G21" s="0" t="str">
        <f aca="false">IF(F21&lt;=30,"Current",IF(F21&lt;=60,"31 to 60 days",IF(F21&lt;=90,"61 to 90 days",IF(F21&lt;=120,"91 to 120 days","Over 120 days"))))</f>
        <v>Over 120 days</v>
      </c>
      <c r="H21" s="0" t="n">
        <f aca="false">VLOOKUP(D21,Rates!$A$4:$B$7,2,FALSE())</f>
        <v>0.085</v>
      </c>
      <c r="I21" s="0" t="n">
        <f aca="false">VLOOKUP(F21,Rates!$D$4:$E$8,2)</f>
        <v>0.85</v>
      </c>
      <c r="J21" s="0" t="n">
        <f aca="false">ROUND(E21*I21,2)</f>
        <v>4803.28</v>
      </c>
      <c r="K21" s="1" t="n">
        <f aca="false">PV(H21/12,F21/30,0,-E21)</f>
        <v>5377.23625201494</v>
      </c>
      <c r="L21" s="0" t="n">
        <f aca="false">ROUND(E21-K21,2)</f>
        <v>273.68</v>
      </c>
      <c r="M21" s="0" t="n">
        <f aca="false">F21/E21</f>
        <v>0.0373390527560114</v>
      </c>
    </row>
    <row r="22" customFormat="false" ht="12.8" hidden="false" customHeight="false" outlineLevel="0" collapsed="false">
      <c r="A22" s="0" t="s">
        <v>62</v>
      </c>
      <c r="B22" s="0" t="s">
        <v>55</v>
      </c>
      <c r="C22" s="0" t="s">
        <v>26</v>
      </c>
      <c r="D22" s="0" t="s">
        <v>23</v>
      </c>
      <c r="E22" s="0" t="n">
        <v>6948.79</v>
      </c>
      <c r="F22" s="0" t="n">
        <v>376</v>
      </c>
      <c r="G22" s="0" t="str">
        <f aca="false">IF(F22&lt;=30,"Current",IF(F22&lt;=60,"31 to 60 days",IF(F22&lt;=90,"61 to 90 days",IF(F22&lt;=120,"91 to 120 days","Over 120 days"))))</f>
        <v>Over 120 days</v>
      </c>
      <c r="H22" s="0" t="n">
        <f aca="false">VLOOKUP(D22,Rates!$A$4:$B$7,2,FALSE())</f>
        <v>0.115</v>
      </c>
      <c r="I22" s="0" t="n">
        <f aca="false">VLOOKUP(F22,Rates!$D$4:$E$8,2)</f>
        <v>0.85</v>
      </c>
      <c r="J22" s="0" t="n">
        <f aca="false">ROUND(E22*I22,2)</f>
        <v>5906.47</v>
      </c>
      <c r="K22" s="1" t="n">
        <f aca="false">PV(H22/12,F22/30,0,-E22)</f>
        <v>6165.86425544569</v>
      </c>
      <c r="L22" s="0" t="n">
        <f aca="false">ROUND(E22-K22,2)</f>
        <v>782.93</v>
      </c>
      <c r="M22" s="0" t="n">
        <f aca="false">F22/E22</f>
        <v>0.0541101400387693</v>
      </c>
    </row>
    <row r="23" customFormat="false" ht="12.8" hidden="false" customHeight="false" outlineLevel="0" collapsed="false">
      <c r="A23" s="0" t="s">
        <v>63</v>
      </c>
      <c r="B23" s="0" t="s">
        <v>64</v>
      </c>
      <c r="C23" s="0" t="s">
        <v>26</v>
      </c>
      <c r="D23" s="0" t="s">
        <v>16</v>
      </c>
      <c r="E23" s="0" t="n">
        <v>27353.54</v>
      </c>
      <c r="F23" s="0" t="n">
        <v>395</v>
      </c>
      <c r="G23" s="0" t="str">
        <f aca="false">IF(F23&lt;=30,"Current",IF(F23&lt;=60,"31 to 60 days",IF(F23&lt;=90,"61 to 90 days",IF(F23&lt;=120,"91 to 120 days","Over 120 days"))))</f>
        <v>Over 120 days</v>
      </c>
      <c r="H23" s="0" t="n">
        <f aca="false">VLOOKUP(D23,Rates!$A$4:$B$7,2,FALSE())</f>
        <v>0.085</v>
      </c>
      <c r="I23" s="0" t="n">
        <f aca="false">VLOOKUP(F23,Rates!$D$4:$E$8,2)</f>
        <v>0.85</v>
      </c>
      <c r="J23" s="0" t="n">
        <f aca="false">ROUND(E23*I23,2)</f>
        <v>23250.51</v>
      </c>
      <c r="K23" s="1" t="n">
        <f aca="false">PV(H23/12,F23/30,0,-E23)</f>
        <v>24925.984733388</v>
      </c>
      <c r="L23" s="0" t="n">
        <f aca="false">ROUND(E23-K23,2)</f>
        <v>2427.56</v>
      </c>
      <c r="M23" s="0" t="n">
        <f aca="false">F23/E23</f>
        <v>0.0144405440758308</v>
      </c>
    </row>
    <row r="24" customFormat="false" ht="12.8" hidden="false" customHeight="false" outlineLevel="0" collapsed="false">
      <c r="A24" s="0" t="s">
        <v>65</v>
      </c>
      <c r="B24" s="0" t="s">
        <v>66</v>
      </c>
      <c r="C24" s="0" t="s">
        <v>36</v>
      </c>
      <c r="D24" s="0" t="s">
        <v>16</v>
      </c>
      <c r="E24" s="0" t="n">
        <v>33454.09</v>
      </c>
      <c r="F24" s="0" t="n">
        <v>236</v>
      </c>
      <c r="G24" s="0" t="str">
        <f aca="false">IF(F24&lt;=30,"Current",IF(F24&lt;=60,"31 to 60 days",IF(F24&lt;=90,"61 to 90 days",IF(F24&lt;=120,"91 to 120 days","Over 120 days"))))</f>
        <v>Over 120 days</v>
      </c>
      <c r="H24" s="0" t="n">
        <f aca="false">VLOOKUP(D24,Rates!$A$4:$B$7,2,FALSE())</f>
        <v>0.085</v>
      </c>
      <c r="I24" s="0" t="n">
        <f aca="false">VLOOKUP(F24,Rates!$D$4:$E$8,2)</f>
        <v>0.85</v>
      </c>
      <c r="J24" s="0" t="n">
        <f aca="false">ROUND(E24*I24,2)</f>
        <v>28435.98</v>
      </c>
      <c r="K24" s="1" t="n">
        <f aca="false">PV(H24/12,F24/30,0,-E24)</f>
        <v>31647.1548836166</v>
      </c>
      <c r="L24" s="0" t="n">
        <f aca="false">ROUND(E24-K24,2)</f>
        <v>1806.94</v>
      </c>
      <c r="M24" s="0" t="n">
        <f aca="false">F24/E24</f>
        <v>0.0070544438662059</v>
      </c>
    </row>
    <row r="25" customFormat="false" ht="12.8" hidden="false" customHeight="false" outlineLevel="0" collapsed="false">
      <c r="A25" s="0" t="s">
        <v>67</v>
      </c>
      <c r="B25" s="0" t="s">
        <v>68</v>
      </c>
      <c r="C25" s="0" t="s">
        <v>31</v>
      </c>
      <c r="D25" s="0" t="s">
        <v>49</v>
      </c>
      <c r="E25" s="0" t="n">
        <v>4159.33</v>
      </c>
      <c r="F25" s="0" t="n">
        <v>362</v>
      </c>
      <c r="G25" s="0" t="str">
        <f aca="false">IF(F25&lt;=30,"Current",IF(F25&lt;=60,"31 to 60 days",IF(F25&lt;=90,"61 to 90 days",IF(F25&lt;=120,"91 to 120 days","Over 120 days"))))</f>
        <v>Over 120 days</v>
      </c>
      <c r="H25" s="0" t="n">
        <f aca="false">VLOOKUP(D25,Rates!$A$4:$B$7,2,FALSE())</f>
        <v>0.02</v>
      </c>
      <c r="I25" s="0" t="n">
        <f aca="false">VLOOKUP(F25,Rates!$D$4:$E$8,2)</f>
        <v>0.85</v>
      </c>
      <c r="J25" s="0" t="n">
        <f aca="false">ROUND(E25*I25,2)</f>
        <v>3535.43</v>
      </c>
      <c r="K25" s="1" t="n">
        <f aca="false">PV(H25/12,F25/30,0,-E25)</f>
        <v>4076.58502052895</v>
      </c>
      <c r="L25" s="0" t="n">
        <f aca="false">ROUND(E25-K25,2)</f>
        <v>82.74</v>
      </c>
      <c r="M25" s="0" t="n">
        <f aca="false">F25/E25</f>
        <v>0.0870332481433308</v>
      </c>
    </row>
    <row r="26" customFormat="false" ht="12.8" hidden="false" customHeight="false" outlineLevel="0" collapsed="false">
      <c r="A26" s="0" t="s">
        <v>69</v>
      </c>
      <c r="B26" s="0" t="s">
        <v>70</v>
      </c>
      <c r="C26" s="0" t="s">
        <v>26</v>
      </c>
      <c r="D26" s="0" t="s">
        <v>16</v>
      </c>
      <c r="E26" s="0" t="n">
        <v>31175.96</v>
      </c>
      <c r="F26" s="0" t="n">
        <v>12</v>
      </c>
      <c r="G26" s="0" t="str">
        <f aca="false">IF(F26&lt;=30,"Current",IF(F26&lt;=60,"31 to 60 days",IF(F26&lt;=90,"61 to 90 days",IF(F26&lt;=120,"91 to 120 days","Over 120 days"))))</f>
        <v>Current</v>
      </c>
      <c r="H26" s="0" t="n">
        <f aca="false">VLOOKUP(D26,Rates!$A$4:$B$7,2,FALSE())</f>
        <v>0.085</v>
      </c>
      <c r="I26" s="0" t="n">
        <f aca="false">VLOOKUP(F26,Rates!$D$4:$E$8,2)</f>
        <v>0.02</v>
      </c>
      <c r="J26" s="0" t="n">
        <f aca="false">ROUND(E26*I26,2)</f>
        <v>623.52</v>
      </c>
      <c r="K26" s="1" t="n">
        <f aca="false">PV(H26/12,F26/30,0,-E26)</f>
        <v>31088.0636252412</v>
      </c>
      <c r="L26" s="0" t="n">
        <f aca="false">ROUND(E26-K26,2)</f>
        <v>87.9</v>
      </c>
      <c r="M26" s="0" t="n">
        <f aca="false">F26/E26</f>
        <v>0.000384911964218584</v>
      </c>
    </row>
    <row r="27" customFormat="false" ht="12.8" hidden="false" customHeight="false" outlineLevel="0" collapsed="false">
      <c r="A27" s="0" t="s">
        <v>71</v>
      </c>
      <c r="B27" s="0" t="s">
        <v>72</v>
      </c>
      <c r="C27" s="0" t="s">
        <v>19</v>
      </c>
      <c r="D27" s="0" t="s">
        <v>49</v>
      </c>
      <c r="E27" s="0" t="n">
        <v>17972.7</v>
      </c>
      <c r="F27" s="0" t="n">
        <v>75</v>
      </c>
      <c r="G27" s="0" t="str">
        <f aca="false">IF(F27&lt;=30,"Current",IF(F27&lt;=60,"31 to 60 days",IF(F27&lt;=90,"61 to 90 days",IF(F27&lt;=120,"91 to 120 days","Over 120 days"))))</f>
        <v>61 to 90 days</v>
      </c>
      <c r="H27" s="0" t="n">
        <f aca="false">VLOOKUP(D27,Rates!$A$4:$B$7,2,FALSE())</f>
        <v>0.02</v>
      </c>
      <c r="I27" s="0" t="n">
        <f aca="false">VLOOKUP(F27,Rates!$D$4:$E$8,2)</f>
        <v>0.25</v>
      </c>
      <c r="J27" s="0" t="n">
        <f aca="false">ROUND(E27*I27,2)</f>
        <v>4493.18</v>
      </c>
      <c r="K27" s="1" t="n">
        <f aca="false">PV(H27/12,F27/30,0,-E27)</f>
        <v>17898.0316234322</v>
      </c>
      <c r="L27" s="0" t="n">
        <f aca="false">ROUND(E27-K27,2)</f>
        <v>74.67</v>
      </c>
      <c r="M27" s="0" t="n">
        <f aca="false">F27/E27</f>
        <v>0.00417299571016041</v>
      </c>
    </row>
    <row r="28" customFormat="false" ht="12.8" hidden="false" customHeight="false" outlineLevel="0" collapsed="false">
      <c r="A28" s="0" t="s">
        <v>73</v>
      </c>
      <c r="B28" s="0" t="s">
        <v>74</v>
      </c>
      <c r="C28" s="0" t="s">
        <v>31</v>
      </c>
      <c r="D28" s="0" t="s">
        <v>23</v>
      </c>
      <c r="E28" s="0" t="n">
        <v>18500.49</v>
      </c>
      <c r="F28" s="0" t="n">
        <v>342</v>
      </c>
      <c r="G28" s="0" t="str">
        <f aca="false">IF(F28&lt;=30,"Current",IF(F28&lt;=60,"31 to 60 days",IF(F28&lt;=90,"61 to 90 days",IF(F28&lt;=120,"91 to 120 days","Over 120 days"))))</f>
        <v>Over 120 days</v>
      </c>
      <c r="H28" s="0" t="n">
        <f aca="false">VLOOKUP(D28,Rates!$A$4:$B$7,2,FALSE())</f>
        <v>0.115</v>
      </c>
      <c r="I28" s="0" t="n">
        <f aca="false">VLOOKUP(F28,Rates!$D$4:$E$8,2)</f>
        <v>0.85</v>
      </c>
      <c r="J28" s="0" t="n">
        <f aca="false">ROUND(E28*I28,2)</f>
        <v>15725.42</v>
      </c>
      <c r="K28" s="1" t="n">
        <f aca="false">PV(H28/12,F28/30,0,-E28)</f>
        <v>16594.434816625</v>
      </c>
      <c r="L28" s="0" t="n">
        <f aca="false">ROUND(E28-K28,2)</f>
        <v>1906.06</v>
      </c>
      <c r="M28" s="0" t="n">
        <f aca="false">F28/E28</f>
        <v>0.0184859968573805</v>
      </c>
    </row>
    <row r="29" customFormat="false" ht="12.8" hidden="false" customHeight="false" outlineLevel="0" collapsed="false">
      <c r="A29" s="0" t="s">
        <v>75</v>
      </c>
      <c r="B29" s="0" t="s">
        <v>76</v>
      </c>
      <c r="C29" s="0" t="s">
        <v>36</v>
      </c>
      <c r="D29" s="0" t="s">
        <v>49</v>
      </c>
      <c r="E29" s="0" t="n">
        <v>21491.93</v>
      </c>
      <c r="F29" s="0" t="n">
        <v>398</v>
      </c>
      <c r="G29" s="0" t="str">
        <f aca="false">IF(F29&lt;=30,"Current",IF(F29&lt;=60,"31 to 60 days",IF(F29&lt;=90,"61 to 90 days",IF(F29&lt;=120,"91 to 120 days","Over 120 days"))))</f>
        <v>Over 120 days</v>
      </c>
      <c r="H29" s="0" t="n">
        <f aca="false">VLOOKUP(D29,Rates!$A$4:$B$7,2,FALSE())</f>
        <v>0.02</v>
      </c>
      <c r="I29" s="0" t="n">
        <f aca="false">VLOOKUP(F29,Rates!$D$4:$E$8,2)</f>
        <v>0.85</v>
      </c>
      <c r="J29" s="0" t="n">
        <f aca="false">ROUND(E29*I29,2)</f>
        <v>18268.14</v>
      </c>
      <c r="K29" s="1" t="n">
        <f aca="false">PV(H29/12,F29/30,0,-E29)</f>
        <v>21022.3216769293</v>
      </c>
      <c r="L29" s="0" t="n">
        <f aca="false">ROUND(E29-K29,2)</f>
        <v>469.61</v>
      </c>
      <c r="M29" s="0" t="n">
        <f aca="false">F29/E29</f>
        <v>0.0185185788340089</v>
      </c>
    </row>
    <row r="30" customFormat="false" ht="12.8" hidden="false" customHeight="false" outlineLevel="0" collapsed="false">
      <c r="A30" s="0" t="s">
        <v>77</v>
      </c>
      <c r="B30" s="0" t="s">
        <v>78</v>
      </c>
      <c r="C30" s="0" t="s">
        <v>19</v>
      </c>
      <c r="D30" s="0" t="s">
        <v>23</v>
      </c>
      <c r="E30" s="0" t="n">
        <v>5395.47</v>
      </c>
      <c r="F30" s="0" t="n">
        <v>336</v>
      </c>
      <c r="G30" s="0" t="str">
        <f aca="false">IF(F30&lt;=30,"Current",IF(F30&lt;=60,"31 to 60 days",IF(F30&lt;=90,"61 to 90 days",IF(F30&lt;=120,"91 to 120 days","Over 120 days"))))</f>
        <v>Over 120 days</v>
      </c>
      <c r="H30" s="0" t="n">
        <f aca="false">VLOOKUP(D30,Rates!$A$4:$B$7,2,FALSE())</f>
        <v>0.115</v>
      </c>
      <c r="I30" s="0" t="n">
        <f aca="false">VLOOKUP(F30,Rates!$D$4:$E$8,2)</f>
        <v>0.85</v>
      </c>
      <c r="J30" s="0" t="n">
        <f aca="false">ROUND(E30*I30,2)</f>
        <v>4586.15</v>
      </c>
      <c r="K30" s="1" t="n">
        <f aca="false">PV(H30/12,F30/30,0,-E30)</f>
        <v>4848.82992097395</v>
      </c>
      <c r="L30" s="0" t="n">
        <f aca="false">ROUND(E30-K30,2)</f>
        <v>546.64</v>
      </c>
      <c r="M30" s="0" t="n">
        <f aca="false">F30/E30</f>
        <v>0.0622744635777791</v>
      </c>
    </row>
    <row r="31" customFormat="false" ht="12.8" hidden="false" customHeight="false" outlineLevel="0" collapsed="false">
      <c r="A31" s="0" t="s">
        <v>79</v>
      </c>
      <c r="B31" s="0" t="s">
        <v>80</v>
      </c>
      <c r="C31" s="0" t="s">
        <v>31</v>
      </c>
      <c r="D31" s="0" t="s">
        <v>16</v>
      </c>
      <c r="E31" s="0" t="n">
        <v>42806.63</v>
      </c>
      <c r="F31" s="0" t="n">
        <v>53</v>
      </c>
      <c r="G31" s="0" t="str">
        <f aca="false">IF(F31&lt;=30,"Current",IF(F31&lt;=60,"31 to 60 days",IF(F31&lt;=90,"61 to 90 days",IF(F31&lt;=120,"91 to 120 days","Over 120 days"))))</f>
        <v>31 to 60 days</v>
      </c>
      <c r="H31" s="0" t="n">
        <f aca="false">VLOOKUP(D31,Rates!$A$4:$B$7,2,FALSE())</f>
        <v>0.085</v>
      </c>
      <c r="I31" s="0" t="n">
        <f aca="false">VLOOKUP(F31,Rates!$D$4:$E$8,2)</f>
        <v>0.1</v>
      </c>
      <c r="J31" s="0" t="n">
        <f aca="false">ROUND(E31*I31,2)</f>
        <v>4280.66</v>
      </c>
      <c r="K31" s="1" t="n">
        <f aca="false">PV(H31/12,F31/30,0,-E31)</f>
        <v>42276.1551928078</v>
      </c>
      <c r="L31" s="0" t="n">
        <f aca="false">ROUND(E31-K31,2)</f>
        <v>530.47</v>
      </c>
      <c r="M31" s="0" t="n">
        <f aca="false">F31/E31</f>
        <v>0.00123812596319776</v>
      </c>
    </row>
    <row r="32" customFormat="false" ht="12.8" hidden="false" customHeight="false" outlineLevel="0" collapsed="false">
      <c r="A32" s="0" t="s">
        <v>81</v>
      </c>
      <c r="B32" s="0" t="s">
        <v>82</v>
      </c>
      <c r="C32" s="0" t="s">
        <v>36</v>
      </c>
      <c r="D32" s="0" t="s">
        <v>23</v>
      </c>
      <c r="E32" s="0" t="n">
        <v>15155.75</v>
      </c>
      <c r="F32" s="0" t="n">
        <v>225</v>
      </c>
      <c r="G32" s="0" t="str">
        <f aca="false">IF(F32&lt;=30,"Current",IF(F32&lt;=60,"31 to 60 days",IF(F32&lt;=90,"61 to 90 days",IF(F32&lt;=120,"91 to 120 days","Over 120 days"))))</f>
        <v>Over 120 days</v>
      </c>
      <c r="H32" s="0" t="n">
        <f aca="false">VLOOKUP(D32,Rates!$A$4:$B$7,2,FALSE())</f>
        <v>0.115</v>
      </c>
      <c r="I32" s="0" t="n">
        <f aca="false">VLOOKUP(F32,Rates!$D$4:$E$8,2)</f>
        <v>0.85</v>
      </c>
      <c r="J32" s="0" t="n">
        <f aca="false">ROUND(E32*I32,2)</f>
        <v>12882.39</v>
      </c>
      <c r="K32" s="1" t="n">
        <f aca="false">PV(H32/12,F32/30,0,-E32)</f>
        <v>14109.4842668359</v>
      </c>
      <c r="L32" s="0" t="n">
        <f aca="false">ROUND(E32-K32,2)</f>
        <v>1046.27</v>
      </c>
      <c r="M32" s="0" t="n">
        <f aca="false">F32/E32</f>
        <v>0.0148458505847616</v>
      </c>
    </row>
    <row r="33" customFormat="false" ht="12.8" hidden="false" customHeight="false" outlineLevel="0" collapsed="false">
      <c r="A33" s="0" t="s">
        <v>83</v>
      </c>
      <c r="B33" s="0" t="s">
        <v>84</v>
      </c>
      <c r="C33" s="0" t="s">
        <v>26</v>
      </c>
      <c r="D33" s="0" t="s">
        <v>23</v>
      </c>
      <c r="E33" s="0" t="n">
        <v>5261.45</v>
      </c>
      <c r="F33" s="0" t="n">
        <v>166</v>
      </c>
      <c r="G33" s="0" t="str">
        <f aca="false">IF(F33&lt;=30,"Current",IF(F33&lt;=60,"31 to 60 days",IF(F33&lt;=90,"61 to 90 days",IF(F33&lt;=120,"91 to 120 days","Over 120 days"))))</f>
        <v>Over 120 days</v>
      </c>
      <c r="H33" s="0" t="n">
        <f aca="false">VLOOKUP(D33,Rates!$A$4:$B$7,2,FALSE())</f>
        <v>0.115</v>
      </c>
      <c r="I33" s="0" t="n">
        <f aca="false">VLOOKUP(F33,Rates!$D$4:$E$8,2)</f>
        <v>0.85</v>
      </c>
      <c r="J33" s="0" t="n">
        <f aca="false">ROUND(E33*I33,2)</f>
        <v>4472.23</v>
      </c>
      <c r="K33" s="1" t="n">
        <f aca="false">PV(H33/12,F33/30,0,-E33)</f>
        <v>4990.97537220729</v>
      </c>
      <c r="L33" s="0" t="n">
        <f aca="false">ROUND(E33-K33,2)</f>
        <v>270.47</v>
      </c>
      <c r="M33" s="0" t="n">
        <f aca="false">F33/E33</f>
        <v>0.031550238052248</v>
      </c>
    </row>
    <row r="34" customFormat="false" ht="12.8" hidden="false" customHeight="false" outlineLevel="0" collapsed="false">
      <c r="A34" s="0" t="s">
        <v>85</v>
      </c>
      <c r="B34" s="0" t="s">
        <v>86</v>
      </c>
      <c r="C34" s="0" t="s">
        <v>36</v>
      </c>
      <c r="D34" s="0" t="s">
        <v>16</v>
      </c>
      <c r="E34" s="0" t="n">
        <v>23000.66</v>
      </c>
      <c r="F34" s="0" t="n">
        <v>342</v>
      </c>
      <c r="G34" s="0" t="str">
        <f aca="false">IF(F34&lt;=30,"Current",IF(F34&lt;=60,"31 to 60 days",IF(F34&lt;=90,"61 to 90 days",IF(F34&lt;=120,"91 to 120 days","Over 120 days"))))</f>
        <v>Over 120 days</v>
      </c>
      <c r="H34" s="0" t="n">
        <f aca="false">VLOOKUP(D34,Rates!$A$4:$B$7,2,FALSE())</f>
        <v>0.085</v>
      </c>
      <c r="I34" s="0" t="n">
        <f aca="false">VLOOKUP(F34,Rates!$D$4:$E$8,2)</f>
        <v>0.85</v>
      </c>
      <c r="J34" s="0" t="n">
        <f aca="false">ROUND(E34*I34,2)</f>
        <v>19550.56</v>
      </c>
      <c r="K34" s="1" t="n">
        <f aca="false">PV(H34/12,F34/30,0,-E34)</f>
        <v>21222.4069979189</v>
      </c>
      <c r="L34" s="0" t="n">
        <f aca="false">ROUND(E34-K34,2)</f>
        <v>1778.25</v>
      </c>
      <c r="M34" s="0" t="n">
        <f aca="false">F34/E34</f>
        <v>0.0148691385377637</v>
      </c>
    </row>
    <row r="35" customFormat="false" ht="12.8" hidden="false" customHeight="false" outlineLevel="0" collapsed="false">
      <c r="A35" s="0" t="s">
        <v>87</v>
      </c>
      <c r="B35" s="0" t="s">
        <v>18</v>
      </c>
      <c r="C35" s="0" t="s">
        <v>19</v>
      </c>
      <c r="D35" s="0" t="s">
        <v>20</v>
      </c>
      <c r="E35" s="0" t="n">
        <v>42944.4</v>
      </c>
      <c r="F35" s="0" t="n">
        <v>386</v>
      </c>
      <c r="G35" s="0" t="str">
        <f aca="false">IF(F35&lt;=30,"Current",IF(F35&lt;=60,"31 to 60 days",IF(F35&lt;=90,"61 to 90 days",IF(F35&lt;=120,"91 to 120 days","Over 120 days"))))</f>
        <v>Over 120 days</v>
      </c>
      <c r="H35" s="0" t="n">
        <f aca="false">VLOOKUP(D35,Rates!$A$4:$B$7,2,FALSE())</f>
        <v>0.05</v>
      </c>
      <c r="I35" s="0" t="n">
        <f aca="false">VLOOKUP(F35,Rates!$D$4:$E$8,2)</f>
        <v>0.85</v>
      </c>
      <c r="J35" s="0" t="n">
        <f aca="false">ROUND(E35*I35,2)</f>
        <v>36502.74</v>
      </c>
      <c r="K35" s="1" t="n">
        <f aca="false">PV(H35/12,F35/30,0,-E35)</f>
        <v>40707.2628602145</v>
      </c>
      <c r="L35" s="0" t="n">
        <f aca="false">ROUND(E35-K35,2)</f>
        <v>2237.14</v>
      </c>
      <c r="M35" s="0" t="n">
        <f aca="false">F35/E35</f>
        <v>0.00898836635277242</v>
      </c>
    </row>
    <row r="36" customFormat="false" ht="12.8" hidden="false" customHeight="false" outlineLevel="0" collapsed="false">
      <c r="A36" s="0" t="s">
        <v>88</v>
      </c>
      <c r="B36" s="0" t="s">
        <v>89</v>
      </c>
      <c r="C36" s="0" t="s">
        <v>36</v>
      </c>
      <c r="D36" s="0" t="s">
        <v>49</v>
      </c>
      <c r="E36" s="0" t="n">
        <v>3545.66</v>
      </c>
      <c r="F36" s="0" t="n">
        <v>195</v>
      </c>
      <c r="G36" s="0" t="str">
        <f aca="false">IF(F36&lt;=30,"Current",IF(F36&lt;=60,"31 to 60 days",IF(F36&lt;=90,"61 to 90 days",IF(F36&lt;=120,"91 to 120 days","Over 120 days"))))</f>
        <v>Over 120 days</v>
      </c>
      <c r="H36" s="0" t="n">
        <f aca="false">VLOOKUP(D36,Rates!$A$4:$B$7,2,FALSE())</f>
        <v>0.02</v>
      </c>
      <c r="I36" s="0" t="n">
        <f aca="false">VLOOKUP(F36,Rates!$D$4:$E$8,2)</f>
        <v>0.85</v>
      </c>
      <c r="J36" s="0" t="n">
        <f aca="false">ROUND(E36*I36,2)</f>
        <v>3013.81</v>
      </c>
      <c r="K36" s="1" t="n">
        <f aca="false">PV(H36/12,F36/30,0,-E36)</f>
        <v>3507.48762486694</v>
      </c>
      <c r="L36" s="0" t="n">
        <f aca="false">ROUND(E36-K36,2)</f>
        <v>38.17</v>
      </c>
      <c r="M36" s="0" t="n">
        <f aca="false">F36/E36</f>
        <v>0.0549968130051951</v>
      </c>
    </row>
    <row r="37" customFormat="false" ht="12.8" hidden="false" customHeight="false" outlineLevel="0" collapsed="false">
      <c r="A37" s="0" t="s">
        <v>90</v>
      </c>
      <c r="B37" s="0" t="s">
        <v>91</v>
      </c>
      <c r="C37" s="0" t="s">
        <v>26</v>
      </c>
      <c r="D37" s="0" t="s">
        <v>49</v>
      </c>
      <c r="E37" s="0" t="n">
        <v>43572.07</v>
      </c>
      <c r="F37" s="0" t="n">
        <v>58</v>
      </c>
      <c r="G37" s="0" t="str">
        <f aca="false">IF(F37&lt;=30,"Current",IF(F37&lt;=60,"31 to 60 days",IF(F37&lt;=90,"61 to 90 days",IF(F37&lt;=120,"91 to 120 days","Over 120 days"))))</f>
        <v>31 to 60 days</v>
      </c>
      <c r="H37" s="0" t="n">
        <f aca="false">VLOOKUP(D37,Rates!$A$4:$B$7,2,FALSE())</f>
        <v>0.02</v>
      </c>
      <c r="I37" s="0" t="n">
        <f aca="false">VLOOKUP(F37,Rates!$D$4:$E$8,2)</f>
        <v>0.1</v>
      </c>
      <c r="J37" s="0" t="n">
        <f aca="false">ROUND(E37*I37,2)</f>
        <v>4357.21</v>
      </c>
      <c r="K37" s="1" t="n">
        <f aca="false">PV(H37/12,F37/30,0,-E37)</f>
        <v>43432.0135566588</v>
      </c>
      <c r="L37" s="0" t="n">
        <f aca="false">ROUND(E37-K37,2)</f>
        <v>140.06</v>
      </c>
      <c r="M37" s="0" t="n">
        <f aca="false">F37/E37</f>
        <v>0.00133112794503451</v>
      </c>
    </row>
    <row r="38" customFormat="false" ht="12.8" hidden="false" customHeight="false" outlineLevel="0" collapsed="false">
      <c r="A38" s="0" t="s">
        <v>92</v>
      </c>
      <c r="B38" s="0" t="s">
        <v>93</v>
      </c>
      <c r="C38" s="0" t="s">
        <v>42</v>
      </c>
      <c r="D38" s="0" t="s">
        <v>16</v>
      </c>
      <c r="E38" s="0" t="n">
        <v>36585.56</v>
      </c>
      <c r="F38" s="0" t="n">
        <v>235</v>
      </c>
      <c r="G38" s="0" t="str">
        <f aca="false">IF(F38&lt;=30,"Current",IF(F38&lt;=60,"31 to 60 days",IF(F38&lt;=90,"61 to 90 days",IF(F38&lt;=120,"91 to 120 days","Over 120 days"))))</f>
        <v>Over 120 days</v>
      </c>
      <c r="H38" s="0" t="n">
        <f aca="false">VLOOKUP(D38,Rates!$A$4:$B$7,2,FALSE())</f>
        <v>0.085</v>
      </c>
      <c r="I38" s="0" t="n">
        <f aca="false">VLOOKUP(F38,Rates!$D$4:$E$8,2)</f>
        <v>0.85</v>
      </c>
      <c r="J38" s="0" t="n">
        <f aca="false">ROUND(E38*I38,2)</f>
        <v>31097.73</v>
      </c>
      <c r="K38" s="1" t="n">
        <f aca="false">PV(H38/12,F38/30,0,-E38)</f>
        <v>34617.6305640773</v>
      </c>
      <c r="L38" s="0" t="n">
        <f aca="false">ROUND(E38-K38,2)</f>
        <v>1967.93</v>
      </c>
      <c r="M38" s="0" t="n">
        <f aca="false">F38/E38</f>
        <v>0.00642329924702533</v>
      </c>
    </row>
    <row r="39" customFormat="false" ht="12.8" hidden="false" customHeight="false" outlineLevel="0" collapsed="false">
      <c r="A39" s="0" t="s">
        <v>94</v>
      </c>
      <c r="B39" s="0" t="s">
        <v>35</v>
      </c>
      <c r="C39" s="0" t="s">
        <v>36</v>
      </c>
      <c r="D39" s="0" t="s">
        <v>23</v>
      </c>
      <c r="E39" s="0" t="n">
        <v>5283.29</v>
      </c>
      <c r="F39" s="0" t="n">
        <v>35</v>
      </c>
      <c r="G39" s="0" t="str">
        <f aca="false">IF(F39&lt;=30,"Current",IF(F39&lt;=60,"31 to 60 days",IF(F39&lt;=90,"61 to 90 days",IF(F39&lt;=120,"91 to 120 days","Over 120 days"))))</f>
        <v>31 to 60 days</v>
      </c>
      <c r="H39" s="0" t="n">
        <f aca="false">VLOOKUP(D39,Rates!$A$4:$B$7,2,FALSE())</f>
        <v>0.115</v>
      </c>
      <c r="I39" s="0" t="n">
        <f aca="false">VLOOKUP(F39,Rates!$D$4:$E$8,2)</f>
        <v>0.1</v>
      </c>
      <c r="J39" s="0" t="n">
        <f aca="false">ROUND(E39*I39,2)</f>
        <v>528.33</v>
      </c>
      <c r="K39" s="1" t="n">
        <f aca="false">PV(H39/12,F39/30,0,-E39)</f>
        <v>5224.8270030305</v>
      </c>
      <c r="L39" s="0" t="n">
        <f aca="false">ROUND(E39-K39,2)</f>
        <v>58.46</v>
      </c>
      <c r="M39" s="0" t="n">
        <f aca="false">F39/E39</f>
        <v>0.00662466001298433</v>
      </c>
    </row>
    <row r="40" customFormat="false" ht="12.8" hidden="false" customHeight="false" outlineLevel="0" collapsed="false">
      <c r="A40" s="0" t="s">
        <v>95</v>
      </c>
      <c r="B40" s="0" t="s">
        <v>51</v>
      </c>
      <c r="C40" s="0" t="s">
        <v>36</v>
      </c>
      <c r="D40" s="0" t="s">
        <v>20</v>
      </c>
      <c r="E40" s="0" t="n">
        <v>27689.29</v>
      </c>
      <c r="F40" s="0" t="n">
        <v>319</v>
      </c>
      <c r="G40" s="0" t="str">
        <f aca="false">IF(F40&lt;=30,"Current",IF(F40&lt;=60,"31 to 60 days",IF(F40&lt;=90,"61 to 90 days",IF(F40&lt;=120,"91 to 120 days","Over 120 days"))))</f>
        <v>Over 120 days</v>
      </c>
      <c r="H40" s="0" t="n">
        <f aca="false">VLOOKUP(D40,Rates!$A$4:$B$7,2,FALSE())</f>
        <v>0.05</v>
      </c>
      <c r="I40" s="0" t="n">
        <f aca="false">VLOOKUP(F40,Rates!$D$4:$E$8,2)</f>
        <v>0.85</v>
      </c>
      <c r="J40" s="0" t="n">
        <f aca="false">ROUND(E40*I40,2)</f>
        <v>23535.9</v>
      </c>
      <c r="K40" s="1" t="n">
        <f aca="false">PV(H40/12,F40/30,0,-E40)</f>
        <v>26491.7188496219</v>
      </c>
      <c r="L40" s="0" t="n">
        <f aca="false">ROUND(E40-K40,2)</f>
        <v>1197.57</v>
      </c>
      <c r="M40" s="0" t="n">
        <f aca="false">F40/E40</f>
        <v>0.011520699880712</v>
      </c>
    </row>
    <row r="41" customFormat="false" ht="12.8" hidden="false" customHeight="false" outlineLevel="0" collapsed="false">
      <c r="A41" s="0" t="s">
        <v>96</v>
      </c>
      <c r="B41" s="0" t="s">
        <v>97</v>
      </c>
      <c r="C41" s="0" t="s">
        <v>42</v>
      </c>
      <c r="D41" s="0" t="s">
        <v>20</v>
      </c>
      <c r="E41" s="0" t="n">
        <v>22346.39</v>
      </c>
      <c r="F41" s="0" t="n">
        <v>149</v>
      </c>
      <c r="G41" s="0" t="str">
        <f aca="false">IF(F41&lt;=30,"Current",IF(F41&lt;=60,"31 to 60 days",IF(F41&lt;=90,"61 to 90 days",IF(F41&lt;=120,"91 to 120 days","Over 120 days"))))</f>
        <v>Over 120 days</v>
      </c>
      <c r="H41" s="0" t="n">
        <f aca="false">VLOOKUP(D41,Rates!$A$4:$B$7,2,FALSE())</f>
        <v>0.05</v>
      </c>
      <c r="I41" s="0" t="n">
        <f aca="false">VLOOKUP(F41,Rates!$D$4:$E$8,2)</f>
        <v>0.85</v>
      </c>
      <c r="J41" s="0" t="n">
        <f aca="false">ROUND(E41*I41,2)</f>
        <v>18994.43</v>
      </c>
      <c r="K41" s="1" t="n">
        <f aca="false">PV(H41/12,F41/30,0,-E41)</f>
        <v>21889.6371723391</v>
      </c>
      <c r="L41" s="0" t="n">
        <f aca="false">ROUND(E41-K41,2)</f>
        <v>456.75</v>
      </c>
      <c r="M41" s="0" t="n">
        <f aca="false">F41/E41</f>
        <v>0.00666774364897417</v>
      </c>
    </row>
    <row r="42" customFormat="false" ht="12.8" hidden="false" customHeight="false" outlineLevel="0" collapsed="false">
      <c r="A42" s="0" t="s">
        <v>98</v>
      </c>
      <c r="B42" s="0" t="s">
        <v>99</v>
      </c>
      <c r="C42" s="0" t="s">
        <v>36</v>
      </c>
      <c r="D42" s="0" t="s">
        <v>16</v>
      </c>
      <c r="E42" s="0" t="n">
        <v>29346.27</v>
      </c>
      <c r="F42" s="0" t="n">
        <v>277</v>
      </c>
      <c r="G42" s="0" t="str">
        <f aca="false">IF(F42&lt;=30,"Current",IF(F42&lt;=60,"31 to 60 days",IF(F42&lt;=90,"61 to 90 days",IF(F42&lt;=120,"91 to 120 days","Over 120 days"))))</f>
        <v>Over 120 days</v>
      </c>
      <c r="H42" s="0" t="n">
        <f aca="false">VLOOKUP(D42,Rates!$A$4:$B$7,2,FALSE())</f>
        <v>0.085</v>
      </c>
      <c r="I42" s="0" t="n">
        <f aca="false">VLOOKUP(F42,Rates!$D$4:$E$8,2)</f>
        <v>0.85</v>
      </c>
      <c r="J42" s="0" t="n">
        <f aca="false">ROUND(E42*I42,2)</f>
        <v>24944.33</v>
      </c>
      <c r="K42" s="1" t="n">
        <f aca="false">PV(H42/12,F42/30,0,-E42)</f>
        <v>27494.6989413762</v>
      </c>
      <c r="L42" s="0" t="n">
        <f aca="false">ROUND(E42-K42,2)</f>
        <v>1851.57</v>
      </c>
      <c r="M42" s="0" t="n">
        <f aca="false">F42/E42</f>
        <v>0.0094390189962813</v>
      </c>
    </row>
    <row r="43" customFormat="false" ht="12.8" hidden="false" customHeight="false" outlineLevel="0" collapsed="false">
      <c r="A43" s="0" t="s">
        <v>100</v>
      </c>
      <c r="B43" s="0" t="s">
        <v>101</v>
      </c>
      <c r="C43" s="0" t="s">
        <v>15</v>
      </c>
      <c r="D43" s="0" t="s">
        <v>16</v>
      </c>
      <c r="E43" s="0" t="n">
        <v>4437.97</v>
      </c>
      <c r="F43" s="0" t="n">
        <v>55</v>
      </c>
      <c r="G43" s="0" t="str">
        <f aca="false">IF(F43&lt;=30,"Current",IF(F43&lt;=60,"31 to 60 days",IF(F43&lt;=90,"61 to 90 days",IF(F43&lt;=120,"91 to 120 days","Over 120 days"))))</f>
        <v>31 to 60 days</v>
      </c>
      <c r="H43" s="0" t="n">
        <f aca="false">VLOOKUP(D43,Rates!$A$4:$B$7,2,FALSE())</f>
        <v>0.085</v>
      </c>
      <c r="I43" s="0" t="n">
        <f aca="false">VLOOKUP(F43,Rates!$D$4:$E$8,2)</f>
        <v>0.1</v>
      </c>
      <c r="J43" s="0" t="n">
        <f aca="false">ROUND(E43*I43,2)</f>
        <v>443.8</v>
      </c>
      <c r="K43" s="1" t="n">
        <f aca="false">PV(H43/12,F43/30,0,-E43)</f>
        <v>4380.91115939226</v>
      </c>
      <c r="L43" s="0" t="n">
        <f aca="false">ROUND(E43-K43,2)</f>
        <v>57.06</v>
      </c>
      <c r="M43" s="0" t="n">
        <f aca="false">F43/E43</f>
        <v>0.0123930535808038</v>
      </c>
    </row>
    <row r="44" customFormat="false" ht="12.8" hidden="false" customHeight="false" outlineLevel="0" collapsed="false">
      <c r="A44" s="0" t="s">
        <v>102</v>
      </c>
      <c r="B44" s="0" t="s">
        <v>103</v>
      </c>
      <c r="C44" s="0" t="s">
        <v>26</v>
      </c>
      <c r="D44" s="0" t="s">
        <v>16</v>
      </c>
      <c r="E44" s="0" t="n">
        <v>19449.37</v>
      </c>
      <c r="F44" s="0" t="n">
        <v>398</v>
      </c>
      <c r="G44" s="0" t="str">
        <f aca="false">IF(F44&lt;=30,"Current",IF(F44&lt;=60,"31 to 60 days",IF(F44&lt;=90,"61 to 90 days",IF(F44&lt;=120,"91 to 120 days","Over 120 days"))))</f>
        <v>Over 120 days</v>
      </c>
      <c r="H44" s="0" t="n">
        <f aca="false">VLOOKUP(D44,Rates!$A$4:$B$7,2,FALSE())</f>
        <v>0.085</v>
      </c>
      <c r="I44" s="0" t="n">
        <f aca="false">VLOOKUP(F44,Rates!$D$4:$E$8,2)</f>
        <v>0.85</v>
      </c>
      <c r="J44" s="0" t="n">
        <f aca="false">ROUND(E44*I44,2)</f>
        <v>16531.96</v>
      </c>
      <c r="K44" s="1" t="n">
        <f aca="false">PV(H44/12,F44/30,0,-E44)</f>
        <v>17710.7838570734</v>
      </c>
      <c r="L44" s="0" t="n">
        <f aca="false">ROUND(E44-K44,2)</f>
        <v>1738.59</v>
      </c>
      <c r="M44" s="0" t="n">
        <f aca="false">F44/E44</f>
        <v>0.0204633877601177</v>
      </c>
    </row>
    <row r="45" customFormat="false" ht="12.8" hidden="false" customHeight="false" outlineLevel="0" collapsed="false">
      <c r="A45" s="0" t="s">
        <v>104</v>
      </c>
      <c r="B45" s="0" t="s">
        <v>105</v>
      </c>
      <c r="C45" s="0" t="s">
        <v>26</v>
      </c>
      <c r="D45" s="0" t="s">
        <v>49</v>
      </c>
      <c r="E45" s="0" t="n">
        <v>34161.07</v>
      </c>
      <c r="F45" s="0" t="n">
        <v>229</v>
      </c>
      <c r="G45" s="0" t="str">
        <f aca="false">IF(F45&lt;=30,"Current",IF(F45&lt;=60,"31 to 60 days",IF(F45&lt;=90,"61 to 90 days",IF(F45&lt;=120,"91 to 120 days","Over 120 days"))))</f>
        <v>Over 120 days</v>
      </c>
      <c r="H45" s="0" t="n">
        <f aca="false">VLOOKUP(D45,Rates!$A$4:$B$7,2,FALSE())</f>
        <v>0.02</v>
      </c>
      <c r="I45" s="0" t="n">
        <f aca="false">VLOOKUP(F45,Rates!$D$4:$E$8,2)</f>
        <v>0.85</v>
      </c>
      <c r="J45" s="0" t="n">
        <f aca="false">ROUND(E45*I45,2)</f>
        <v>29036.91</v>
      </c>
      <c r="K45" s="1" t="n">
        <f aca="false">PV(H45/12,F45/30,0,-E45)</f>
        <v>33729.5753556594</v>
      </c>
      <c r="L45" s="0" t="n">
        <f aca="false">ROUND(E45-K45,2)</f>
        <v>431.49</v>
      </c>
      <c r="M45" s="0" t="n">
        <f aca="false">F45/E45</f>
        <v>0.00670353709646683</v>
      </c>
    </row>
    <row r="46" customFormat="false" ht="12.8" hidden="false" customHeight="false" outlineLevel="0" collapsed="false">
      <c r="A46" s="0" t="s">
        <v>106</v>
      </c>
      <c r="B46" s="0" t="s">
        <v>28</v>
      </c>
      <c r="C46" s="0" t="s">
        <v>15</v>
      </c>
      <c r="D46" s="0" t="s">
        <v>20</v>
      </c>
      <c r="E46" s="0" t="n">
        <v>2681.19</v>
      </c>
      <c r="F46" s="0" t="n">
        <v>101</v>
      </c>
      <c r="G46" s="0" t="str">
        <f aca="false">IF(F46&lt;=30,"Current",IF(F46&lt;=60,"31 to 60 days",IF(F46&lt;=90,"61 to 90 days",IF(F46&lt;=120,"91 to 120 days","Over 120 days"))))</f>
        <v>91 to 120 days</v>
      </c>
      <c r="H46" s="0" t="n">
        <f aca="false">VLOOKUP(D46,Rates!$A$4:$B$7,2,FALSE())</f>
        <v>0.05</v>
      </c>
      <c r="I46" s="0" t="n">
        <f aca="false">VLOOKUP(F46,Rates!$D$4:$E$8,2)</f>
        <v>0.5</v>
      </c>
      <c r="J46" s="0" t="n">
        <f aca="false">ROUND(E46*I46,2)</f>
        <v>1340.6</v>
      </c>
      <c r="K46" s="1" t="n">
        <f aca="false">PV(H46/12,F46/30,0,-E46)</f>
        <v>2643.91848585035</v>
      </c>
      <c r="L46" s="0" t="n">
        <f aca="false">ROUND(E46-K46,2)</f>
        <v>37.27</v>
      </c>
      <c r="M46" s="0" t="n">
        <f aca="false">F46/E46</f>
        <v>0.0376698406304663</v>
      </c>
    </row>
    <row r="47" customFormat="false" ht="12.8" hidden="false" customHeight="false" outlineLevel="0" collapsed="false">
      <c r="A47" s="0" t="s">
        <v>107</v>
      </c>
      <c r="B47" s="0" t="s">
        <v>28</v>
      </c>
      <c r="C47" s="0" t="s">
        <v>15</v>
      </c>
      <c r="D47" s="0" t="s">
        <v>20</v>
      </c>
      <c r="E47" s="0" t="n">
        <v>38592.17</v>
      </c>
      <c r="F47" s="0" t="n">
        <v>90</v>
      </c>
      <c r="G47" s="0" t="str">
        <f aca="false">IF(F47&lt;=30,"Current",IF(F47&lt;=60,"31 to 60 days",IF(F47&lt;=90,"61 to 90 days",IF(F47&lt;=120,"91 to 120 days","Over 120 days"))))</f>
        <v>61 to 90 days</v>
      </c>
      <c r="H47" s="0" t="n">
        <f aca="false">VLOOKUP(D47,Rates!$A$4:$B$7,2,FALSE())</f>
        <v>0.05</v>
      </c>
      <c r="I47" s="0" t="n">
        <f aca="false">VLOOKUP(F47,Rates!$D$4:$E$8,2)</f>
        <v>0.25</v>
      </c>
      <c r="J47" s="0" t="n">
        <f aca="false">ROUND(E47*I47,2)</f>
        <v>9648.04</v>
      </c>
      <c r="K47" s="1" t="n">
        <f aca="false">PV(H47/12,F47/30,0,-E47)</f>
        <v>38113.7601493865</v>
      </c>
      <c r="L47" s="0" t="n">
        <f aca="false">ROUND(E47-K47,2)</f>
        <v>478.41</v>
      </c>
      <c r="M47" s="0" t="n">
        <f aca="false">F47/E47</f>
        <v>0.00233207927929422</v>
      </c>
    </row>
    <row r="48" customFormat="false" ht="12.8" hidden="false" customHeight="false" outlineLevel="0" collapsed="false">
      <c r="A48" s="0" t="s">
        <v>108</v>
      </c>
      <c r="B48" s="0" t="s">
        <v>33</v>
      </c>
      <c r="C48" s="0" t="s">
        <v>26</v>
      </c>
      <c r="D48" s="0" t="s">
        <v>20</v>
      </c>
      <c r="E48" s="0" t="n">
        <v>1413.9</v>
      </c>
      <c r="F48" s="0" t="n">
        <v>104</v>
      </c>
      <c r="G48" s="0" t="str">
        <f aca="false">IF(F48&lt;=30,"Current",IF(F48&lt;=60,"31 to 60 days",IF(F48&lt;=90,"61 to 90 days",IF(F48&lt;=120,"91 to 120 days","Over 120 days"))))</f>
        <v>91 to 120 days</v>
      </c>
      <c r="H48" s="0" t="n">
        <f aca="false">VLOOKUP(D48,Rates!$A$4:$B$7,2,FALSE())</f>
        <v>0.05</v>
      </c>
      <c r="I48" s="0" t="n">
        <f aca="false">VLOOKUP(F48,Rates!$D$4:$E$8,2)</f>
        <v>0.5</v>
      </c>
      <c r="J48" s="0" t="n">
        <f aca="false">ROUND(E48*I48,2)</f>
        <v>706.95</v>
      </c>
      <c r="K48" s="1" t="n">
        <f aca="false">PV(H48/12,F48/30,0,-E48)</f>
        <v>1393.66561406869</v>
      </c>
      <c r="L48" s="0" t="n">
        <f aca="false">ROUND(E48-K48,2)</f>
        <v>20.23</v>
      </c>
      <c r="M48" s="0" t="n">
        <f aca="false">F48/E48</f>
        <v>0.0735554141028361</v>
      </c>
    </row>
    <row r="49" customFormat="false" ht="12.8" hidden="false" customHeight="false" outlineLevel="0" collapsed="false">
      <c r="A49" s="0" t="s">
        <v>109</v>
      </c>
      <c r="B49" s="0" t="s">
        <v>28</v>
      </c>
      <c r="C49" s="0" t="s">
        <v>15</v>
      </c>
      <c r="D49" s="0" t="s">
        <v>20</v>
      </c>
      <c r="E49" s="0" t="n">
        <v>0</v>
      </c>
      <c r="F49" s="0" t="n">
        <v>92</v>
      </c>
      <c r="G49" s="0" t="str">
        <f aca="false">IF(F49&lt;=30,"Current",IF(F49&lt;=60,"31 to 60 days",IF(F49&lt;=90,"61 to 90 days",IF(F49&lt;=120,"91 to 120 days","Over 120 days"))))</f>
        <v>91 to 120 days</v>
      </c>
      <c r="H49" s="0" t="n">
        <f aca="false">VLOOKUP(D49,Rates!$A$4:$B$7,2,FALSE())</f>
        <v>0.05</v>
      </c>
      <c r="I49" s="0" t="n">
        <f aca="false">VLOOKUP(F49,Rates!$D$4:$E$8,2)</f>
        <v>0.5</v>
      </c>
      <c r="J49" s="0" t="n">
        <f aca="false">ROUND(E49*I49,2)</f>
        <v>0</v>
      </c>
      <c r="K49" s="1" t="n">
        <f aca="false">PV(H49/12,F49/30,0,-E49)</f>
        <v>-0</v>
      </c>
      <c r="L49" s="0" t="n">
        <f aca="false">ROUND(E49-K49,2)</f>
        <v>0</v>
      </c>
      <c r="M49" s="0" t="e">
        <f aca="false">F49/E49</f>
        <v>#DIV/0!</v>
      </c>
    </row>
    <row r="50" customFormat="false" ht="12.8" hidden="false" customHeight="false" outlineLevel="0" collapsed="false">
      <c r="A50" s="0" t="s">
        <v>110</v>
      </c>
      <c r="B50" s="0" t="s">
        <v>111</v>
      </c>
      <c r="C50" s="0" t="s">
        <v>19</v>
      </c>
      <c r="D50" s="0" t="s">
        <v>23</v>
      </c>
      <c r="E50" s="0" t="n">
        <v>6613.31</v>
      </c>
      <c r="F50" s="0" t="n">
        <v>335</v>
      </c>
      <c r="G50" s="0" t="str">
        <f aca="false">IF(F50&lt;=30,"Current",IF(F50&lt;=60,"31 to 60 days",IF(F50&lt;=90,"61 to 90 days",IF(F50&lt;=120,"91 to 120 days","Over 120 days"))))</f>
        <v>Over 120 days</v>
      </c>
      <c r="H50" s="0" t="n">
        <f aca="false">VLOOKUP(D50,Rates!$A$4:$B$7,2,FALSE())</f>
        <v>0.115</v>
      </c>
      <c r="I50" s="0" t="n">
        <f aca="false">VLOOKUP(F50,Rates!$D$4:$E$8,2)</f>
        <v>0.85</v>
      </c>
      <c r="J50" s="0" t="n">
        <f aca="false">ROUND(E50*I50,2)</f>
        <v>5621.31</v>
      </c>
      <c r="K50" s="1" t="n">
        <f aca="false">PV(H50/12,F50/30,0,-E50)</f>
        <v>5945.17471491124</v>
      </c>
      <c r="L50" s="0" t="n">
        <f aca="false">ROUND(E50-K50,2)</f>
        <v>668.14</v>
      </c>
      <c r="M50" s="0" t="n">
        <f aca="false">F50/E50</f>
        <v>0.0506554206592463</v>
      </c>
    </row>
    <row r="51" customFormat="false" ht="12.8" hidden="false" customHeight="false" outlineLevel="0" collapsed="false">
      <c r="A51" s="0" t="s">
        <v>112</v>
      </c>
      <c r="B51" s="0" t="s">
        <v>113</v>
      </c>
      <c r="C51" s="0" t="s">
        <v>26</v>
      </c>
      <c r="D51" s="0" t="s">
        <v>23</v>
      </c>
      <c r="E51" s="0" t="n">
        <v>12923.2</v>
      </c>
      <c r="F51" s="0" t="n">
        <v>382</v>
      </c>
      <c r="G51" s="0" t="str">
        <f aca="false">IF(F51&lt;=30,"Current",IF(F51&lt;=60,"31 to 60 days",IF(F51&lt;=90,"61 to 90 days",IF(F51&lt;=120,"91 to 120 days","Over 120 days"))))</f>
        <v>Over 120 days</v>
      </c>
      <c r="H51" s="0" t="n">
        <f aca="false">VLOOKUP(D51,Rates!$A$4:$B$7,2,FALSE())</f>
        <v>0.115</v>
      </c>
      <c r="I51" s="0" t="n">
        <f aca="false">VLOOKUP(F51,Rates!$D$4:$E$8,2)</f>
        <v>0.85</v>
      </c>
      <c r="J51" s="0" t="n">
        <f aca="false">ROUND(E51*I51,2)</f>
        <v>10984.72</v>
      </c>
      <c r="K51" s="1" t="n">
        <f aca="false">PV(H51/12,F51/30,0,-E51)</f>
        <v>11445.2795122472</v>
      </c>
      <c r="L51" s="0" t="n">
        <f aca="false">ROUND(E51-K51,2)</f>
        <v>1477.92</v>
      </c>
      <c r="M51" s="0" t="n">
        <f aca="false">F51/E51</f>
        <v>0.0295592422929305</v>
      </c>
    </row>
    <row r="52" customFormat="false" ht="12.8" hidden="false" customHeight="false" outlineLevel="0" collapsed="false">
      <c r="A52" s="0" t="s">
        <v>114</v>
      </c>
      <c r="B52" s="0" t="s">
        <v>115</v>
      </c>
      <c r="C52" s="0" t="s">
        <v>19</v>
      </c>
      <c r="D52" s="0" t="s">
        <v>16</v>
      </c>
      <c r="E52" s="0" t="n">
        <v>19973.73</v>
      </c>
      <c r="F52" s="0" t="n">
        <v>386</v>
      </c>
      <c r="G52" s="0" t="str">
        <f aca="false">IF(F52&lt;=30,"Current",IF(F52&lt;=60,"31 to 60 days",IF(F52&lt;=90,"61 to 90 days",IF(F52&lt;=120,"91 to 120 days","Over 120 days"))))</f>
        <v>Over 120 days</v>
      </c>
      <c r="H52" s="0" t="n">
        <f aca="false">VLOOKUP(D52,Rates!$A$4:$B$7,2,FALSE())</f>
        <v>0.085</v>
      </c>
      <c r="I52" s="0" t="n">
        <f aca="false">VLOOKUP(F52,Rates!$D$4:$E$8,2)</f>
        <v>0.85</v>
      </c>
      <c r="J52" s="0" t="n">
        <f aca="false">ROUND(E52*I52,2)</f>
        <v>16977.67</v>
      </c>
      <c r="K52" s="1" t="n">
        <f aca="false">PV(H52/12,F52/30,0,-E52)</f>
        <v>18239.6954671875</v>
      </c>
      <c r="L52" s="0" t="n">
        <f aca="false">ROUND(E52-K52,2)</f>
        <v>1734.03</v>
      </c>
      <c r="M52" s="0" t="n">
        <f aca="false">F52/E52</f>
        <v>0.0193253838917418</v>
      </c>
    </row>
    <row r="53" customFormat="false" ht="12.8" hidden="false" customHeight="false" outlineLevel="0" collapsed="false">
      <c r="A53" s="0" t="s">
        <v>116</v>
      </c>
      <c r="B53" s="0" t="s">
        <v>97</v>
      </c>
      <c r="C53" s="0" t="s">
        <v>42</v>
      </c>
      <c r="D53" s="0" t="s">
        <v>20</v>
      </c>
      <c r="E53" s="0" t="n">
        <v>7660.98</v>
      </c>
      <c r="F53" s="0" t="n">
        <v>234</v>
      </c>
      <c r="G53" s="0" t="str">
        <f aca="false">IF(F53&lt;=30,"Current",IF(F53&lt;=60,"31 to 60 days",IF(F53&lt;=90,"61 to 90 days",IF(F53&lt;=120,"91 to 120 days","Over 120 days"))))</f>
        <v>Over 120 days</v>
      </c>
      <c r="H53" s="0" t="n">
        <f aca="false">VLOOKUP(D53,Rates!$A$4:$B$7,2,FALSE())</f>
        <v>0.05</v>
      </c>
      <c r="I53" s="0" t="n">
        <f aca="false">VLOOKUP(F53,Rates!$D$4:$E$8,2)</f>
        <v>0.85</v>
      </c>
      <c r="J53" s="0" t="n">
        <f aca="false">ROUND(E53*I53,2)</f>
        <v>6511.83</v>
      </c>
      <c r="K53" s="1" t="n">
        <f aca="false">PV(H53/12,F53/30,0,-E53)</f>
        <v>7416.50137920899</v>
      </c>
      <c r="L53" s="0" t="n">
        <f aca="false">ROUND(E53-K53,2)</f>
        <v>244.48</v>
      </c>
      <c r="M53" s="0" t="n">
        <f aca="false">F53/E53</f>
        <v>0.0305443951034985</v>
      </c>
    </row>
    <row r="54" customFormat="false" ht="12.8" hidden="false" customHeight="false" outlineLevel="0" collapsed="false">
      <c r="A54" s="0" t="s">
        <v>117</v>
      </c>
      <c r="B54" s="0" t="s">
        <v>118</v>
      </c>
      <c r="C54" s="0" t="s">
        <v>42</v>
      </c>
      <c r="D54" s="0" t="s">
        <v>16</v>
      </c>
      <c r="E54" s="0" t="n">
        <v>18170.79</v>
      </c>
      <c r="F54" s="0" t="n">
        <v>379</v>
      </c>
      <c r="G54" s="0" t="str">
        <f aca="false">IF(F54&lt;=30,"Current",IF(F54&lt;=60,"31 to 60 days",IF(F54&lt;=90,"61 to 90 days",IF(F54&lt;=120,"91 to 120 days","Over 120 days"))))</f>
        <v>Over 120 days</v>
      </c>
      <c r="H54" s="0" t="n">
        <f aca="false">VLOOKUP(D54,Rates!$A$4:$B$7,2,FALSE())</f>
        <v>0.085</v>
      </c>
      <c r="I54" s="0" t="n">
        <f aca="false">VLOOKUP(F54,Rates!$D$4:$E$8,2)</f>
        <v>0.85</v>
      </c>
      <c r="J54" s="0" t="n">
        <f aca="false">ROUND(E54*I54,2)</f>
        <v>15445.17</v>
      </c>
      <c r="K54" s="1" t="n">
        <f aca="false">PV(H54/12,F54/30,0,-E54)</f>
        <v>16620.6299174896</v>
      </c>
      <c r="L54" s="0" t="n">
        <f aca="false">ROUND(E54-K54,2)</f>
        <v>1550.16</v>
      </c>
      <c r="M54" s="0" t="n">
        <f aca="false">F54/E54</f>
        <v>0.0208576512083404</v>
      </c>
    </row>
    <row r="55" customFormat="false" ht="12.8" hidden="false" customHeight="false" outlineLevel="0" collapsed="false">
      <c r="A55" s="0" t="s">
        <v>119</v>
      </c>
      <c r="B55" s="0" t="s">
        <v>120</v>
      </c>
      <c r="C55" s="0" t="s">
        <v>31</v>
      </c>
      <c r="D55" s="0" t="s">
        <v>23</v>
      </c>
      <c r="E55" s="0" t="n">
        <v>40206.9</v>
      </c>
      <c r="F55" s="0" t="n">
        <v>376</v>
      </c>
      <c r="G55" s="0" t="str">
        <f aca="false">IF(F55&lt;=30,"Current",IF(F55&lt;=60,"31 to 60 days",IF(F55&lt;=90,"61 to 90 days",IF(F55&lt;=120,"91 to 120 days","Over 120 days"))))</f>
        <v>Over 120 days</v>
      </c>
      <c r="H55" s="0" t="n">
        <f aca="false">VLOOKUP(D55,Rates!$A$4:$B$7,2,FALSE())</f>
        <v>0.115</v>
      </c>
      <c r="I55" s="0" t="n">
        <f aca="false">VLOOKUP(F55,Rates!$D$4:$E$8,2)</f>
        <v>0.85</v>
      </c>
      <c r="J55" s="0" t="n">
        <f aca="false">ROUND(E55*I55,2)</f>
        <v>34175.87</v>
      </c>
      <c r="K55" s="1" t="n">
        <f aca="false">PV(H55/12,F55/30,0,-E55)</f>
        <v>35676.7563176149</v>
      </c>
      <c r="L55" s="0" t="n">
        <f aca="false">ROUND(E55-K55,2)</f>
        <v>4530.14</v>
      </c>
      <c r="M55" s="0" t="n">
        <f aca="false">F55/E55</f>
        <v>0.00935162870054642</v>
      </c>
    </row>
    <row r="56" customFormat="false" ht="12.8" hidden="false" customHeight="false" outlineLevel="0" collapsed="false">
      <c r="A56" s="0" t="s">
        <v>121</v>
      </c>
      <c r="B56" s="0" t="s">
        <v>122</v>
      </c>
      <c r="C56" s="0" t="s">
        <v>26</v>
      </c>
      <c r="D56" s="0" t="s">
        <v>49</v>
      </c>
      <c r="E56" s="0" t="n">
        <v>530.41</v>
      </c>
      <c r="F56" s="0" t="n">
        <v>234</v>
      </c>
      <c r="G56" s="0" t="str">
        <f aca="false">IF(F56&lt;=30,"Current",IF(F56&lt;=60,"31 to 60 days",IF(F56&lt;=90,"61 to 90 days",IF(F56&lt;=120,"91 to 120 days","Over 120 days"))))</f>
        <v>Over 120 days</v>
      </c>
      <c r="H56" s="0" t="n">
        <f aca="false">VLOOKUP(D56,Rates!$A$4:$B$7,2,FALSE())</f>
        <v>0.02</v>
      </c>
      <c r="I56" s="0" t="n">
        <f aca="false">VLOOKUP(F56,Rates!$D$4:$E$8,2)</f>
        <v>0.85</v>
      </c>
      <c r="J56" s="0" t="n">
        <f aca="false">ROUND(E56*I56,2)</f>
        <v>450.85</v>
      </c>
      <c r="K56" s="1" t="n">
        <f aca="false">PV(H56/12,F56/30,0,-E56)</f>
        <v>523.564961684904</v>
      </c>
      <c r="L56" s="0" t="n">
        <f aca="false">ROUND(E56-K56,2)</f>
        <v>6.85</v>
      </c>
      <c r="M56" s="0" t="n">
        <f aca="false">F56/E56</f>
        <v>0.441168152938293</v>
      </c>
    </row>
    <row r="57" customFormat="false" ht="12.8" hidden="false" customHeight="false" outlineLevel="0" collapsed="false">
      <c r="A57" s="0" t="s">
        <v>123</v>
      </c>
      <c r="B57" s="0" t="s">
        <v>30</v>
      </c>
      <c r="C57" s="0" t="s">
        <v>31</v>
      </c>
      <c r="D57" s="0" t="s">
        <v>20</v>
      </c>
      <c r="E57" s="0" t="n">
        <v>32771.94</v>
      </c>
      <c r="F57" s="0" t="n">
        <v>284</v>
      </c>
      <c r="G57" s="0" t="str">
        <f aca="false">IF(F57&lt;=30,"Current",IF(F57&lt;=60,"31 to 60 days",IF(F57&lt;=90,"61 to 90 days",IF(F57&lt;=120,"91 to 120 days","Over 120 days"))))</f>
        <v>Over 120 days</v>
      </c>
      <c r="H57" s="0" t="n">
        <f aca="false">VLOOKUP(D57,Rates!$A$4:$B$7,2,FALSE())</f>
        <v>0.05</v>
      </c>
      <c r="I57" s="0" t="n">
        <f aca="false">VLOOKUP(F57,Rates!$D$4:$E$8,2)</f>
        <v>0.85</v>
      </c>
      <c r="J57" s="0" t="n">
        <f aca="false">ROUND(E57*I57,2)</f>
        <v>27856.15</v>
      </c>
      <c r="K57" s="1" t="n">
        <f aca="false">PV(H57/12,F57/30,0,-E57)</f>
        <v>31507.0132961638</v>
      </c>
      <c r="L57" s="0" t="n">
        <f aca="false">ROUND(E57-K57,2)</f>
        <v>1264.93</v>
      </c>
      <c r="M57" s="0" t="n">
        <f aca="false">F57/E57</f>
        <v>0.0086659502000797</v>
      </c>
    </row>
    <row r="58" customFormat="false" ht="12.8" hidden="false" customHeight="false" outlineLevel="0" collapsed="false">
      <c r="A58" s="0" t="s">
        <v>124</v>
      </c>
      <c r="B58" s="0" t="s">
        <v>125</v>
      </c>
      <c r="C58" s="0" t="s">
        <v>42</v>
      </c>
      <c r="D58" s="0" t="s">
        <v>16</v>
      </c>
      <c r="E58" s="0" t="n">
        <v>16831.59</v>
      </c>
      <c r="F58" s="0" t="n">
        <v>339</v>
      </c>
      <c r="G58" s="0" t="str">
        <f aca="false">IF(F58&lt;=30,"Current",IF(F58&lt;=60,"31 to 60 days",IF(F58&lt;=90,"61 to 90 days",IF(F58&lt;=120,"91 to 120 days","Over 120 days"))))</f>
        <v>Over 120 days</v>
      </c>
      <c r="H58" s="0" t="n">
        <f aca="false">VLOOKUP(D58,Rates!$A$4:$B$7,2,FALSE())</f>
        <v>0.085</v>
      </c>
      <c r="I58" s="0" t="n">
        <f aca="false">VLOOKUP(F58,Rates!$D$4:$E$8,2)</f>
        <v>0.85</v>
      </c>
      <c r="J58" s="0" t="n">
        <f aca="false">ROUND(E58*I58,2)</f>
        <v>14306.85</v>
      </c>
      <c r="K58" s="1" t="n">
        <f aca="false">PV(H58/12,F58/30,0,-E58)</f>
        <v>15541.2528169522</v>
      </c>
      <c r="L58" s="0" t="n">
        <f aca="false">ROUND(E58-K58,2)</f>
        <v>1290.34</v>
      </c>
      <c r="M58" s="0" t="n">
        <f aca="false">F58/E58</f>
        <v>0.0201406997199908</v>
      </c>
    </row>
    <row r="59" customFormat="false" ht="12.8" hidden="false" customHeight="false" outlineLevel="0" collapsed="false">
      <c r="A59" s="0" t="s">
        <v>126</v>
      </c>
      <c r="B59" s="0" t="s">
        <v>127</v>
      </c>
      <c r="C59" s="0" t="s">
        <v>26</v>
      </c>
      <c r="D59" s="0" t="s">
        <v>49</v>
      </c>
      <c r="E59" s="0" t="n">
        <v>39008.51</v>
      </c>
      <c r="F59" s="0" t="n">
        <v>310</v>
      </c>
      <c r="G59" s="0" t="str">
        <f aca="false">IF(F59&lt;=30,"Current",IF(F59&lt;=60,"31 to 60 days",IF(F59&lt;=90,"61 to 90 days",IF(F59&lt;=120,"91 to 120 days","Over 120 days"))))</f>
        <v>Over 120 days</v>
      </c>
      <c r="H59" s="0" t="n">
        <f aca="false">VLOOKUP(D59,Rates!$A$4:$B$7,2,FALSE())</f>
        <v>0.02</v>
      </c>
      <c r="I59" s="0" t="n">
        <f aca="false">VLOOKUP(F59,Rates!$D$4:$E$8,2)</f>
        <v>0.85</v>
      </c>
      <c r="J59" s="0" t="n">
        <f aca="false">ROUND(E59*I59,2)</f>
        <v>33157.23</v>
      </c>
      <c r="K59" s="1" t="n">
        <f aca="false">PV(H59/12,F59/30,0,-E59)</f>
        <v>38342.9984409707</v>
      </c>
      <c r="L59" s="0" t="n">
        <f aca="false">ROUND(E59-K59,2)</f>
        <v>665.51</v>
      </c>
      <c r="M59" s="0" t="n">
        <f aca="false">F59/E59</f>
        <v>0.00794698387608242</v>
      </c>
    </row>
    <row r="60" customFormat="false" ht="12.8" hidden="false" customHeight="false" outlineLevel="0" collapsed="false">
      <c r="A60" s="0" t="s">
        <v>128</v>
      </c>
      <c r="B60" s="0" t="s">
        <v>129</v>
      </c>
      <c r="C60" s="0" t="s">
        <v>36</v>
      </c>
      <c r="D60" s="0" t="s">
        <v>49</v>
      </c>
      <c r="E60" s="0" t="n">
        <v>40417.27</v>
      </c>
      <c r="F60" s="0" t="n">
        <v>392</v>
      </c>
      <c r="G60" s="0" t="str">
        <f aca="false">IF(F60&lt;=30,"Current",IF(F60&lt;=60,"31 to 60 days",IF(F60&lt;=90,"61 to 90 days",IF(F60&lt;=120,"91 to 120 days","Over 120 days"))))</f>
        <v>Over 120 days</v>
      </c>
      <c r="H60" s="0" t="n">
        <f aca="false">VLOOKUP(D60,Rates!$A$4:$B$7,2,FALSE())</f>
        <v>0.02</v>
      </c>
      <c r="I60" s="0" t="n">
        <f aca="false">VLOOKUP(F60,Rates!$D$4:$E$8,2)</f>
        <v>0.85</v>
      </c>
      <c r="J60" s="0" t="n">
        <f aca="false">ROUND(E60*I60,2)</f>
        <v>34354.68</v>
      </c>
      <c r="K60" s="1" t="n">
        <f aca="false">PV(H60/12,F60/30,0,-E60)</f>
        <v>39547.3037663238</v>
      </c>
      <c r="L60" s="0" t="n">
        <f aca="false">ROUND(E60-K60,2)</f>
        <v>869.97</v>
      </c>
      <c r="M60" s="0" t="n">
        <f aca="false">F60/E60</f>
        <v>0.00969882428971576</v>
      </c>
    </row>
    <row r="61" customFormat="false" ht="12.8" hidden="false" customHeight="false" outlineLevel="0" collapsed="false">
      <c r="A61" s="0" t="s">
        <v>130</v>
      </c>
      <c r="B61" s="0" t="s">
        <v>131</v>
      </c>
      <c r="C61" s="0" t="s">
        <v>15</v>
      </c>
      <c r="D61" s="0" t="s">
        <v>16</v>
      </c>
      <c r="E61" s="0" t="n">
        <v>11187.17</v>
      </c>
      <c r="F61" s="0" t="n">
        <v>141</v>
      </c>
      <c r="G61" s="0" t="str">
        <f aca="false">IF(F61&lt;=30,"Current",IF(F61&lt;=60,"31 to 60 days",IF(F61&lt;=90,"61 to 90 days",IF(F61&lt;=120,"91 to 120 days","Over 120 days"))))</f>
        <v>Over 120 days</v>
      </c>
      <c r="H61" s="0" t="n">
        <f aca="false">VLOOKUP(D61,Rates!$A$4:$B$7,2,FALSE())</f>
        <v>0.085</v>
      </c>
      <c r="I61" s="0" t="n">
        <f aca="false">VLOOKUP(F61,Rates!$D$4:$E$8,2)</f>
        <v>0.85</v>
      </c>
      <c r="J61" s="0" t="n">
        <f aca="false">ROUND(E61*I61,2)</f>
        <v>9509.09</v>
      </c>
      <c r="K61" s="1" t="n">
        <f aca="false">PV(H61/12,F61/30,0,-E61)</f>
        <v>10822.1317501208</v>
      </c>
      <c r="L61" s="0" t="n">
        <f aca="false">ROUND(E61-K61,2)</f>
        <v>365.04</v>
      </c>
      <c r="M61" s="0" t="n">
        <f aca="false">F61/E61</f>
        <v>0.0126037237299514</v>
      </c>
    </row>
    <row r="62" customFormat="false" ht="12.8" hidden="false" customHeight="false" outlineLevel="0" collapsed="false">
      <c r="A62" s="0" t="s">
        <v>132</v>
      </c>
      <c r="B62" s="0" t="s">
        <v>33</v>
      </c>
      <c r="C62" s="0" t="s">
        <v>26</v>
      </c>
      <c r="D62" s="0" t="s">
        <v>20</v>
      </c>
      <c r="E62" s="0" t="n">
        <v>34595.84</v>
      </c>
      <c r="F62" s="0" t="n">
        <v>266</v>
      </c>
      <c r="G62" s="0" t="str">
        <f aca="false">IF(F62&lt;=30,"Current",IF(F62&lt;=60,"31 to 60 days",IF(F62&lt;=90,"61 to 90 days",IF(F62&lt;=120,"91 to 120 days","Over 120 days"))))</f>
        <v>Over 120 days</v>
      </c>
      <c r="H62" s="0" t="n">
        <f aca="false">VLOOKUP(D62,Rates!$A$4:$B$7,2,FALSE())</f>
        <v>0.05</v>
      </c>
      <c r="I62" s="0" t="n">
        <f aca="false">VLOOKUP(F62,Rates!$D$4:$E$8,2)</f>
        <v>0.85</v>
      </c>
      <c r="J62" s="0" t="n">
        <f aca="false">ROUND(E62*I62,2)</f>
        <v>29406.46</v>
      </c>
      <c r="K62" s="1" t="n">
        <f aca="false">PV(H62/12,F62/30,0,-E62)</f>
        <v>33343.5967903091</v>
      </c>
      <c r="L62" s="0" t="n">
        <f aca="false">ROUND(E62-K62,2)</f>
        <v>1252.24</v>
      </c>
      <c r="M62" s="0" t="n">
        <f aca="false">F62/E62</f>
        <v>0.00768878570371467</v>
      </c>
    </row>
    <row r="63" customFormat="false" ht="12.8" hidden="false" customHeight="false" outlineLevel="0" collapsed="false">
      <c r="A63" s="0" t="s">
        <v>133</v>
      </c>
      <c r="B63" s="0" t="s">
        <v>18</v>
      </c>
      <c r="C63" s="0" t="s">
        <v>19</v>
      </c>
      <c r="D63" s="0" t="s">
        <v>20</v>
      </c>
      <c r="E63" s="0" t="n">
        <v>19161.8</v>
      </c>
      <c r="F63" s="0" t="n">
        <v>388</v>
      </c>
      <c r="G63" s="0" t="str">
        <f aca="false">IF(F63&lt;=30,"Current",IF(F63&lt;=60,"31 to 60 days",IF(F63&lt;=90,"61 to 90 days",IF(F63&lt;=120,"91 to 120 days","Over 120 days"))))</f>
        <v>Over 120 days</v>
      </c>
      <c r="H63" s="0" t="n">
        <f aca="false">VLOOKUP(D63,Rates!$A$4:$B$7,2,FALSE())</f>
        <v>0.05</v>
      </c>
      <c r="I63" s="0" t="n">
        <f aca="false">VLOOKUP(F63,Rates!$D$4:$E$8,2)</f>
        <v>0.85</v>
      </c>
      <c r="J63" s="0" t="n">
        <f aca="false">ROUND(E63*I63,2)</f>
        <v>16287.53</v>
      </c>
      <c r="K63" s="1" t="n">
        <f aca="false">PV(H63/12,F63/30,0,-E63)</f>
        <v>18158.5546926052</v>
      </c>
      <c r="L63" s="0" t="n">
        <f aca="false">ROUND(E63-K63,2)</f>
        <v>1003.25</v>
      </c>
      <c r="M63" s="0" t="n">
        <f aca="false">F63/E63</f>
        <v>0.020248619649511</v>
      </c>
    </row>
    <row r="64" customFormat="false" ht="12.8" hidden="false" customHeight="false" outlineLevel="0" collapsed="false">
      <c r="A64" s="0" t="s">
        <v>134</v>
      </c>
      <c r="B64" s="0" t="s">
        <v>22</v>
      </c>
      <c r="C64" s="0" t="s">
        <v>15</v>
      </c>
      <c r="D64" s="0" t="s">
        <v>23</v>
      </c>
      <c r="E64" s="0" t="n">
        <v>21791.78</v>
      </c>
      <c r="F64" s="0" t="n">
        <v>155</v>
      </c>
      <c r="G64" s="0" t="str">
        <f aca="false">IF(F64&lt;=30,"Current",IF(F64&lt;=60,"31 to 60 days",IF(F64&lt;=90,"61 to 90 days",IF(F64&lt;=120,"91 to 120 days","Over 120 days"))))</f>
        <v>Over 120 days</v>
      </c>
      <c r="H64" s="0" t="n">
        <f aca="false">VLOOKUP(D64,Rates!$A$4:$B$7,2,FALSE())</f>
        <v>0.115</v>
      </c>
      <c r="I64" s="0" t="n">
        <f aca="false">VLOOKUP(F64,Rates!$D$4:$E$8,2)</f>
        <v>0.85</v>
      </c>
      <c r="J64" s="0" t="n">
        <f aca="false">ROUND(E64*I64,2)</f>
        <v>18523.01</v>
      </c>
      <c r="K64" s="1" t="n">
        <f aca="false">PV(H64/12,F64/30,0,-E64)</f>
        <v>20743.951177312</v>
      </c>
      <c r="L64" s="0" t="n">
        <f aca="false">ROUND(E64-K64,2)</f>
        <v>1047.83</v>
      </c>
      <c r="M64" s="0" t="n">
        <f aca="false">F64/E64</f>
        <v>0.00711277371559368</v>
      </c>
    </row>
    <row r="65" customFormat="false" ht="12.8" hidden="false" customHeight="false" outlineLevel="0" collapsed="false">
      <c r="A65" s="0" t="s">
        <v>135</v>
      </c>
      <c r="B65" s="0" t="s">
        <v>97</v>
      </c>
      <c r="C65" s="0" t="s">
        <v>42</v>
      </c>
      <c r="D65" s="0" t="s">
        <v>20</v>
      </c>
      <c r="E65" s="0" t="n">
        <v>16298.28</v>
      </c>
      <c r="F65" s="0" t="n">
        <v>96</v>
      </c>
      <c r="G65" s="0" t="str">
        <f aca="false">IF(F65&lt;=30,"Current",IF(F65&lt;=60,"31 to 60 days",IF(F65&lt;=90,"61 to 90 days",IF(F65&lt;=120,"91 to 120 days","Over 120 days"))))</f>
        <v>91 to 120 days</v>
      </c>
      <c r="H65" s="0" t="n">
        <f aca="false">VLOOKUP(D65,Rates!$A$4:$B$7,2,FALSE())</f>
        <v>0.05</v>
      </c>
      <c r="I65" s="0" t="n">
        <f aca="false">VLOOKUP(F65,Rates!$D$4:$E$8,2)</f>
        <v>0.5</v>
      </c>
      <c r="J65" s="0" t="n">
        <f aca="false">ROUND(E65*I65,2)</f>
        <v>8149.14</v>
      </c>
      <c r="K65" s="1" t="n">
        <f aca="false">PV(H65/12,F65/30,0,-E65)</f>
        <v>16082.8574213519</v>
      </c>
      <c r="L65" s="0" t="n">
        <f aca="false">ROUND(E65-K65,2)</f>
        <v>215.42</v>
      </c>
      <c r="M65" s="0" t="n">
        <f aca="false">F65/E65</f>
        <v>0.00589019209388966</v>
      </c>
    </row>
    <row r="66" customFormat="false" ht="12.8" hidden="false" customHeight="false" outlineLevel="0" collapsed="false">
      <c r="A66" s="0" t="s">
        <v>136</v>
      </c>
      <c r="B66" s="0" t="s">
        <v>28</v>
      </c>
      <c r="C66" s="0" t="s">
        <v>15</v>
      </c>
      <c r="D66" s="0" t="s">
        <v>20</v>
      </c>
      <c r="E66" s="0" t="n">
        <v>32323.42</v>
      </c>
      <c r="F66" s="0" t="n">
        <v>13</v>
      </c>
      <c r="G66" s="0" t="str">
        <f aca="false">IF(F66&lt;=30,"Current",IF(F66&lt;=60,"31 to 60 days",IF(F66&lt;=90,"61 to 90 days",IF(F66&lt;=120,"91 to 120 days","Over 120 days"))))</f>
        <v>Current</v>
      </c>
      <c r="H66" s="0" t="n">
        <f aca="false">VLOOKUP(D66,Rates!$A$4:$B$7,2,FALSE())</f>
        <v>0.05</v>
      </c>
      <c r="I66" s="0" t="n">
        <f aca="false">VLOOKUP(F66,Rates!$D$4:$E$8,2)</f>
        <v>0.02</v>
      </c>
      <c r="J66" s="0" t="n">
        <f aca="false">ROUND(E66*I66,2)</f>
        <v>646.47</v>
      </c>
      <c r="K66" s="1" t="n">
        <f aca="false">PV(H66/12,F66/30,0,-E66)</f>
        <v>32265.2319571716</v>
      </c>
      <c r="L66" s="0" t="n">
        <f aca="false">ROUND(E66-K66,2)</f>
        <v>58.19</v>
      </c>
      <c r="M66" s="0" t="n">
        <f aca="false">F66/E66</f>
        <v>0.000402185164812387</v>
      </c>
    </row>
    <row r="67" customFormat="false" ht="12.8" hidden="false" customHeight="false" outlineLevel="0" collapsed="false">
      <c r="A67" s="0" t="s">
        <v>137</v>
      </c>
      <c r="B67" s="0" t="s">
        <v>138</v>
      </c>
      <c r="C67" s="0" t="s">
        <v>15</v>
      </c>
      <c r="D67" s="0" t="s">
        <v>23</v>
      </c>
      <c r="E67" s="0" t="n">
        <v>7552.42</v>
      </c>
      <c r="F67" s="0" t="n">
        <v>353</v>
      </c>
      <c r="G67" s="0" t="str">
        <f aca="false">IF(F67&lt;=30,"Current",IF(F67&lt;=60,"31 to 60 days",IF(F67&lt;=90,"61 to 90 days",IF(F67&lt;=120,"91 to 120 days","Over 120 days"))))</f>
        <v>Over 120 days</v>
      </c>
      <c r="H67" s="0" t="n">
        <f aca="false">VLOOKUP(D67,Rates!$A$4:$B$7,2,FALSE())</f>
        <v>0.115</v>
      </c>
      <c r="I67" s="0" t="n">
        <f aca="false">VLOOKUP(F67,Rates!$D$4:$E$8,2)</f>
        <v>0.85</v>
      </c>
      <c r="J67" s="0" t="n">
        <f aca="false">ROUND(E67*I67,2)</f>
        <v>6419.56</v>
      </c>
      <c r="K67" s="1" t="n">
        <f aca="false">PV(H67/12,F67/30,0,-E67)</f>
        <v>6750.66522794394</v>
      </c>
      <c r="L67" s="0" t="n">
        <f aca="false">ROUND(E67-K67,2)</f>
        <v>801.75</v>
      </c>
      <c r="M67" s="0" t="n">
        <f aca="false">F67/E67</f>
        <v>0.0467399853292057</v>
      </c>
    </row>
    <row r="68" customFormat="false" ht="12.8" hidden="false" customHeight="false" outlineLevel="0" collapsed="false">
      <c r="A68" s="0" t="s">
        <v>139</v>
      </c>
      <c r="B68" s="0" t="s">
        <v>140</v>
      </c>
      <c r="C68" s="0" t="s">
        <v>15</v>
      </c>
      <c r="D68" s="0" t="s">
        <v>16</v>
      </c>
      <c r="E68" s="0" t="n">
        <v>3680.84</v>
      </c>
      <c r="F68" s="0" t="n">
        <v>122</v>
      </c>
      <c r="G68" s="0" t="str">
        <f aca="false">IF(F68&lt;=30,"Current",IF(F68&lt;=60,"31 to 60 days",IF(F68&lt;=90,"61 to 90 days",IF(F68&lt;=120,"91 to 120 days","Over 120 days"))))</f>
        <v>Over 120 days</v>
      </c>
      <c r="H68" s="0" t="n">
        <f aca="false">VLOOKUP(D68,Rates!$A$4:$B$7,2,FALSE())</f>
        <v>0.085</v>
      </c>
      <c r="I68" s="0" t="n">
        <f aca="false">VLOOKUP(F68,Rates!$D$4:$E$8,2)</f>
        <v>0.85</v>
      </c>
      <c r="J68" s="0" t="n">
        <f aca="false">ROUND(E68*I68,2)</f>
        <v>3128.71</v>
      </c>
      <c r="K68" s="1" t="n">
        <f aca="false">PV(H68/12,F68/30,0,-E68)</f>
        <v>3576.68706779574</v>
      </c>
      <c r="L68" s="0" t="n">
        <f aca="false">ROUND(E68-K68,2)</f>
        <v>104.15</v>
      </c>
      <c r="M68" s="0" t="n">
        <f aca="false">F68/E68</f>
        <v>0.0331446082959325</v>
      </c>
    </row>
    <row r="69" customFormat="false" ht="12.8" hidden="false" customHeight="false" outlineLevel="0" collapsed="false">
      <c r="A69" s="0" t="s">
        <v>141</v>
      </c>
      <c r="B69" s="0" t="s">
        <v>142</v>
      </c>
      <c r="C69" s="0" t="s">
        <v>36</v>
      </c>
      <c r="D69" s="0" t="s">
        <v>49</v>
      </c>
      <c r="E69" s="0" t="n">
        <v>4134.92</v>
      </c>
      <c r="F69" s="0" t="n">
        <v>254</v>
      </c>
      <c r="G69" s="0" t="str">
        <f aca="false">IF(F69&lt;=30,"Current",IF(F69&lt;=60,"31 to 60 days",IF(F69&lt;=90,"61 to 90 days",IF(F69&lt;=120,"91 to 120 days","Over 120 days"))))</f>
        <v>Over 120 days</v>
      </c>
      <c r="H69" s="0" t="n">
        <f aca="false">VLOOKUP(D69,Rates!$A$4:$B$7,2,FALSE())</f>
        <v>0.02</v>
      </c>
      <c r="I69" s="0" t="n">
        <f aca="false">VLOOKUP(F69,Rates!$D$4:$E$8,2)</f>
        <v>0.85</v>
      </c>
      <c r="J69" s="0" t="n">
        <f aca="false">ROUND(E69*I69,2)</f>
        <v>3514.68</v>
      </c>
      <c r="K69" s="1" t="n">
        <f aca="false">PV(H69/12,F69/30,0,-E69)</f>
        <v>4077.02932397897</v>
      </c>
      <c r="L69" s="0" t="n">
        <f aca="false">ROUND(E69-K69,2)</f>
        <v>57.89</v>
      </c>
      <c r="M69" s="0" t="n">
        <f aca="false">F69/E69</f>
        <v>0.061428032464957</v>
      </c>
    </row>
    <row r="70" customFormat="false" ht="12.8" hidden="false" customHeight="false" outlineLevel="0" collapsed="false">
      <c r="A70" s="0" t="s">
        <v>143</v>
      </c>
      <c r="B70" s="0" t="s">
        <v>33</v>
      </c>
      <c r="C70" s="0" t="s">
        <v>26</v>
      </c>
      <c r="D70" s="0" t="s">
        <v>20</v>
      </c>
      <c r="E70" s="0" t="n">
        <v>3336.52</v>
      </c>
      <c r="F70" s="0" t="n">
        <v>90</v>
      </c>
      <c r="G70" s="0" t="str">
        <f aca="false">IF(F70&lt;=30,"Current",IF(F70&lt;=60,"31 to 60 days",IF(F70&lt;=90,"61 to 90 days",IF(F70&lt;=120,"91 to 120 days","Over 120 days"))))</f>
        <v>61 to 90 days</v>
      </c>
      <c r="H70" s="0" t="n">
        <f aca="false">VLOOKUP(D70,Rates!$A$4:$B$7,2,FALSE())</f>
        <v>0.05</v>
      </c>
      <c r="I70" s="0" t="n">
        <f aca="false">VLOOKUP(F70,Rates!$D$4:$E$8,2)</f>
        <v>0.25</v>
      </c>
      <c r="J70" s="0" t="n">
        <f aca="false">ROUND(E70*I70,2)</f>
        <v>834.13</v>
      </c>
      <c r="K70" s="1" t="n">
        <f aca="false">PV(H70/12,F70/30,0,-E70)</f>
        <v>3295.15865559337</v>
      </c>
      <c r="L70" s="0" t="n">
        <f aca="false">ROUND(E70-K70,2)</f>
        <v>41.36</v>
      </c>
      <c r="M70" s="0" t="n">
        <f aca="false">F70/E70</f>
        <v>0.026974212652704</v>
      </c>
    </row>
    <row r="71" customFormat="false" ht="12.8" hidden="false" customHeight="false" outlineLevel="0" collapsed="false">
      <c r="A71" s="0" t="s">
        <v>144</v>
      </c>
      <c r="B71" s="0" t="s">
        <v>145</v>
      </c>
      <c r="C71" s="0" t="s">
        <v>15</v>
      </c>
      <c r="D71" s="0" t="s">
        <v>16</v>
      </c>
      <c r="E71" s="0" t="n">
        <v>594.16</v>
      </c>
      <c r="F71" s="0" t="n">
        <v>47</v>
      </c>
      <c r="G71" s="0" t="str">
        <f aca="false">IF(F71&lt;=30,"Current",IF(F71&lt;=60,"31 to 60 days",IF(F71&lt;=90,"61 to 90 days",IF(F71&lt;=120,"91 to 120 days","Over 120 days"))))</f>
        <v>31 to 60 days</v>
      </c>
      <c r="H71" s="0" t="n">
        <f aca="false">VLOOKUP(D71,Rates!$A$4:$B$7,2,FALSE())</f>
        <v>0.085</v>
      </c>
      <c r="I71" s="0" t="n">
        <f aca="false">VLOOKUP(F71,Rates!$D$4:$E$8,2)</f>
        <v>0.1</v>
      </c>
      <c r="J71" s="0" t="n">
        <f aca="false">ROUND(E71*I71,2)</f>
        <v>59.42</v>
      </c>
      <c r="K71" s="1" t="n">
        <f aca="false">PV(H71/12,F71/30,0,-E71)</f>
        <v>587.625910726071</v>
      </c>
      <c r="L71" s="0" t="n">
        <f aca="false">ROUND(E71-K71,2)</f>
        <v>6.53</v>
      </c>
      <c r="M71" s="0" t="n">
        <f aca="false">F71/E71</f>
        <v>0.0791032718459674</v>
      </c>
    </row>
    <row r="72" customFormat="false" ht="12.8" hidden="false" customHeight="false" outlineLevel="0" collapsed="false">
      <c r="A72" s="0" t="s">
        <v>146</v>
      </c>
      <c r="B72" s="0" t="s">
        <v>18</v>
      </c>
      <c r="C72" s="0" t="s">
        <v>19</v>
      </c>
      <c r="D72" s="0" t="s">
        <v>20</v>
      </c>
      <c r="E72" s="0" t="n">
        <v>3511.27</v>
      </c>
      <c r="F72" s="0" t="n">
        <v>359</v>
      </c>
      <c r="G72" s="0" t="str">
        <f aca="false">IF(F72&lt;=30,"Current",IF(F72&lt;=60,"31 to 60 days",IF(F72&lt;=90,"61 to 90 days",IF(F72&lt;=120,"91 to 120 days","Over 120 days"))))</f>
        <v>Over 120 days</v>
      </c>
      <c r="H72" s="0" t="n">
        <f aca="false">VLOOKUP(D72,Rates!$A$4:$B$7,2,FALSE())</f>
        <v>0.05</v>
      </c>
      <c r="I72" s="0" t="n">
        <f aca="false">VLOOKUP(F72,Rates!$D$4:$E$8,2)</f>
        <v>0.85</v>
      </c>
      <c r="J72" s="0" t="n">
        <f aca="false">ROUND(E72*I72,2)</f>
        <v>2984.58</v>
      </c>
      <c r="K72" s="1" t="n">
        <f aca="false">PV(H72/12,F72/30,0,-E72)</f>
        <v>3340.83332359554</v>
      </c>
      <c r="L72" s="0" t="n">
        <f aca="false">ROUND(E72-K72,2)</f>
        <v>170.44</v>
      </c>
      <c r="M72" s="0" t="n">
        <f aca="false">F72/E72</f>
        <v>0.102242208659545</v>
      </c>
    </row>
    <row r="73" customFormat="false" ht="12.8" hidden="false" customHeight="false" outlineLevel="0" collapsed="false">
      <c r="A73" s="0" t="s">
        <v>147</v>
      </c>
      <c r="B73" s="0" t="s">
        <v>148</v>
      </c>
      <c r="C73" s="0" t="s">
        <v>31</v>
      </c>
      <c r="D73" s="0" t="s">
        <v>23</v>
      </c>
      <c r="E73" s="0" t="n">
        <v>4963.86</v>
      </c>
      <c r="F73" s="0" t="n">
        <v>147</v>
      </c>
      <c r="G73" s="0" t="str">
        <f aca="false">IF(F73&lt;=30,"Current",IF(F73&lt;=60,"31 to 60 days",IF(F73&lt;=90,"61 to 90 days",IF(F73&lt;=120,"91 to 120 days","Over 120 days"))))</f>
        <v>Over 120 days</v>
      </c>
      <c r="H73" s="0" t="n">
        <f aca="false">VLOOKUP(D73,Rates!$A$4:$B$7,2,FALSE())</f>
        <v>0.115</v>
      </c>
      <c r="I73" s="0" t="n">
        <f aca="false">VLOOKUP(F73,Rates!$D$4:$E$8,2)</f>
        <v>0.85</v>
      </c>
      <c r="J73" s="0" t="n">
        <f aca="false">ROUND(E73*I73,2)</f>
        <v>4219.28</v>
      </c>
      <c r="K73" s="1" t="n">
        <f aca="false">PV(H73/12,F73/30,0,-E73)</f>
        <v>4737.21263916492</v>
      </c>
      <c r="L73" s="0" t="n">
        <f aca="false">ROUND(E73-K73,2)</f>
        <v>226.65</v>
      </c>
      <c r="M73" s="0" t="n">
        <f aca="false">F73/E73</f>
        <v>0.029614050355973</v>
      </c>
    </row>
    <row r="74" customFormat="false" ht="12.8" hidden="false" customHeight="false" outlineLevel="0" collapsed="false">
      <c r="A74" s="0" t="s">
        <v>149</v>
      </c>
      <c r="B74" s="0" t="s">
        <v>150</v>
      </c>
      <c r="C74" s="0" t="s">
        <v>31</v>
      </c>
      <c r="D74" s="0" t="s">
        <v>23</v>
      </c>
      <c r="E74" s="0" t="n">
        <v>37239.89</v>
      </c>
      <c r="F74" s="0" t="n">
        <v>313</v>
      </c>
      <c r="G74" s="0" t="str">
        <f aca="false">IF(F74&lt;=30,"Current",IF(F74&lt;=60,"31 to 60 days",IF(F74&lt;=90,"61 to 90 days",IF(F74&lt;=120,"91 to 120 days","Over 120 days"))))</f>
        <v>Over 120 days</v>
      </c>
      <c r="H74" s="0" t="n">
        <f aca="false">VLOOKUP(D74,Rates!$A$4:$B$7,2,FALSE())</f>
        <v>0.115</v>
      </c>
      <c r="I74" s="0" t="n">
        <f aca="false">VLOOKUP(F74,Rates!$D$4:$E$8,2)</f>
        <v>0.85</v>
      </c>
      <c r="J74" s="0" t="n">
        <f aca="false">ROUND(E74*I74,2)</f>
        <v>31653.91</v>
      </c>
      <c r="K74" s="1" t="n">
        <f aca="false">PV(H74/12,F74/30,0,-E74)</f>
        <v>33712.5593355958</v>
      </c>
      <c r="L74" s="0" t="n">
        <f aca="false">ROUND(E74-K74,2)</f>
        <v>3527.33</v>
      </c>
      <c r="M74" s="0" t="n">
        <f aca="false">F74/E74</f>
        <v>0.00840496575043589</v>
      </c>
    </row>
    <row r="75" customFormat="false" ht="12.8" hidden="false" customHeight="false" outlineLevel="0" collapsed="false">
      <c r="A75" s="0" t="s">
        <v>151</v>
      </c>
      <c r="B75" s="0" t="s">
        <v>35</v>
      </c>
      <c r="C75" s="0" t="s">
        <v>36</v>
      </c>
      <c r="D75" s="0" t="s">
        <v>23</v>
      </c>
      <c r="E75" s="0" t="n">
        <v>492.62</v>
      </c>
      <c r="F75" s="0" t="n">
        <v>225</v>
      </c>
      <c r="G75" s="0" t="str">
        <f aca="false">IF(F75&lt;=30,"Current",IF(F75&lt;=60,"31 to 60 days",IF(F75&lt;=90,"61 to 90 days",IF(F75&lt;=120,"91 to 120 days","Over 120 days"))))</f>
        <v>Over 120 days</v>
      </c>
      <c r="H75" s="0" t="n">
        <f aca="false">VLOOKUP(D75,Rates!$A$4:$B$7,2,FALSE())</f>
        <v>0.115</v>
      </c>
      <c r="I75" s="0" t="n">
        <f aca="false">VLOOKUP(F75,Rates!$D$4:$E$8,2)</f>
        <v>0.85</v>
      </c>
      <c r="J75" s="0" t="n">
        <f aca="false">ROUND(E75*I75,2)</f>
        <v>418.73</v>
      </c>
      <c r="K75" s="1" t="n">
        <f aca="false">PV(H75/12,F75/30,0,-E75)</f>
        <v>458.612351056775</v>
      </c>
      <c r="L75" s="0" t="n">
        <f aca="false">ROUND(E75-K75,2)</f>
        <v>34.01</v>
      </c>
      <c r="M75" s="0" t="n">
        <f aca="false">F75/E75</f>
        <v>0.456741504608014</v>
      </c>
    </row>
    <row r="76" customFormat="false" ht="12.8" hidden="false" customHeight="false" outlineLevel="0" collapsed="false">
      <c r="A76" s="0" t="s">
        <v>152</v>
      </c>
      <c r="B76" s="0" t="s">
        <v>153</v>
      </c>
      <c r="C76" s="0" t="s">
        <v>42</v>
      </c>
      <c r="D76" s="0" t="s">
        <v>49</v>
      </c>
      <c r="E76" s="0" t="n">
        <v>18001.79</v>
      </c>
      <c r="F76" s="0" t="n">
        <v>376</v>
      </c>
      <c r="G76" s="0" t="str">
        <f aca="false">IF(F76&lt;=30,"Current",IF(F76&lt;=60,"31 to 60 days",IF(F76&lt;=90,"61 to 90 days",IF(F76&lt;=120,"91 to 120 days","Over 120 days"))))</f>
        <v>Over 120 days</v>
      </c>
      <c r="H76" s="0" t="n">
        <f aca="false">VLOOKUP(D76,Rates!$A$4:$B$7,2,FALSE())</f>
        <v>0.02</v>
      </c>
      <c r="I76" s="0" t="n">
        <f aca="false">VLOOKUP(F76,Rates!$D$4:$E$8,2)</f>
        <v>0.85</v>
      </c>
      <c r="J76" s="0" t="n">
        <f aca="false">ROUND(E76*I76,2)</f>
        <v>15301.52</v>
      </c>
      <c r="K76" s="1" t="n">
        <f aca="false">PV(H76/12,F76/30,0,-E76)</f>
        <v>17629.959454355</v>
      </c>
      <c r="L76" s="0" t="n">
        <f aca="false">ROUND(E76-K76,2)</f>
        <v>371.83</v>
      </c>
      <c r="M76" s="0" t="n">
        <f aca="false">F76/E76</f>
        <v>0.0208868118114921</v>
      </c>
    </row>
    <row r="77" customFormat="false" ht="12.8" hidden="false" customHeight="false" outlineLevel="0" collapsed="false">
      <c r="A77" s="0" t="s">
        <v>154</v>
      </c>
      <c r="B77" s="0" t="s">
        <v>155</v>
      </c>
      <c r="C77" s="0" t="s">
        <v>31</v>
      </c>
      <c r="D77" s="0" t="s">
        <v>16</v>
      </c>
      <c r="E77" s="0" t="n">
        <v>39696.35</v>
      </c>
      <c r="F77" s="0" t="n">
        <v>50</v>
      </c>
      <c r="G77" s="0" t="str">
        <f aca="false">IF(F77&lt;=30,"Current",IF(F77&lt;=60,"31 to 60 days",IF(F77&lt;=90,"61 to 90 days",IF(F77&lt;=120,"91 to 120 days","Over 120 days"))))</f>
        <v>31 to 60 days</v>
      </c>
      <c r="H77" s="0" t="n">
        <f aca="false">VLOOKUP(D77,Rates!$A$4:$B$7,2,FALSE())</f>
        <v>0.085</v>
      </c>
      <c r="I77" s="0" t="n">
        <f aca="false">VLOOKUP(F77,Rates!$D$4:$E$8,2)</f>
        <v>0.1</v>
      </c>
      <c r="J77" s="0" t="n">
        <f aca="false">ROUND(E77*I77,2)</f>
        <v>3969.64</v>
      </c>
      <c r="K77" s="1" t="n">
        <f aca="false">PV(H77/12,F77/30,0,-E77)</f>
        <v>39232.1005514973</v>
      </c>
      <c r="L77" s="0" t="n">
        <f aca="false">ROUND(E77-K77,2)</f>
        <v>464.25</v>
      </c>
      <c r="M77" s="0" t="n">
        <f aca="false">F77/E77</f>
        <v>0.00125956164735549</v>
      </c>
    </row>
    <row r="78" customFormat="false" ht="12.8" hidden="false" customHeight="false" outlineLevel="0" collapsed="false">
      <c r="A78" s="0" t="s">
        <v>156</v>
      </c>
      <c r="B78" s="0" t="s">
        <v>97</v>
      </c>
      <c r="C78" s="0" t="s">
        <v>42</v>
      </c>
      <c r="D78" s="0" t="s">
        <v>20</v>
      </c>
      <c r="E78" s="0" t="n">
        <v>32982.25</v>
      </c>
      <c r="F78" s="0" t="n">
        <v>130</v>
      </c>
      <c r="G78" s="0" t="str">
        <f aca="false">IF(F78&lt;=30,"Current",IF(F78&lt;=60,"31 to 60 days",IF(F78&lt;=90,"61 to 90 days",IF(F78&lt;=120,"91 to 120 days","Over 120 days"))))</f>
        <v>Over 120 days</v>
      </c>
      <c r="H78" s="0" t="n">
        <f aca="false">VLOOKUP(D78,Rates!$A$4:$B$7,2,FALSE())</f>
        <v>0.05</v>
      </c>
      <c r="I78" s="0" t="n">
        <f aca="false">VLOOKUP(F78,Rates!$D$4:$E$8,2)</f>
        <v>0.85</v>
      </c>
      <c r="J78" s="0" t="n">
        <f aca="false">ROUND(E78*I78,2)</f>
        <v>28034.91</v>
      </c>
      <c r="K78" s="1" t="n">
        <f aca="false">PV(H78/12,F78/30,0,-E78)</f>
        <v>32393.296200317</v>
      </c>
      <c r="L78" s="0" t="n">
        <f aca="false">ROUND(E78-K78,2)</f>
        <v>588.95</v>
      </c>
      <c r="M78" s="0" t="n">
        <f aca="false">F78/E78</f>
        <v>0.0039415139961646</v>
      </c>
    </row>
    <row r="79" customFormat="false" ht="12.8" hidden="false" customHeight="false" outlineLevel="0" collapsed="false">
      <c r="A79" s="0" t="s">
        <v>157</v>
      </c>
      <c r="B79" s="0" t="s">
        <v>158</v>
      </c>
      <c r="C79" s="0" t="s">
        <v>31</v>
      </c>
      <c r="D79" s="0" t="s">
        <v>16</v>
      </c>
      <c r="E79" s="0" t="n">
        <v>12904.77</v>
      </c>
      <c r="F79" s="0" t="n">
        <v>312</v>
      </c>
      <c r="G79" s="0" t="str">
        <f aca="false">IF(F79&lt;=30,"Current",IF(F79&lt;=60,"31 to 60 days",IF(F79&lt;=90,"61 to 90 days",IF(F79&lt;=120,"91 to 120 days","Over 120 days"))))</f>
        <v>Over 120 days</v>
      </c>
      <c r="H79" s="0" t="n">
        <f aca="false">VLOOKUP(D79,Rates!$A$4:$B$7,2,FALSE())</f>
        <v>0.085</v>
      </c>
      <c r="I79" s="0" t="n">
        <f aca="false">VLOOKUP(F79,Rates!$D$4:$E$8,2)</f>
        <v>0.85</v>
      </c>
      <c r="J79" s="0" t="n">
        <f aca="false">ROUND(E79*I79,2)</f>
        <v>10969.05</v>
      </c>
      <c r="K79" s="1" t="n">
        <f aca="false">PV(H79/12,F79/30,0,-E79)</f>
        <v>11991.4035356396</v>
      </c>
      <c r="L79" s="0" t="n">
        <f aca="false">ROUND(E79-K79,2)</f>
        <v>913.37</v>
      </c>
      <c r="M79" s="0" t="n">
        <f aca="false">F79/E79</f>
        <v>0.0241771066047671</v>
      </c>
    </row>
    <row r="80" customFormat="false" ht="12.8" hidden="false" customHeight="false" outlineLevel="0" collapsed="false">
      <c r="A80" s="0" t="s">
        <v>159</v>
      </c>
      <c r="B80" s="0" t="s">
        <v>113</v>
      </c>
      <c r="C80" s="0" t="s">
        <v>26</v>
      </c>
      <c r="D80" s="0" t="s">
        <v>23</v>
      </c>
      <c r="E80" s="0" t="n">
        <v>39086.8</v>
      </c>
      <c r="F80" s="0" t="n">
        <v>57</v>
      </c>
      <c r="G80" s="0" t="str">
        <f aca="false">IF(F80&lt;=30,"Current",IF(F80&lt;=60,"31 to 60 days",IF(F80&lt;=90,"61 to 90 days",IF(F80&lt;=120,"91 to 120 days","Over 120 days"))))</f>
        <v>31 to 60 days</v>
      </c>
      <c r="H80" s="0" t="n">
        <f aca="false">VLOOKUP(D80,Rates!$A$4:$B$7,2,FALSE())</f>
        <v>0.115</v>
      </c>
      <c r="I80" s="0" t="n">
        <f aca="false">VLOOKUP(F80,Rates!$D$4:$E$8,2)</f>
        <v>0.1</v>
      </c>
      <c r="J80" s="0" t="n">
        <f aca="false">ROUND(E80*I80,2)</f>
        <v>3908.68</v>
      </c>
      <c r="K80" s="1" t="n">
        <f aca="false">PV(H80/12,F80/30,0,-E80)</f>
        <v>38384.8624780103</v>
      </c>
      <c r="L80" s="0" t="n">
        <f aca="false">ROUND(E80-K80,2)</f>
        <v>701.94</v>
      </c>
      <c r="M80" s="0" t="n">
        <f aca="false">F80/E80</f>
        <v>0.0014582928251993</v>
      </c>
    </row>
    <row r="81" customFormat="false" ht="12.8" hidden="false" customHeight="false" outlineLevel="0" collapsed="false">
      <c r="A81" s="0" t="s">
        <v>160</v>
      </c>
      <c r="B81" s="0" t="s">
        <v>55</v>
      </c>
      <c r="C81" s="0" t="s">
        <v>26</v>
      </c>
      <c r="D81" s="0" t="s">
        <v>23</v>
      </c>
      <c r="E81" s="0" t="n">
        <v>30470</v>
      </c>
      <c r="F81" s="0" t="n">
        <v>5</v>
      </c>
      <c r="G81" s="0" t="str">
        <f aca="false">IF(F81&lt;=30,"Current",IF(F81&lt;=60,"31 to 60 days",IF(F81&lt;=90,"61 to 90 days",IF(F81&lt;=120,"91 to 120 days","Over 120 days"))))</f>
        <v>Current</v>
      </c>
      <c r="H81" s="0" t="n">
        <f aca="false">VLOOKUP(D81,Rates!$A$4:$B$7,2,FALSE())</f>
        <v>0.115</v>
      </c>
      <c r="I81" s="0" t="n">
        <f aca="false">VLOOKUP(F81,Rates!$D$4:$E$8,2)</f>
        <v>0.02</v>
      </c>
      <c r="J81" s="0" t="n">
        <f aca="false">ROUND(E81*I81,2)</f>
        <v>609.4</v>
      </c>
      <c r="K81" s="1" t="n">
        <f aca="false">PV(H81/12,F81/30,0,-E81)</f>
        <v>30421.6028340933</v>
      </c>
      <c r="L81" s="0" t="n">
        <f aca="false">ROUND(E81-K81,2)</f>
        <v>48.4</v>
      </c>
      <c r="M81" s="0" t="n">
        <f aca="false">F81/E81</f>
        <v>0.000164095831965868</v>
      </c>
    </row>
    <row r="82" customFormat="false" ht="12.8" hidden="false" customHeight="false" outlineLevel="0" collapsed="false">
      <c r="A82" s="0" t="s">
        <v>161</v>
      </c>
      <c r="B82" s="0" t="s">
        <v>162</v>
      </c>
      <c r="C82" s="0" t="s">
        <v>26</v>
      </c>
      <c r="D82" s="0" t="s">
        <v>16</v>
      </c>
      <c r="E82" s="0" t="n">
        <v>18401.13</v>
      </c>
      <c r="F82" s="0" t="n">
        <v>35</v>
      </c>
      <c r="G82" s="0" t="str">
        <f aca="false">IF(F82&lt;=30,"Current",IF(F82&lt;=60,"31 to 60 days",IF(F82&lt;=90,"61 to 90 days",IF(F82&lt;=120,"91 to 120 days","Over 120 days"))))</f>
        <v>31 to 60 days</v>
      </c>
      <c r="H82" s="0" t="n">
        <f aca="false">VLOOKUP(D82,Rates!$A$4:$B$7,2,FALSE())</f>
        <v>0.085</v>
      </c>
      <c r="I82" s="0" t="n">
        <f aca="false">VLOOKUP(F82,Rates!$D$4:$E$8,2)</f>
        <v>0.1</v>
      </c>
      <c r="J82" s="0" t="n">
        <f aca="false">ROUND(E82*I82,2)</f>
        <v>1840.11</v>
      </c>
      <c r="K82" s="1" t="n">
        <f aca="false">PV(H82/12,F82/30,0,-E82)</f>
        <v>18250.2233323749</v>
      </c>
      <c r="L82" s="0" t="n">
        <f aca="false">ROUND(E82-K82,2)</f>
        <v>150.91</v>
      </c>
      <c r="M82" s="0" t="n">
        <f aca="false">F82/E82</f>
        <v>0.00190205710192798</v>
      </c>
    </row>
    <row r="83" customFormat="false" ht="12.8" hidden="false" customHeight="false" outlineLevel="0" collapsed="false">
      <c r="A83" s="0" t="s">
        <v>163</v>
      </c>
      <c r="B83" s="0" t="s">
        <v>28</v>
      </c>
      <c r="C83" s="0" t="s">
        <v>15</v>
      </c>
      <c r="D83" s="0" t="s">
        <v>20</v>
      </c>
      <c r="E83" s="0" t="n">
        <v>45017.38</v>
      </c>
      <c r="F83" s="0" t="n">
        <v>165</v>
      </c>
      <c r="G83" s="0" t="str">
        <f aca="false">IF(F83&lt;=30,"Current",IF(F83&lt;=60,"31 to 60 days",IF(F83&lt;=90,"61 to 90 days",IF(F83&lt;=120,"91 to 120 days","Over 120 days"))))</f>
        <v>Over 120 days</v>
      </c>
      <c r="H83" s="0" t="n">
        <f aca="false">VLOOKUP(D83,Rates!$A$4:$B$7,2,FALSE())</f>
        <v>0.05</v>
      </c>
      <c r="I83" s="0" t="n">
        <f aca="false">VLOOKUP(F83,Rates!$D$4:$E$8,2)</f>
        <v>0.85</v>
      </c>
      <c r="J83" s="0" t="n">
        <f aca="false">ROUND(E83*I83,2)</f>
        <v>38264.77</v>
      </c>
      <c r="K83" s="1" t="n">
        <f aca="false">PV(H83/12,F83/30,0,-E83)</f>
        <v>43999.5577006722</v>
      </c>
      <c r="L83" s="0" t="n">
        <f aca="false">ROUND(E83-K83,2)</f>
        <v>1017.82</v>
      </c>
      <c r="M83" s="0" t="n">
        <f aca="false">F83/E83</f>
        <v>0.00366525106525524</v>
      </c>
    </row>
    <row r="84" customFormat="false" ht="12.8" hidden="false" customHeight="false" outlineLevel="0" collapsed="false">
      <c r="A84" s="0" t="s">
        <v>164</v>
      </c>
      <c r="B84" s="0" t="s">
        <v>28</v>
      </c>
      <c r="C84" s="0" t="s">
        <v>15</v>
      </c>
      <c r="D84" s="0" t="s">
        <v>20</v>
      </c>
      <c r="E84" s="0" t="n">
        <v>22237.33</v>
      </c>
      <c r="F84" s="0" t="n">
        <v>364</v>
      </c>
      <c r="G84" s="0" t="str">
        <f aca="false">IF(F84&lt;=30,"Current",IF(F84&lt;=60,"31 to 60 days",IF(F84&lt;=90,"61 to 90 days",IF(F84&lt;=120,"91 to 120 days","Over 120 days"))))</f>
        <v>Over 120 days</v>
      </c>
      <c r="H84" s="0" t="n">
        <f aca="false">VLOOKUP(D84,Rates!$A$4:$B$7,2,FALSE())</f>
        <v>0.05</v>
      </c>
      <c r="I84" s="0" t="n">
        <f aca="false">VLOOKUP(F84,Rates!$D$4:$E$8,2)</f>
        <v>0.85</v>
      </c>
      <c r="J84" s="0" t="n">
        <f aca="false">ROUND(E84*I84,2)</f>
        <v>18901.73</v>
      </c>
      <c r="K84" s="1" t="n">
        <f aca="false">PV(H84/12,F84/30,0,-E84)</f>
        <v>21143.2749377194</v>
      </c>
      <c r="L84" s="0" t="n">
        <f aca="false">ROUND(E84-K84,2)</f>
        <v>1094.06</v>
      </c>
      <c r="M84" s="0" t="n">
        <f aca="false">F84/E84</f>
        <v>0.0163688716226274</v>
      </c>
    </row>
    <row r="85" customFormat="false" ht="12.8" hidden="false" customHeight="false" outlineLevel="0" collapsed="false">
      <c r="A85" s="0" t="s">
        <v>165</v>
      </c>
      <c r="B85" s="0" t="s">
        <v>166</v>
      </c>
      <c r="C85" s="0" t="s">
        <v>26</v>
      </c>
      <c r="D85" s="0" t="s">
        <v>49</v>
      </c>
      <c r="E85" s="0" t="n">
        <v>27381.85</v>
      </c>
      <c r="F85" s="0" t="n">
        <v>49</v>
      </c>
      <c r="G85" s="0" t="str">
        <f aca="false">IF(F85&lt;=30,"Current",IF(F85&lt;=60,"31 to 60 days",IF(F85&lt;=90,"61 to 90 days",IF(F85&lt;=120,"91 to 120 days","Over 120 days"))))</f>
        <v>31 to 60 days</v>
      </c>
      <c r="H85" s="0" t="n">
        <f aca="false">VLOOKUP(D85,Rates!$A$4:$B$7,2,FALSE())</f>
        <v>0.02</v>
      </c>
      <c r="I85" s="0" t="n">
        <f aca="false">VLOOKUP(F85,Rates!$D$4:$E$8,2)</f>
        <v>0.1</v>
      </c>
      <c r="J85" s="0" t="n">
        <f aca="false">ROUND(E85*I85,2)</f>
        <v>2738.19</v>
      </c>
      <c r="K85" s="1" t="n">
        <f aca="false">PV(H85/12,F85/30,0,-E85)</f>
        <v>27307.473762655</v>
      </c>
      <c r="L85" s="0" t="n">
        <f aca="false">ROUND(E85-K85,2)</f>
        <v>74.38</v>
      </c>
      <c r="M85" s="0" t="n">
        <f aca="false">F85/E85</f>
        <v>0.00178950655269823</v>
      </c>
    </row>
    <row r="86" customFormat="false" ht="12.8" hidden="false" customHeight="false" outlineLevel="0" collapsed="false">
      <c r="A86" s="0" t="s">
        <v>167</v>
      </c>
      <c r="B86" s="0" t="s">
        <v>168</v>
      </c>
      <c r="C86" s="0" t="s">
        <v>31</v>
      </c>
      <c r="D86" s="0" t="s">
        <v>16</v>
      </c>
      <c r="E86" s="0" t="n">
        <v>12172.19</v>
      </c>
      <c r="F86" s="0" t="n">
        <v>108</v>
      </c>
      <c r="G86" s="0" t="str">
        <f aca="false">IF(F86&lt;=30,"Current",IF(F86&lt;=60,"31 to 60 days",IF(F86&lt;=90,"61 to 90 days",IF(F86&lt;=120,"91 to 120 days","Over 120 days"))))</f>
        <v>91 to 120 days</v>
      </c>
      <c r="H86" s="0" t="n">
        <f aca="false">VLOOKUP(D86,Rates!$A$4:$B$7,2,FALSE())</f>
        <v>0.085</v>
      </c>
      <c r="I86" s="0" t="n">
        <f aca="false">VLOOKUP(F86,Rates!$D$4:$E$8,2)</f>
        <v>0.5</v>
      </c>
      <c r="J86" s="0" t="n">
        <f aca="false">ROUND(E86*I86,2)</f>
        <v>6086.1</v>
      </c>
      <c r="K86" s="1" t="n">
        <f aca="false">PV(H86/12,F86/30,0,-E86)</f>
        <v>11866.7898503787</v>
      </c>
      <c r="L86" s="0" t="n">
        <f aca="false">ROUND(E86-K86,2)</f>
        <v>305.4</v>
      </c>
      <c r="M86" s="0" t="n">
        <f aca="false">F86/E86</f>
        <v>0.00887268437314896</v>
      </c>
    </row>
    <row r="87" customFormat="false" ht="12.8" hidden="false" customHeight="false" outlineLevel="0" collapsed="false">
      <c r="A87" s="0" t="s">
        <v>169</v>
      </c>
      <c r="B87" s="0" t="s">
        <v>30</v>
      </c>
      <c r="C87" s="0" t="s">
        <v>31</v>
      </c>
      <c r="D87" s="0" t="s">
        <v>20</v>
      </c>
      <c r="E87" s="0" t="n">
        <v>24728.63</v>
      </c>
      <c r="F87" s="0" t="n">
        <v>291</v>
      </c>
      <c r="G87" s="0" t="str">
        <f aca="false">IF(F87&lt;=30,"Current",IF(F87&lt;=60,"31 to 60 days",IF(F87&lt;=90,"61 to 90 days",IF(F87&lt;=120,"91 to 120 days","Over 120 days"))))</f>
        <v>Over 120 days</v>
      </c>
      <c r="H87" s="0" t="n">
        <f aca="false">VLOOKUP(D87,Rates!$A$4:$B$7,2,FALSE())</f>
        <v>0.05</v>
      </c>
      <c r="I87" s="0" t="n">
        <f aca="false">VLOOKUP(F87,Rates!$D$4:$E$8,2)</f>
        <v>0.85</v>
      </c>
      <c r="J87" s="0" t="n">
        <f aca="false">ROUND(E87*I87,2)</f>
        <v>21019.34</v>
      </c>
      <c r="K87" s="1" t="n">
        <f aca="false">PV(H87/12,F87/30,0,-E87)</f>
        <v>23751.1032790179</v>
      </c>
      <c r="L87" s="0" t="n">
        <f aca="false">ROUND(E87-K87,2)</f>
        <v>977.53</v>
      </c>
      <c r="M87" s="0" t="n">
        <f aca="false">F87/E87</f>
        <v>0.0117677364253499</v>
      </c>
    </row>
    <row r="88" customFormat="false" ht="12.8" hidden="false" customHeight="false" outlineLevel="0" collapsed="false">
      <c r="A88" s="0" t="s">
        <v>170</v>
      </c>
      <c r="B88" s="0" t="s">
        <v>30</v>
      </c>
      <c r="C88" s="0" t="s">
        <v>31</v>
      </c>
      <c r="D88" s="0" t="s">
        <v>20</v>
      </c>
      <c r="E88" s="0" t="n">
        <v>25037.84</v>
      </c>
      <c r="F88" s="0" t="n">
        <v>342</v>
      </c>
      <c r="G88" s="0" t="str">
        <f aca="false">IF(F88&lt;=30,"Current",IF(F88&lt;=60,"31 to 60 days",IF(F88&lt;=90,"61 to 90 days",IF(F88&lt;=120,"91 to 120 days","Over 120 days"))))</f>
        <v>Over 120 days</v>
      </c>
      <c r="H88" s="0" t="n">
        <f aca="false">VLOOKUP(D88,Rates!$A$4:$B$7,2,FALSE())</f>
        <v>0.05</v>
      </c>
      <c r="I88" s="0" t="n">
        <f aca="false">VLOOKUP(F88,Rates!$D$4:$E$8,2)</f>
        <v>0.85</v>
      </c>
      <c r="J88" s="0" t="n">
        <f aca="false">ROUND(E88*I88,2)</f>
        <v>21282.16</v>
      </c>
      <c r="K88" s="1" t="n">
        <f aca="false">PV(H88/12,F88/30,0,-E88)</f>
        <v>23878.7027855446</v>
      </c>
      <c r="L88" s="0" t="n">
        <f aca="false">ROUND(E88-K88,2)</f>
        <v>1159.14</v>
      </c>
      <c r="M88" s="0" t="n">
        <f aca="false">F88/E88</f>
        <v>0.0136593252453087</v>
      </c>
    </row>
    <row r="89" customFormat="false" ht="12.8" hidden="false" customHeight="false" outlineLevel="0" collapsed="false">
      <c r="A89" s="0" t="s">
        <v>171</v>
      </c>
      <c r="B89" s="0" t="s">
        <v>18</v>
      </c>
      <c r="C89" s="0" t="s">
        <v>19</v>
      </c>
      <c r="D89" s="0" t="s">
        <v>20</v>
      </c>
      <c r="E89" s="0" t="n">
        <v>37280.74</v>
      </c>
      <c r="F89" s="0" t="n">
        <v>142</v>
      </c>
      <c r="G89" s="0" t="str">
        <f aca="false">IF(F89&lt;=30,"Current",IF(F89&lt;=60,"31 to 60 days",IF(F89&lt;=90,"61 to 90 days",IF(F89&lt;=120,"91 to 120 days","Over 120 days"))))</f>
        <v>Over 120 days</v>
      </c>
      <c r="H89" s="0" t="n">
        <f aca="false">VLOOKUP(D89,Rates!$A$4:$B$7,2,FALSE())</f>
        <v>0.05</v>
      </c>
      <c r="I89" s="0" t="n">
        <f aca="false">VLOOKUP(F89,Rates!$D$4:$E$8,2)</f>
        <v>0.85</v>
      </c>
      <c r="J89" s="0" t="n">
        <f aca="false">ROUND(E89*I89,2)</f>
        <v>31688.63</v>
      </c>
      <c r="K89" s="1" t="n">
        <f aca="false">PV(H89/12,F89/30,0,-E89)</f>
        <v>36554.1817482753</v>
      </c>
      <c r="L89" s="0" t="n">
        <f aca="false">ROUND(E89-K89,2)</f>
        <v>726.56</v>
      </c>
      <c r="M89" s="0" t="n">
        <f aca="false">F89/E89</f>
        <v>0.00380893726894906</v>
      </c>
    </row>
    <row r="90" customFormat="false" ht="12.8" hidden="false" customHeight="false" outlineLevel="0" collapsed="false">
      <c r="A90" s="0" t="s">
        <v>172</v>
      </c>
      <c r="B90" s="0" t="s">
        <v>173</v>
      </c>
      <c r="C90" s="0" t="s">
        <v>42</v>
      </c>
      <c r="D90" s="0" t="s">
        <v>16</v>
      </c>
      <c r="E90" s="0" t="n">
        <v>7044.71</v>
      </c>
      <c r="F90" s="0" t="n">
        <v>205</v>
      </c>
      <c r="G90" s="0" t="str">
        <f aca="false">IF(F90&lt;=30,"Current",IF(F90&lt;=60,"31 to 60 days",IF(F90&lt;=90,"61 to 90 days",IF(F90&lt;=120,"91 to 120 days","Over 120 days"))))</f>
        <v>Over 120 days</v>
      </c>
      <c r="H90" s="0" t="n">
        <f aca="false">VLOOKUP(D90,Rates!$A$4:$B$7,2,FALSE())</f>
        <v>0.085</v>
      </c>
      <c r="I90" s="0" t="n">
        <f aca="false">VLOOKUP(F90,Rates!$D$4:$E$8,2)</f>
        <v>0.85</v>
      </c>
      <c r="J90" s="0" t="n">
        <f aca="false">ROUND(E90*I90,2)</f>
        <v>5988</v>
      </c>
      <c r="K90" s="1" t="n">
        <f aca="false">PV(H90/12,F90/30,0,-E90)</f>
        <v>6712.99247533424</v>
      </c>
      <c r="L90" s="0" t="n">
        <f aca="false">ROUND(E90-K90,2)</f>
        <v>331.72</v>
      </c>
      <c r="M90" s="0" t="n">
        <f aca="false">F90/E90</f>
        <v>0.0290998493905356</v>
      </c>
    </row>
    <row r="91" customFormat="false" ht="12.8" hidden="false" customHeight="false" outlineLevel="0" collapsed="false">
      <c r="A91" s="0" t="s">
        <v>174</v>
      </c>
      <c r="B91" s="0" t="s">
        <v>30</v>
      </c>
      <c r="C91" s="0" t="s">
        <v>31</v>
      </c>
      <c r="D91" s="0" t="s">
        <v>20</v>
      </c>
      <c r="E91" s="0" t="n">
        <v>7126.97</v>
      </c>
      <c r="F91" s="0" t="n">
        <v>21</v>
      </c>
      <c r="G91" s="0" t="str">
        <f aca="false">IF(F91&lt;=30,"Current",IF(F91&lt;=60,"31 to 60 days",IF(F91&lt;=90,"61 to 90 days",IF(F91&lt;=120,"91 to 120 days","Over 120 days"))))</f>
        <v>Current</v>
      </c>
      <c r="H91" s="0" t="n">
        <f aca="false">VLOOKUP(D91,Rates!$A$4:$B$7,2,FALSE())</f>
        <v>0.05</v>
      </c>
      <c r="I91" s="0" t="n">
        <f aca="false">VLOOKUP(F91,Rates!$D$4:$E$8,2)</f>
        <v>0.02</v>
      </c>
      <c r="J91" s="0" t="n">
        <f aca="false">ROUND(E91*I91,2)</f>
        <v>142.54</v>
      </c>
      <c r="K91" s="1" t="n">
        <f aca="false">PV(H91/12,F91/30,0,-E91)</f>
        <v>7106.25634975952</v>
      </c>
      <c r="L91" s="0" t="n">
        <f aca="false">ROUND(E91-K91,2)</f>
        <v>20.71</v>
      </c>
      <c r="M91" s="0" t="n">
        <f aca="false">F91/E91</f>
        <v>0.00294655372479469</v>
      </c>
    </row>
    <row r="92" customFormat="false" ht="12.8" hidden="false" customHeight="false" outlineLevel="0" collapsed="false">
      <c r="A92" s="0" t="s">
        <v>175</v>
      </c>
      <c r="B92" s="0" t="s">
        <v>176</v>
      </c>
      <c r="C92" s="0" t="s">
        <v>36</v>
      </c>
      <c r="D92" s="0" t="s">
        <v>49</v>
      </c>
      <c r="E92" s="0" t="n">
        <v>28699.22</v>
      </c>
      <c r="F92" s="0" t="n">
        <v>269</v>
      </c>
      <c r="G92" s="0" t="str">
        <f aca="false">IF(F92&lt;=30,"Current",IF(F92&lt;=60,"31 to 60 days",IF(F92&lt;=90,"61 to 90 days",IF(F92&lt;=120,"91 to 120 days","Over 120 days"))))</f>
        <v>Over 120 days</v>
      </c>
      <c r="H92" s="0" t="n">
        <f aca="false">VLOOKUP(D92,Rates!$A$4:$B$7,2,FALSE())</f>
        <v>0.02</v>
      </c>
      <c r="I92" s="0" t="n">
        <f aca="false">VLOOKUP(F92,Rates!$D$4:$E$8,2)</f>
        <v>0.85</v>
      </c>
      <c r="J92" s="0" t="n">
        <f aca="false">ROUND(E92*I92,2)</f>
        <v>24394.34</v>
      </c>
      <c r="K92" s="1" t="n">
        <f aca="false">PV(H92/12,F92/30,0,-E92)</f>
        <v>28273.8667079175</v>
      </c>
      <c r="L92" s="0" t="n">
        <f aca="false">ROUND(E92-K92,2)</f>
        <v>425.35</v>
      </c>
      <c r="M92" s="0" t="n">
        <f aca="false">F92/E92</f>
        <v>0.00937307703833066</v>
      </c>
    </row>
    <row r="93" customFormat="false" ht="12.8" hidden="false" customHeight="false" outlineLevel="0" collapsed="false">
      <c r="A93" s="0" t="s">
        <v>177</v>
      </c>
      <c r="B93" s="0" t="s">
        <v>44</v>
      </c>
      <c r="C93" s="0" t="s">
        <v>36</v>
      </c>
      <c r="D93" s="0" t="s">
        <v>23</v>
      </c>
      <c r="E93" s="0" t="n">
        <v>37515.3</v>
      </c>
      <c r="F93" s="0" t="n">
        <v>362</v>
      </c>
      <c r="G93" s="0" t="str">
        <f aca="false">IF(F93&lt;=30,"Current",IF(F93&lt;=60,"31 to 60 days",IF(F93&lt;=90,"61 to 90 days",IF(F93&lt;=120,"91 to 120 days","Over 120 days"))))</f>
        <v>Over 120 days</v>
      </c>
      <c r="H93" s="0" t="n">
        <f aca="false">VLOOKUP(D93,Rates!$A$4:$B$7,2,FALSE())</f>
        <v>0.115</v>
      </c>
      <c r="I93" s="0" t="n">
        <f aca="false">VLOOKUP(F93,Rates!$D$4:$E$8,2)</f>
        <v>0.85</v>
      </c>
      <c r="J93" s="0" t="n">
        <f aca="false">ROUND(E93*I93,2)</f>
        <v>31888.01</v>
      </c>
      <c r="K93" s="1" t="n">
        <f aca="false">PV(H93/12,F93/30,0,-E93)</f>
        <v>33436.9156640468</v>
      </c>
      <c r="L93" s="0" t="n">
        <f aca="false">ROUND(E93-K93,2)</f>
        <v>4078.38</v>
      </c>
      <c r="M93" s="0" t="n">
        <f aca="false">F93/E93</f>
        <v>0.00964939637961045</v>
      </c>
    </row>
    <row r="94" customFormat="false" ht="12.8" hidden="false" customHeight="false" outlineLevel="0" collapsed="false">
      <c r="A94" s="0" t="s">
        <v>178</v>
      </c>
      <c r="B94" s="0" t="s">
        <v>179</v>
      </c>
      <c r="C94" s="0" t="s">
        <v>15</v>
      </c>
      <c r="D94" s="0" t="s">
        <v>49</v>
      </c>
      <c r="E94" s="0" t="n">
        <v>36432.27</v>
      </c>
      <c r="F94" s="0" t="n">
        <v>301</v>
      </c>
      <c r="G94" s="0" t="str">
        <f aca="false">IF(F94&lt;=30,"Current",IF(F94&lt;=60,"31 to 60 days",IF(F94&lt;=90,"61 to 90 days",IF(F94&lt;=120,"91 to 120 days","Over 120 days"))))</f>
        <v>Over 120 days</v>
      </c>
      <c r="H94" s="0" t="n">
        <f aca="false">VLOOKUP(D94,Rates!$A$4:$B$7,2,FALSE())</f>
        <v>0.02</v>
      </c>
      <c r="I94" s="0" t="n">
        <f aca="false">VLOOKUP(F94,Rates!$D$4:$E$8,2)</f>
        <v>0.85</v>
      </c>
      <c r="J94" s="0" t="n">
        <f aca="false">ROUND(E94*I94,2)</f>
        <v>30967.43</v>
      </c>
      <c r="K94" s="1" t="n">
        <f aca="false">PV(H94/12,F94/30,0,-E94)</f>
        <v>35828.6057579634</v>
      </c>
      <c r="L94" s="0" t="n">
        <f aca="false">ROUND(E94-K94,2)</f>
        <v>603.66</v>
      </c>
      <c r="M94" s="0" t="n">
        <f aca="false">F94/E94</f>
        <v>0.00826190627155541</v>
      </c>
    </row>
    <row r="95" customFormat="false" ht="12.8" hidden="false" customHeight="false" outlineLevel="0" collapsed="false">
      <c r="A95" s="0" t="s">
        <v>180</v>
      </c>
      <c r="B95" s="0" t="s">
        <v>181</v>
      </c>
      <c r="C95" s="0" t="s">
        <v>31</v>
      </c>
      <c r="D95" s="0" t="s">
        <v>49</v>
      </c>
      <c r="E95" s="0" t="n">
        <v>27235.21</v>
      </c>
      <c r="F95" s="0" t="n">
        <v>291</v>
      </c>
      <c r="G95" s="0" t="str">
        <f aca="false">IF(F95&lt;=30,"Current",IF(F95&lt;=60,"31 to 60 days",IF(F95&lt;=90,"61 to 90 days",IF(F95&lt;=120,"91 to 120 days","Over 120 days"))))</f>
        <v>Over 120 days</v>
      </c>
      <c r="H95" s="0" t="n">
        <f aca="false">VLOOKUP(D95,Rates!$A$4:$B$7,2,FALSE())</f>
        <v>0.02</v>
      </c>
      <c r="I95" s="0" t="n">
        <f aca="false">VLOOKUP(F95,Rates!$D$4:$E$8,2)</f>
        <v>0.85</v>
      </c>
      <c r="J95" s="0" t="n">
        <f aca="false">ROUND(E95*I95,2)</f>
        <v>23149.93</v>
      </c>
      <c r="K95" s="1" t="n">
        <f aca="false">PV(H95/12,F95/30,0,-E95)</f>
        <v>26798.8080847305</v>
      </c>
      <c r="L95" s="0" t="n">
        <f aca="false">ROUND(E95-K95,2)</f>
        <v>436.4</v>
      </c>
      <c r="M95" s="0" t="n">
        <f aca="false">F95/E95</f>
        <v>0.0106846982270377</v>
      </c>
    </row>
    <row r="96" customFormat="false" ht="12.8" hidden="false" customHeight="false" outlineLevel="0" collapsed="false">
      <c r="A96" s="0" t="s">
        <v>182</v>
      </c>
      <c r="B96" s="0" t="s">
        <v>183</v>
      </c>
      <c r="C96" s="0" t="s">
        <v>15</v>
      </c>
      <c r="D96" s="0" t="s">
        <v>49</v>
      </c>
      <c r="E96" s="0" t="n">
        <v>0</v>
      </c>
      <c r="F96" s="0" t="n">
        <v>197</v>
      </c>
      <c r="G96" s="0" t="str">
        <f aca="false">IF(F96&lt;=30,"Current",IF(F96&lt;=60,"31 to 60 days",IF(F96&lt;=90,"61 to 90 days",IF(F96&lt;=120,"91 to 120 days","Over 120 days"))))</f>
        <v>Over 120 days</v>
      </c>
      <c r="H96" s="0" t="n">
        <f aca="false">VLOOKUP(D96,Rates!$A$4:$B$7,2,FALSE())</f>
        <v>0.02</v>
      </c>
      <c r="I96" s="0" t="n">
        <f aca="false">VLOOKUP(F96,Rates!$D$4:$E$8,2)</f>
        <v>0.85</v>
      </c>
      <c r="J96" s="0" t="n">
        <f aca="false">ROUND(E96*I96,2)</f>
        <v>0</v>
      </c>
      <c r="K96" s="1" t="n">
        <f aca="false">PV(H96/12,F96/30,0,-E96)</f>
        <v>-0</v>
      </c>
      <c r="L96" s="0" t="n">
        <f aca="false">ROUND(E96-K96,2)</f>
        <v>0</v>
      </c>
      <c r="M96" s="0" t="e">
        <f aca="false">F96/E96</f>
        <v>#DIV/0!</v>
      </c>
    </row>
    <row r="97" customFormat="false" ht="12.8" hidden="false" customHeight="false" outlineLevel="0" collapsed="false">
      <c r="A97" s="0" t="s">
        <v>184</v>
      </c>
      <c r="B97" s="0" t="s">
        <v>33</v>
      </c>
      <c r="C97" s="0" t="s">
        <v>26</v>
      </c>
      <c r="D97" s="0" t="s">
        <v>20</v>
      </c>
      <c r="E97" s="0" t="n">
        <v>4936.14</v>
      </c>
      <c r="F97" s="0" t="n">
        <v>213</v>
      </c>
      <c r="G97" s="0" t="str">
        <f aca="false">IF(F97&lt;=30,"Current",IF(F97&lt;=60,"31 to 60 days",IF(F97&lt;=90,"61 to 90 days",IF(F97&lt;=120,"91 to 120 days","Over 120 days"))))</f>
        <v>Over 120 days</v>
      </c>
      <c r="H97" s="0" t="n">
        <f aca="false">VLOOKUP(D97,Rates!$A$4:$B$7,2,FALSE())</f>
        <v>0.05</v>
      </c>
      <c r="I97" s="0" t="n">
        <f aca="false">VLOOKUP(F97,Rates!$D$4:$E$8,2)</f>
        <v>0.85</v>
      </c>
      <c r="J97" s="0" t="n">
        <f aca="false">ROUND(E97*I97,2)</f>
        <v>4195.72</v>
      </c>
      <c r="K97" s="1" t="n">
        <f aca="false">PV(H97/12,F97/30,0,-E97)</f>
        <v>4792.54591838308</v>
      </c>
      <c r="L97" s="0" t="n">
        <f aca="false">ROUND(E97-K97,2)</f>
        <v>143.59</v>
      </c>
      <c r="M97" s="0" t="n">
        <f aca="false">F97/E97</f>
        <v>0.0431511261836172</v>
      </c>
    </row>
    <row r="98" customFormat="false" ht="12.8" hidden="false" customHeight="false" outlineLevel="0" collapsed="false">
      <c r="A98" s="0" t="s">
        <v>185</v>
      </c>
      <c r="B98" s="0" t="s">
        <v>186</v>
      </c>
      <c r="C98" s="0" t="s">
        <v>31</v>
      </c>
      <c r="D98" s="0" t="s">
        <v>23</v>
      </c>
      <c r="E98" s="0" t="n">
        <v>16865.24</v>
      </c>
      <c r="F98" s="0" t="n">
        <v>120</v>
      </c>
      <c r="G98" s="0" t="str">
        <f aca="false">IF(F98&lt;=30,"Current",IF(F98&lt;=60,"31 to 60 days",IF(F98&lt;=90,"61 to 90 days",IF(F98&lt;=120,"91 to 120 days","Over 120 days"))))</f>
        <v>91 to 120 days</v>
      </c>
      <c r="H98" s="0" t="n">
        <f aca="false">VLOOKUP(D98,Rates!$A$4:$B$7,2,FALSE())</f>
        <v>0.115</v>
      </c>
      <c r="I98" s="0" t="n">
        <f aca="false">VLOOKUP(F98,Rates!$D$4:$E$8,2)</f>
        <v>0.5</v>
      </c>
      <c r="J98" s="0" t="n">
        <f aca="false">ROUND(E98*I98,2)</f>
        <v>8432.62</v>
      </c>
      <c r="K98" s="1" t="n">
        <f aca="false">PV(H98/12,F98/30,0,-E98)</f>
        <v>16233.9362460679</v>
      </c>
      <c r="L98" s="0" t="n">
        <f aca="false">ROUND(E98-K98,2)</f>
        <v>631.3</v>
      </c>
      <c r="M98" s="0" t="n">
        <f aca="false">F98/E98</f>
        <v>0.00711522634720881</v>
      </c>
    </row>
    <row r="99" customFormat="false" ht="12.8" hidden="false" customHeight="false" outlineLevel="0" collapsed="false">
      <c r="A99" s="0" t="s">
        <v>187</v>
      </c>
      <c r="B99" s="0" t="s">
        <v>28</v>
      </c>
      <c r="C99" s="0" t="s">
        <v>15</v>
      </c>
      <c r="D99" s="0" t="s">
        <v>20</v>
      </c>
      <c r="E99" s="0" t="n">
        <v>6415.02</v>
      </c>
      <c r="F99" s="0" t="n">
        <v>279</v>
      </c>
      <c r="G99" s="0" t="str">
        <f aca="false">IF(F99&lt;=30,"Current",IF(F99&lt;=60,"31 to 60 days",IF(F99&lt;=90,"61 to 90 days",IF(F99&lt;=120,"91 to 120 days","Over 120 days"))))</f>
        <v>Over 120 days</v>
      </c>
      <c r="H99" s="0" t="n">
        <f aca="false">VLOOKUP(D99,Rates!$A$4:$B$7,2,FALSE())</f>
        <v>0.05</v>
      </c>
      <c r="I99" s="0" t="n">
        <f aca="false">VLOOKUP(F99,Rates!$D$4:$E$8,2)</f>
        <v>0.85</v>
      </c>
      <c r="J99" s="0" t="n">
        <f aca="false">ROUND(E99*I99,2)</f>
        <v>5452.77</v>
      </c>
      <c r="K99" s="1" t="n">
        <f aca="false">PV(H99/12,F99/30,0,-E99)</f>
        <v>6171.68947518678</v>
      </c>
      <c r="L99" s="0" t="n">
        <f aca="false">ROUND(E99-K99,2)</f>
        <v>243.33</v>
      </c>
      <c r="M99" s="0" t="n">
        <f aca="false">F99/E99</f>
        <v>0.0434916804624148</v>
      </c>
    </row>
    <row r="100" customFormat="false" ht="12.8" hidden="false" customHeight="false" outlineLevel="0" collapsed="false">
      <c r="A100" s="0" t="s">
        <v>188</v>
      </c>
      <c r="B100" s="0" t="s">
        <v>18</v>
      </c>
      <c r="C100" s="0" t="s">
        <v>19</v>
      </c>
      <c r="D100" s="0" t="s">
        <v>20</v>
      </c>
      <c r="E100" s="0" t="n">
        <v>8120.51</v>
      </c>
      <c r="F100" s="0" t="n">
        <v>382</v>
      </c>
      <c r="G100" s="0" t="str">
        <f aca="false">IF(F100&lt;=30,"Current",IF(F100&lt;=60,"31 to 60 days",IF(F100&lt;=90,"61 to 90 days",IF(F100&lt;=120,"91 to 120 days","Over 120 days"))))</f>
        <v>Over 120 days</v>
      </c>
      <c r="H100" s="0" t="n">
        <f aca="false">VLOOKUP(D100,Rates!$A$4:$B$7,2,FALSE())</f>
        <v>0.05</v>
      </c>
      <c r="I100" s="0" t="n">
        <f aca="false">VLOOKUP(F100,Rates!$D$4:$E$8,2)</f>
        <v>0.85</v>
      </c>
      <c r="J100" s="0" t="n">
        <f aca="false">ROUND(E100*I100,2)</f>
        <v>6902.43</v>
      </c>
      <c r="K100" s="1" t="n">
        <f aca="false">PV(H100/12,F100/30,0,-E100)</f>
        <v>7701.75042430739</v>
      </c>
      <c r="L100" s="0" t="n">
        <f aca="false">ROUND(E100-K100,2)</f>
        <v>418.76</v>
      </c>
      <c r="M100" s="0" t="n">
        <f aca="false">F100/E100</f>
        <v>0.0470413804059105</v>
      </c>
    </row>
    <row r="101" customFormat="false" ht="12.8" hidden="false" customHeight="false" outlineLevel="0" collapsed="false">
      <c r="A101" s="0" t="s">
        <v>189</v>
      </c>
      <c r="B101" s="0" t="s">
        <v>190</v>
      </c>
      <c r="C101" s="0" t="s">
        <v>42</v>
      </c>
      <c r="D101" s="0" t="s">
        <v>49</v>
      </c>
      <c r="E101" s="0" t="n">
        <v>17840.08</v>
      </c>
      <c r="F101" s="0" t="n">
        <v>283</v>
      </c>
      <c r="G101" s="0" t="str">
        <f aca="false">IF(F101&lt;=30,"Current",IF(F101&lt;=60,"31 to 60 days",IF(F101&lt;=90,"61 to 90 days",IF(F101&lt;=120,"91 to 120 days","Over 120 days"))))</f>
        <v>Over 120 days</v>
      </c>
      <c r="H101" s="0" t="n">
        <f aca="false">VLOOKUP(D101,Rates!$A$4:$B$7,2,FALSE())</f>
        <v>0.02</v>
      </c>
      <c r="I101" s="0" t="n">
        <f aca="false">VLOOKUP(F101,Rates!$D$4:$E$8,2)</f>
        <v>0.85</v>
      </c>
      <c r="J101" s="0" t="n">
        <f aca="false">ROUND(E101*I101,2)</f>
        <v>15164.07</v>
      </c>
      <c r="K101" s="1" t="n">
        <f aca="false">PV(H101/12,F101/30,0,-E101)</f>
        <v>17562.0175549686</v>
      </c>
      <c r="L101" s="0" t="n">
        <f aca="false">ROUND(E101-K101,2)</f>
        <v>278.06</v>
      </c>
      <c r="M101" s="0" t="n">
        <f aca="false">F101/E101</f>
        <v>0.0158631575643159</v>
      </c>
    </row>
    <row r="102" customFormat="false" ht="12.8" hidden="false" customHeight="false" outlineLevel="0" collapsed="false">
      <c r="A102" s="0" t="s">
        <v>191</v>
      </c>
      <c r="B102" s="0" t="s">
        <v>192</v>
      </c>
      <c r="C102" s="0" t="s">
        <v>19</v>
      </c>
      <c r="D102" s="0" t="s">
        <v>49</v>
      </c>
      <c r="E102" s="0" t="n">
        <v>17932.48</v>
      </c>
      <c r="F102" s="0" t="n">
        <v>380</v>
      </c>
      <c r="G102" s="0" t="str">
        <f aca="false">IF(F102&lt;=30,"Current",IF(F102&lt;=60,"31 to 60 days",IF(F102&lt;=90,"61 to 90 days",IF(F102&lt;=120,"91 to 120 days","Over 120 days"))))</f>
        <v>Over 120 days</v>
      </c>
      <c r="H102" s="0" t="n">
        <f aca="false">VLOOKUP(D102,Rates!$A$4:$B$7,2,FALSE())</f>
        <v>0.02</v>
      </c>
      <c r="I102" s="0" t="n">
        <f aca="false">VLOOKUP(F102,Rates!$D$4:$E$8,2)</f>
        <v>0.85</v>
      </c>
      <c r="J102" s="0" t="n">
        <f aca="false">ROUND(E102*I102,2)</f>
        <v>15242.61</v>
      </c>
      <c r="K102" s="1" t="n">
        <f aca="false">PV(H102/12,F102/30,0,-E102)</f>
        <v>17558.1820629872</v>
      </c>
      <c r="L102" s="0" t="n">
        <f aca="false">ROUND(E102-K102,2)</f>
        <v>374.3</v>
      </c>
      <c r="M102" s="0" t="n">
        <f aca="false">F102/E102</f>
        <v>0.0211905994039865</v>
      </c>
    </row>
    <row r="103" customFormat="false" ht="12.8" hidden="false" customHeight="false" outlineLevel="0" collapsed="false">
      <c r="A103" s="0" t="s">
        <v>193</v>
      </c>
      <c r="B103" s="0" t="s">
        <v>194</v>
      </c>
      <c r="C103" s="0" t="s">
        <v>15</v>
      </c>
      <c r="D103" s="0" t="s">
        <v>23</v>
      </c>
      <c r="E103" s="0" t="n">
        <v>37532.08</v>
      </c>
      <c r="F103" s="0" t="n">
        <v>193</v>
      </c>
      <c r="G103" s="0" t="str">
        <f aca="false">IF(F103&lt;=30,"Current",IF(F103&lt;=60,"31 to 60 days",IF(F103&lt;=90,"61 to 90 days",IF(F103&lt;=120,"91 to 120 days","Over 120 days"))))</f>
        <v>Over 120 days</v>
      </c>
      <c r="H103" s="0" t="n">
        <f aca="false">VLOOKUP(D103,Rates!$A$4:$B$7,2,FALSE())</f>
        <v>0.115</v>
      </c>
      <c r="I103" s="0" t="n">
        <f aca="false">VLOOKUP(F103,Rates!$D$4:$E$8,2)</f>
        <v>0.85</v>
      </c>
      <c r="J103" s="0" t="n">
        <f aca="false">ROUND(E103*I103,2)</f>
        <v>31902.27</v>
      </c>
      <c r="K103" s="1" t="n">
        <f aca="false">PV(H103/12,F103/30,0,-E103)</f>
        <v>35298.3705134654</v>
      </c>
      <c r="L103" s="0" t="n">
        <f aca="false">ROUND(E103-K103,2)</f>
        <v>2233.71</v>
      </c>
      <c r="M103" s="0" t="n">
        <f aca="false">F103/E103</f>
        <v>0.00514226762811973</v>
      </c>
    </row>
    <row r="104" customFormat="false" ht="12.8" hidden="false" customHeight="false" outlineLevel="0" collapsed="false">
      <c r="A104" s="0" t="s">
        <v>195</v>
      </c>
      <c r="B104" s="0" t="s">
        <v>18</v>
      </c>
      <c r="C104" s="0" t="s">
        <v>19</v>
      </c>
      <c r="D104" s="0" t="s">
        <v>20</v>
      </c>
      <c r="E104" s="0" t="n">
        <v>2781.94</v>
      </c>
      <c r="F104" s="0" t="n">
        <v>370</v>
      </c>
      <c r="G104" s="0" t="str">
        <f aca="false">IF(F104&lt;=30,"Current",IF(F104&lt;=60,"31 to 60 days",IF(F104&lt;=90,"61 to 90 days",IF(F104&lt;=120,"91 to 120 days","Over 120 days"))))</f>
        <v>Over 120 days</v>
      </c>
      <c r="H104" s="0" t="n">
        <f aca="false">VLOOKUP(D104,Rates!$A$4:$B$7,2,FALSE())</f>
        <v>0.05</v>
      </c>
      <c r="I104" s="0" t="n">
        <f aca="false">VLOOKUP(F104,Rates!$D$4:$E$8,2)</f>
        <v>0.85</v>
      </c>
      <c r="J104" s="0" t="n">
        <f aca="false">ROUND(E104*I104,2)</f>
        <v>2364.65</v>
      </c>
      <c r="K104" s="1" t="n">
        <f aca="false">PV(H104/12,F104/30,0,-E104)</f>
        <v>2642.87251866159</v>
      </c>
      <c r="L104" s="0" t="n">
        <f aca="false">ROUND(E104-K104,2)</f>
        <v>139.07</v>
      </c>
      <c r="M104" s="0" t="n">
        <f aca="false">F104/E104</f>
        <v>0.133000711733538</v>
      </c>
    </row>
    <row r="105" customFormat="false" ht="12.8" hidden="false" customHeight="false" outlineLevel="0" collapsed="false">
      <c r="A105" s="0" t="s">
        <v>196</v>
      </c>
      <c r="B105" s="0" t="s">
        <v>61</v>
      </c>
      <c r="C105" s="0" t="s">
        <v>26</v>
      </c>
      <c r="D105" s="0" t="s">
        <v>16</v>
      </c>
      <c r="E105" s="0" t="n">
        <v>10786.13</v>
      </c>
      <c r="F105" s="0" t="n">
        <v>235</v>
      </c>
      <c r="G105" s="0" t="str">
        <f aca="false">IF(F105&lt;=30,"Current",IF(F105&lt;=60,"31 to 60 days",IF(F105&lt;=90,"61 to 90 days",IF(F105&lt;=120,"91 to 120 days","Over 120 days"))))</f>
        <v>Over 120 days</v>
      </c>
      <c r="H105" s="0" t="n">
        <f aca="false">VLOOKUP(D105,Rates!$A$4:$B$7,2,FALSE())</f>
        <v>0.085</v>
      </c>
      <c r="I105" s="0" t="n">
        <f aca="false">VLOOKUP(F105,Rates!$D$4:$E$8,2)</f>
        <v>0.85</v>
      </c>
      <c r="J105" s="0" t="n">
        <f aca="false">ROUND(E105*I105,2)</f>
        <v>9168.21</v>
      </c>
      <c r="K105" s="1" t="n">
        <f aca="false">PV(H105/12,F105/30,0,-E105)</f>
        <v>10205.9463776449</v>
      </c>
      <c r="L105" s="0" t="n">
        <f aca="false">ROUND(E105-K105,2)</f>
        <v>580.18</v>
      </c>
      <c r="M105" s="0" t="n">
        <f aca="false">F105/E105</f>
        <v>0.021787239723608</v>
      </c>
    </row>
    <row r="106" customFormat="false" ht="12.8" hidden="false" customHeight="false" outlineLevel="0" collapsed="false">
      <c r="A106" s="0" t="s">
        <v>197</v>
      </c>
      <c r="B106" s="0" t="s">
        <v>198</v>
      </c>
      <c r="C106" s="0" t="s">
        <v>19</v>
      </c>
      <c r="D106" s="0" t="s">
        <v>23</v>
      </c>
      <c r="E106" s="0" t="n">
        <v>926.59</v>
      </c>
      <c r="F106" s="0" t="n">
        <v>177</v>
      </c>
      <c r="G106" s="0" t="str">
        <f aca="false">IF(F106&lt;=30,"Current",IF(F106&lt;=60,"31 to 60 days",IF(F106&lt;=90,"61 to 90 days",IF(F106&lt;=120,"91 to 120 days","Over 120 days"))))</f>
        <v>Over 120 days</v>
      </c>
      <c r="H106" s="0" t="n">
        <f aca="false">VLOOKUP(D106,Rates!$A$4:$B$7,2,FALSE())</f>
        <v>0.115</v>
      </c>
      <c r="I106" s="0" t="n">
        <f aca="false">VLOOKUP(F106,Rates!$D$4:$E$8,2)</f>
        <v>0.85</v>
      </c>
      <c r="J106" s="0" t="n">
        <f aca="false">ROUND(E106*I106,2)</f>
        <v>787.6</v>
      </c>
      <c r="K106" s="1" t="n">
        <f aca="false">PV(H106/12,F106/30,0,-E106)</f>
        <v>875.888433971956</v>
      </c>
      <c r="L106" s="0" t="n">
        <f aca="false">ROUND(E106-K106,2)</f>
        <v>50.7</v>
      </c>
      <c r="M106" s="0" t="n">
        <f aca="false">F106/E106</f>
        <v>0.191022998305615</v>
      </c>
    </row>
    <row r="107" customFormat="false" ht="12.8" hidden="false" customHeight="false" outlineLevel="0" collapsed="false">
      <c r="A107" s="0" t="s">
        <v>199</v>
      </c>
      <c r="B107" s="0" t="s">
        <v>18</v>
      </c>
      <c r="C107" s="0" t="s">
        <v>19</v>
      </c>
      <c r="D107" s="0" t="s">
        <v>20</v>
      </c>
      <c r="E107" s="0" t="n">
        <v>44777.24</v>
      </c>
      <c r="F107" s="0" t="n">
        <v>72</v>
      </c>
      <c r="G107" s="0" t="str">
        <f aca="false">IF(F107&lt;=30,"Current",IF(F107&lt;=60,"31 to 60 days",IF(F107&lt;=90,"61 to 90 days",IF(F107&lt;=120,"91 to 120 days","Over 120 days"))))</f>
        <v>61 to 90 days</v>
      </c>
      <c r="H107" s="0" t="n">
        <f aca="false">VLOOKUP(D107,Rates!$A$4:$B$7,2,FALSE())</f>
        <v>0.05</v>
      </c>
      <c r="I107" s="0" t="n">
        <f aca="false">VLOOKUP(F107,Rates!$D$4:$E$8,2)</f>
        <v>0.25</v>
      </c>
      <c r="J107" s="0" t="n">
        <f aca="false">ROUND(E107*I107,2)</f>
        <v>11194.31</v>
      </c>
      <c r="K107" s="1" t="n">
        <f aca="false">PV(H107/12,F107/30,0,-E107)</f>
        <v>44332.6200468756</v>
      </c>
      <c r="L107" s="0" t="n">
        <f aca="false">ROUND(E107-K107,2)</f>
        <v>444.62</v>
      </c>
      <c r="M107" s="0" t="n">
        <f aca="false">F107/E107</f>
        <v>0.00160795975812712</v>
      </c>
    </row>
    <row r="108" customFormat="false" ht="12.8" hidden="false" customHeight="false" outlineLevel="0" collapsed="false">
      <c r="A108" s="0" t="s">
        <v>200</v>
      </c>
      <c r="B108" s="0" t="s">
        <v>30</v>
      </c>
      <c r="C108" s="0" t="s">
        <v>31</v>
      </c>
      <c r="D108" s="0" t="s">
        <v>20</v>
      </c>
      <c r="E108" s="0" t="n">
        <v>33713.38</v>
      </c>
      <c r="F108" s="0" t="n">
        <v>377</v>
      </c>
      <c r="G108" s="0" t="str">
        <f aca="false">IF(F108&lt;=30,"Current",IF(F108&lt;=60,"31 to 60 days",IF(F108&lt;=90,"61 to 90 days",IF(F108&lt;=120,"91 to 120 days","Over 120 days"))))</f>
        <v>Over 120 days</v>
      </c>
      <c r="H108" s="0" t="n">
        <f aca="false">VLOOKUP(D108,Rates!$A$4:$B$7,2,FALSE())</f>
        <v>0.05</v>
      </c>
      <c r="I108" s="0" t="n">
        <f aca="false">VLOOKUP(F108,Rates!$D$4:$E$8,2)</f>
        <v>0.85</v>
      </c>
      <c r="J108" s="0" t="n">
        <f aca="false">ROUND(E108*I108,2)</f>
        <v>28656.37</v>
      </c>
      <c r="K108" s="1" t="n">
        <f aca="false">PV(H108/12,F108/30,0,-E108)</f>
        <v>31997.0100874676</v>
      </c>
      <c r="L108" s="0" t="n">
        <f aca="false">ROUND(E108-K108,2)</f>
        <v>1716.37</v>
      </c>
      <c r="M108" s="0" t="n">
        <f aca="false">F108/E108</f>
        <v>0.0111825038011614</v>
      </c>
    </row>
    <row r="109" customFormat="false" ht="12.8" hidden="false" customHeight="false" outlineLevel="0" collapsed="false">
      <c r="A109" s="0" t="s">
        <v>201</v>
      </c>
      <c r="B109" s="0" t="s">
        <v>18</v>
      </c>
      <c r="C109" s="0" t="s">
        <v>19</v>
      </c>
      <c r="D109" s="0" t="s">
        <v>20</v>
      </c>
      <c r="E109" s="0" t="n">
        <v>18816.94</v>
      </c>
      <c r="F109" s="0" t="n">
        <v>190</v>
      </c>
      <c r="G109" s="0" t="str">
        <f aca="false">IF(F109&lt;=30,"Current",IF(F109&lt;=60,"31 to 60 days",IF(F109&lt;=90,"61 to 90 days",IF(F109&lt;=120,"91 to 120 days","Over 120 days"))))</f>
        <v>Over 120 days</v>
      </c>
      <c r="H109" s="0" t="n">
        <f aca="false">VLOOKUP(D109,Rates!$A$4:$B$7,2,FALSE())</f>
        <v>0.05</v>
      </c>
      <c r="I109" s="0" t="n">
        <f aca="false">VLOOKUP(F109,Rates!$D$4:$E$8,2)</f>
        <v>0.85</v>
      </c>
      <c r="J109" s="0" t="n">
        <f aca="false">ROUND(E109*I109,2)</f>
        <v>15994.4</v>
      </c>
      <c r="K109" s="1" t="n">
        <f aca="false">PV(H109/12,F109/30,0,-E109)</f>
        <v>18327.8812079169</v>
      </c>
      <c r="L109" s="0" t="n">
        <f aca="false">ROUND(E109-K109,2)</f>
        <v>489.06</v>
      </c>
      <c r="M109" s="0" t="n">
        <f aca="false">F109/E109</f>
        <v>0.0100972846807185</v>
      </c>
    </row>
    <row r="110" customFormat="false" ht="12.8" hidden="false" customHeight="false" outlineLevel="0" collapsed="false">
      <c r="A110" s="0" t="s">
        <v>202</v>
      </c>
      <c r="B110" s="0" t="s">
        <v>18</v>
      </c>
      <c r="C110" s="0" t="s">
        <v>19</v>
      </c>
      <c r="D110" s="0" t="s">
        <v>20</v>
      </c>
      <c r="E110" s="0" t="n">
        <v>29248.74</v>
      </c>
      <c r="F110" s="0" t="n">
        <v>103</v>
      </c>
      <c r="G110" s="0" t="str">
        <f aca="false">IF(F110&lt;=30,"Current",IF(F110&lt;=60,"31 to 60 days",IF(F110&lt;=90,"61 to 90 days",IF(F110&lt;=120,"91 to 120 days","Over 120 days"))))</f>
        <v>91 to 120 days</v>
      </c>
      <c r="H110" s="0" t="n">
        <f aca="false">VLOOKUP(D110,Rates!$A$4:$B$7,2,FALSE())</f>
        <v>0.05</v>
      </c>
      <c r="I110" s="0" t="n">
        <f aca="false">VLOOKUP(F110,Rates!$D$4:$E$8,2)</f>
        <v>0.5</v>
      </c>
      <c r="J110" s="0" t="n">
        <f aca="false">ROUND(E110*I110,2)</f>
        <v>14624.37</v>
      </c>
      <c r="K110" s="1" t="n">
        <f aca="false">PV(H110/12,F110/30,0,-E110)</f>
        <v>28834.1561248115</v>
      </c>
      <c r="L110" s="0" t="n">
        <f aca="false">ROUND(E110-K110,2)</f>
        <v>414.58</v>
      </c>
      <c r="M110" s="0" t="n">
        <f aca="false">F110/E110</f>
        <v>0.00352151921757997</v>
      </c>
    </row>
    <row r="111" customFormat="false" ht="12.8" hidden="false" customHeight="false" outlineLevel="0" collapsed="false">
      <c r="A111" s="0" t="s">
        <v>203</v>
      </c>
      <c r="B111" s="0" t="s">
        <v>18</v>
      </c>
      <c r="C111" s="0" t="s">
        <v>19</v>
      </c>
      <c r="D111" s="0" t="s">
        <v>20</v>
      </c>
      <c r="E111" s="0" t="n">
        <v>20939.68</v>
      </c>
      <c r="F111" s="0" t="n">
        <v>1</v>
      </c>
      <c r="G111" s="0" t="str">
        <f aca="false">IF(F111&lt;=30,"Current",IF(F111&lt;=60,"31 to 60 days",IF(F111&lt;=90,"61 to 90 days",IF(F111&lt;=120,"91 to 120 days","Over 120 days"))))</f>
        <v>Current</v>
      </c>
      <c r="H111" s="0" t="n">
        <f aca="false">VLOOKUP(D111,Rates!$A$4:$B$7,2,FALSE())</f>
        <v>0.05</v>
      </c>
      <c r="I111" s="0" t="n">
        <f aca="false">VLOOKUP(F111,Rates!$D$4:$E$8,2)</f>
        <v>0.02</v>
      </c>
      <c r="J111" s="0" t="n">
        <f aca="false">ROUND(E111*I111,2)</f>
        <v>418.79</v>
      </c>
      <c r="K111" s="1" t="n">
        <f aca="false">PV(H111/12,F111/30,0,-E111)</f>
        <v>20936.7779543852</v>
      </c>
      <c r="L111" s="0" t="n">
        <f aca="false">ROUND(E111-K111,2)</f>
        <v>2.9</v>
      </c>
      <c r="M111" s="0" t="n">
        <f aca="false">F111/E111</f>
        <v>4.77562216805605E-005</v>
      </c>
    </row>
    <row r="112" customFormat="false" ht="12.8" hidden="false" customHeight="false" outlineLevel="0" collapsed="false">
      <c r="A112" s="0" t="s">
        <v>204</v>
      </c>
      <c r="B112" s="0" t="s">
        <v>205</v>
      </c>
      <c r="C112" s="0" t="s">
        <v>42</v>
      </c>
      <c r="D112" s="0" t="s">
        <v>23</v>
      </c>
      <c r="E112" s="0" t="n">
        <v>14572.3</v>
      </c>
      <c r="F112" s="0" t="n">
        <v>89</v>
      </c>
      <c r="G112" s="0" t="str">
        <f aca="false">IF(F112&lt;=30,"Current",IF(F112&lt;=60,"31 to 60 days",IF(F112&lt;=90,"61 to 90 days",IF(F112&lt;=120,"91 to 120 days","Over 120 days"))))</f>
        <v>61 to 90 days</v>
      </c>
      <c r="H112" s="0" t="n">
        <f aca="false">VLOOKUP(D112,Rates!$A$4:$B$7,2,FALSE())</f>
        <v>0.115</v>
      </c>
      <c r="I112" s="0" t="n">
        <f aca="false">VLOOKUP(F112,Rates!$D$4:$E$8,2)</f>
        <v>0.25</v>
      </c>
      <c r="J112" s="0" t="n">
        <f aca="false">ROUND(E112*I112,2)</f>
        <v>3643.08</v>
      </c>
      <c r="K112" s="1" t="n">
        <f aca="false">PV(H112/12,F112/30,0,-E112)</f>
        <v>14165.7527923128</v>
      </c>
      <c r="L112" s="0" t="n">
        <f aca="false">ROUND(E112-K112,2)</f>
        <v>406.55</v>
      </c>
      <c r="M112" s="0" t="n">
        <f aca="false">F112/E112</f>
        <v>0.00610747788612642</v>
      </c>
    </row>
    <row r="113" customFormat="false" ht="12.8" hidden="false" customHeight="false" outlineLevel="0" collapsed="false">
      <c r="A113" s="0" t="s">
        <v>206</v>
      </c>
      <c r="B113" s="0" t="s">
        <v>122</v>
      </c>
      <c r="C113" s="0" t="s">
        <v>26</v>
      </c>
      <c r="D113" s="0" t="s">
        <v>16</v>
      </c>
      <c r="E113" s="0" t="n">
        <v>27140.68</v>
      </c>
      <c r="F113" s="0" t="n">
        <v>310</v>
      </c>
      <c r="G113" s="0" t="str">
        <f aca="false">IF(F113&lt;=30,"Current",IF(F113&lt;=60,"31 to 60 days",IF(F113&lt;=90,"61 to 90 days",IF(F113&lt;=120,"91 to 120 days","Over 120 days"))))</f>
        <v>Over 120 days</v>
      </c>
      <c r="H113" s="0" t="n">
        <f aca="false">VLOOKUP(D113,Rates!$A$4:$B$7,2,FALSE())</f>
        <v>0.085</v>
      </c>
      <c r="I113" s="0" t="n">
        <f aca="false">VLOOKUP(F113,Rates!$D$4:$E$8,2)</f>
        <v>0.85</v>
      </c>
      <c r="J113" s="0" t="n">
        <f aca="false">ROUND(E113*I113,2)</f>
        <v>23069.58</v>
      </c>
      <c r="K113" s="1" t="n">
        <f aca="false">PV(H113/12,F113/30,0,-E113)</f>
        <v>25231.6025321194</v>
      </c>
      <c r="L113" s="0" t="n">
        <f aca="false">ROUND(E113-K113,2)</f>
        <v>1909.08</v>
      </c>
      <c r="M113" s="0" t="n">
        <f aca="false">F113/E113</f>
        <v>0.0114219687937075</v>
      </c>
    </row>
    <row r="114" customFormat="false" ht="12.8" hidden="false" customHeight="false" outlineLevel="0" collapsed="false">
      <c r="A114" s="0" t="s">
        <v>207</v>
      </c>
      <c r="B114" s="0" t="s">
        <v>208</v>
      </c>
      <c r="C114" s="0" t="s">
        <v>15</v>
      </c>
      <c r="D114" s="0" t="s">
        <v>49</v>
      </c>
      <c r="E114" s="0" t="n">
        <v>2232.44</v>
      </c>
      <c r="F114" s="0" t="n">
        <v>149</v>
      </c>
      <c r="G114" s="0" t="str">
        <f aca="false">IF(F114&lt;=30,"Current",IF(F114&lt;=60,"31 to 60 days",IF(F114&lt;=90,"61 to 90 days",IF(F114&lt;=120,"91 to 120 days","Over 120 days"))))</f>
        <v>Over 120 days</v>
      </c>
      <c r="H114" s="0" t="n">
        <f aca="false">VLOOKUP(D114,Rates!$A$4:$B$7,2,FALSE())</f>
        <v>0.02</v>
      </c>
      <c r="I114" s="0" t="n">
        <f aca="false">VLOOKUP(F114,Rates!$D$4:$E$8,2)</f>
        <v>0.85</v>
      </c>
      <c r="J114" s="0" t="n">
        <f aca="false">ROUND(E114*I114,2)</f>
        <v>1897.57</v>
      </c>
      <c r="K114" s="1" t="n">
        <f aca="false">PV(H114/12,F114/30,0,-E114)</f>
        <v>2214.05188821392</v>
      </c>
      <c r="L114" s="0" t="n">
        <f aca="false">ROUND(E114-K114,2)</f>
        <v>18.39</v>
      </c>
      <c r="M114" s="0" t="n">
        <f aca="false">F114/E114</f>
        <v>0.0667431151565104</v>
      </c>
    </row>
    <row r="115" customFormat="false" ht="12.8" hidden="false" customHeight="false" outlineLevel="0" collapsed="false">
      <c r="A115" s="0" t="s">
        <v>209</v>
      </c>
      <c r="B115" s="0" t="s">
        <v>210</v>
      </c>
      <c r="C115" s="0" t="s">
        <v>15</v>
      </c>
      <c r="D115" s="0" t="s">
        <v>49</v>
      </c>
      <c r="E115" s="0" t="n">
        <v>33354.32</v>
      </c>
      <c r="F115" s="0" t="n">
        <v>280</v>
      </c>
      <c r="G115" s="0" t="str">
        <f aca="false">IF(F115&lt;=30,"Current",IF(F115&lt;=60,"31 to 60 days",IF(F115&lt;=90,"61 to 90 days",IF(F115&lt;=120,"91 to 120 days","Over 120 days"))))</f>
        <v>Over 120 days</v>
      </c>
      <c r="H115" s="0" t="n">
        <f aca="false">VLOOKUP(D115,Rates!$A$4:$B$7,2,FALSE())</f>
        <v>0.02</v>
      </c>
      <c r="I115" s="0" t="n">
        <f aca="false">VLOOKUP(F115,Rates!$D$4:$E$8,2)</f>
        <v>0.85</v>
      </c>
      <c r="J115" s="0" t="n">
        <f aca="false">ROUND(E115*I115,2)</f>
        <v>28351.17</v>
      </c>
      <c r="K115" s="1" t="n">
        <f aca="false">PV(H115/12,F115/30,0,-E115)</f>
        <v>32839.9148671039</v>
      </c>
      <c r="L115" s="0" t="n">
        <f aca="false">ROUND(E115-K115,2)</f>
        <v>514.41</v>
      </c>
      <c r="M115" s="0" t="n">
        <f aca="false">F115/E115</f>
        <v>0.00839471468763267</v>
      </c>
    </row>
    <row r="116" customFormat="false" ht="12.8" hidden="false" customHeight="false" outlineLevel="0" collapsed="false">
      <c r="A116" s="0" t="s">
        <v>211</v>
      </c>
      <c r="B116" s="0" t="s">
        <v>212</v>
      </c>
      <c r="C116" s="0" t="s">
        <v>36</v>
      </c>
      <c r="D116" s="0" t="s">
        <v>16</v>
      </c>
      <c r="E116" s="0" t="n">
        <v>608.18</v>
      </c>
      <c r="F116" s="0" t="n">
        <v>180</v>
      </c>
      <c r="G116" s="0" t="str">
        <f aca="false">IF(F116&lt;=30,"Current",IF(F116&lt;=60,"31 to 60 days",IF(F116&lt;=90,"61 to 90 days",IF(F116&lt;=120,"91 to 120 days","Over 120 days"))))</f>
        <v>Over 120 days</v>
      </c>
      <c r="H116" s="0" t="n">
        <f aca="false">VLOOKUP(D116,Rates!$A$4:$B$7,2,FALSE())</f>
        <v>0.085</v>
      </c>
      <c r="I116" s="0" t="n">
        <f aca="false">VLOOKUP(F116,Rates!$D$4:$E$8,2)</f>
        <v>0.85</v>
      </c>
      <c r="J116" s="0" t="n">
        <f aca="false">ROUND(E116*I116,2)</f>
        <v>516.95</v>
      </c>
      <c r="K116" s="1" t="n">
        <f aca="false">PV(H116/12,F116/30,0,-E116)</f>
        <v>582.961242415068</v>
      </c>
      <c r="L116" s="0" t="n">
        <f aca="false">ROUND(E116-K116,2)</f>
        <v>25.22</v>
      </c>
      <c r="M116" s="0" t="n">
        <f aca="false">F116/E116</f>
        <v>0.295965010358775</v>
      </c>
    </row>
    <row r="117" customFormat="false" ht="12.8" hidden="false" customHeight="false" outlineLevel="0" collapsed="false">
      <c r="A117" s="0" t="s">
        <v>213</v>
      </c>
      <c r="B117" s="0" t="s">
        <v>28</v>
      </c>
      <c r="C117" s="0" t="s">
        <v>15</v>
      </c>
      <c r="D117" s="0" t="s">
        <v>20</v>
      </c>
      <c r="E117" s="0" t="n">
        <v>1343.83</v>
      </c>
      <c r="F117" s="0" t="n">
        <v>157</v>
      </c>
      <c r="G117" s="0" t="str">
        <f aca="false">IF(F117&lt;=30,"Current",IF(F117&lt;=60,"31 to 60 days",IF(F117&lt;=90,"61 to 90 days",IF(F117&lt;=120,"91 to 120 days","Over 120 days"))))</f>
        <v>Over 120 days</v>
      </c>
      <c r="H117" s="0" t="n">
        <f aca="false">VLOOKUP(D117,Rates!$A$4:$B$7,2,FALSE())</f>
        <v>0.05</v>
      </c>
      <c r="I117" s="0" t="n">
        <f aca="false">VLOOKUP(F117,Rates!$D$4:$E$8,2)</f>
        <v>0.85</v>
      </c>
      <c r="J117" s="0" t="n">
        <f aca="false">ROUND(E117*I117,2)</f>
        <v>1142.26</v>
      </c>
      <c r="K117" s="1" t="n">
        <f aca="false">PV(H117/12,F117/30,0,-E117)</f>
        <v>1314.90378137296</v>
      </c>
      <c r="L117" s="0" t="n">
        <f aca="false">ROUND(E117-K117,2)</f>
        <v>28.93</v>
      </c>
      <c r="M117" s="0" t="n">
        <f aca="false">F117/E117</f>
        <v>0.116830253826749</v>
      </c>
    </row>
    <row r="118" customFormat="false" ht="12.8" hidden="false" customHeight="false" outlineLevel="0" collapsed="false">
      <c r="A118" s="0" t="s">
        <v>214</v>
      </c>
      <c r="B118" s="0" t="s">
        <v>33</v>
      </c>
      <c r="C118" s="0" t="s">
        <v>26</v>
      </c>
      <c r="D118" s="0" t="s">
        <v>20</v>
      </c>
      <c r="E118" s="0" t="n">
        <v>36184.4</v>
      </c>
      <c r="F118" s="0" t="n">
        <v>311</v>
      </c>
      <c r="G118" s="0" t="str">
        <f aca="false">IF(F118&lt;=30,"Current",IF(F118&lt;=60,"31 to 60 days",IF(F118&lt;=90,"61 to 90 days",IF(F118&lt;=120,"91 to 120 days","Over 120 days"))))</f>
        <v>Over 120 days</v>
      </c>
      <c r="H118" s="0" t="n">
        <f aca="false">VLOOKUP(D118,Rates!$A$4:$B$7,2,FALSE())</f>
        <v>0.05</v>
      </c>
      <c r="I118" s="0" t="n">
        <f aca="false">VLOOKUP(F118,Rates!$D$4:$E$8,2)</f>
        <v>0.85</v>
      </c>
      <c r="J118" s="0" t="n">
        <f aca="false">ROUND(E118*I118,2)</f>
        <v>30756.74</v>
      </c>
      <c r="K118" s="1" t="n">
        <f aca="false">PV(H118/12,F118/30,0,-E118)</f>
        <v>34657.8198585242</v>
      </c>
      <c r="L118" s="0" t="n">
        <f aca="false">ROUND(E118-K118,2)</f>
        <v>1526.58</v>
      </c>
      <c r="M118" s="0" t="n">
        <f aca="false">F118/E118</f>
        <v>0.00859486408507534</v>
      </c>
    </row>
    <row r="119" customFormat="false" ht="12.8" hidden="false" customHeight="false" outlineLevel="0" collapsed="false">
      <c r="A119" s="0" t="s">
        <v>215</v>
      </c>
      <c r="B119" s="0" t="s">
        <v>216</v>
      </c>
      <c r="C119" s="0" t="s">
        <v>15</v>
      </c>
      <c r="D119" s="0" t="s">
        <v>23</v>
      </c>
      <c r="E119" s="0" t="n">
        <v>35532.48</v>
      </c>
      <c r="F119" s="0" t="n">
        <v>0</v>
      </c>
      <c r="G119" s="0" t="str">
        <f aca="false">IF(F119&lt;=30,"Current",IF(F119&lt;=60,"31 to 60 days",IF(F119&lt;=90,"61 to 90 days",IF(F119&lt;=120,"91 to 120 days","Over 120 days"))))</f>
        <v>Current</v>
      </c>
      <c r="H119" s="0" t="n">
        <f aca="false">VLOOKUP(D119,Rates!$A$4:$B$7,2,FALSE())</f>
        <v>0.115</v>
      </c>
      <c r="I119" s="0" t="n">
        <f aca="false">VLOOKUP(F119,Rates!$D$4:$E$8,2)</f>
        <v>0.02</v>
      </c>
      <c r="J119" s="0" t="n">
        <f aca="false">ROUND(E119*I119,2)</f>
        <v>710.65</v>
      </c>
      <c r="K119" s="1" t="n">
        <f aca="false">PV(H119/12,F119/30,0,-E119)</f>
        <v>35532.48</v>
      </c>
      <c r="L119" s="0" t="n">
        <f aca="false">ROUND(E119-K119,2)</f>
        <v>0</v>
      </c>
      <c r="M119" s="0" t="n">
        <f aca="false">F119/E119</f>
        <v>0</v>
      </c>
    </row>
    <row r="120" customFormat="false" ht="12.8" hidden="false" customHeight="false" outlineLevel="0" collapsed="false">
      <c r="A120" s="0" t="s">
        <v>217</v>
      </c>
      <c r="B120" s="0" t="s">
        <v>218</v>
      </c>
      <c r="C120" s="0" t="s">
        <v>42</v>
      </c>
      <c r="D120" s="0" t="s">
        <v>49</v>
      </c>
      <c r="E120" s="0" t="n">
        <v>28478.7</v>
      </c>
      <c r="F120" s="0" t="n">
        <v>267</v>
      </c>
      <c r="G120" s="0" t="str">
        <f aca="false">IF(F120&lt;=30,"Current",IF(F120&lt;=60,"31 to 60 days",IF(F120&lt;=90,"61 to 90 days",IF(F120&lt;=120,"91 to 120 days","Over 120 days"))))</f>
        <v>Over 120 days</v>
      </c>
      <c r="H120" s="0" t="n">
        <f aca="false">VLOOKUP(D120,Rates!$A$4:$B$7,2,FALSE())</f>
        <v>0.02</v>
      </c>
      <c r="I120" s="0" t="n">
        <f aca="false">VLOOKUP(F120,Rates!$D$4:$E$8,2)</f>
        <v>0.85</v>
      </c>
      <c r="J120" s="0" t="n">
        <f aca="false">ROUND(E120*I120,2)</f>
        <v>24206.9</v>
      </c>
      <c r="K120" s="1" t="n">
        <f aca="false">PV(H120/12,F120/30,0,-E120)</f>
        <v>28059.7300310044</v>
      </c>
      <c r="L120" s="0" t="n">
        <f aca="false">ROUND(E120-K120,2)</f>
        <v>418.97</v>
      </c>
      <c r="M120" s="0" t="n">
        <f aca="false">F120/E120</f>
        <v>0.00937542795141632</v>
      </c>
    </row>
    <row r="121" customFormat="false" ht="12.8" hidden="false" customHeight="false" outlineLevel="0" collapsed="false">
      <c r="A121" s="0" t="s">
        <v>219</v>
      </c>
      <c r="B121" s="0" t="s">
        <v>220</v>
      </c>
      <c r="C121" s="0" t="s">
        <v>15</v>
      </c>
      <c r="D121" s="0" t="s">
        <v>16</v>
      </c>
      <c r="E121" s="0" t="n">
        <v>22367.27</v>
      </c>
      <c r="F121" s="0" t="n">
        <v>355</v>
      </c>
      <c r="G121" s="0" t="str">
        <f aca="false">IF(F121&lt;=30,"Current",IF(F121&lt;=60,"31 to 60 days",IF(F121&lt;=90,"61 to 90 days",IF(F121&lt;=120,"91 to 120 days","Over 120 days"))))</f>
        <v>Over 120 days</v>
      </c>
      <c r="H121" s="0" t="n">
        <f aca="false">VLOOKUP(D121,Rates!$A$4:$B$7,2,FALSE())</f>
        <v>0.085</v>
      </c>
      <c r="I121" s="0" t="n">
        <f aca="false">VLOOKUP(F121,Rates!$D$4:$E$8,2)</f>
        <v>0.85</v>
      </c>
      <c r="J121" s="0" t="n">
        <f aca="false">ROUND(E121*I121,2)</f>
        <v>19012.18</v>
      </c>
      <c r="K121" s="1" t="n">
        <f aca="false">PV(H121/12,F121/30,0,-E121)</f>
        <v>20574.958946726</v>
      </c>
      <c r="L121" s="0" t="n">
        <f aca="false">ROUND(E121-K121,2)</f>
        <v>1792.31</v>
      </c>
      <c r="M121" s="0" t="n">
        <f aca="false">F121/E121</f>
        <v>0.0158714049591211</v>
      </c>
    </row>
    <row r="122" customFormat="false" ht="12.8" hidden="false" customHeight="false" outlineLevel="0" collapsed="false">
      <c r="A122" s="0" t="s">
        <v>221</v>
      </c>
      <c r="B122" s="0" t="s">
        <v>222</v>
      </c>
      <c r="C122" s="0" t="s">
        <v>26</v>
      </c>
      <c r="D122" s="0" t="s">
        <v>49</v>
      </c>
      <c r="E122" s="0" t="n">
        <v>32349.62</v>
      </c>
      <c r="F122" s="0" t="n">
        <v>54</v>
      </c>
      <c r="G122" s="0" t="str">
        <f aca="false">IF(F122&lt;=30,"Current",IF(F122&lt;=60,"31 to 60 days",IF(F122&lt;=90,"61 to 90 days",IF(F122&lt;=120,"91 to 120 days","Over 120 days"))))</f>
        <v>31 to 60 days</v>
      </c>
      <c r="H122" s="0" t="n">
        <f aca="false">VLOOKUP(D122,Rates!$A$4:$B$7,2,FALSE())</f>
        <v>0.02</v>
      </c>
      <c r="I122" s="0" t="n">
        <f aca="false">VLOOKUP(F122,Rates!$D$4:$E$8,2)</f>
        <v>0.1</v>
      </c>
      <c r="J122" s="0" t="n">
        <f aca="false">ROUND(E122*I122,2)</f>
        <v>3234.96</v>
      </c>
      <c r="K122" s="1" t="n">
        <f aca="false">PV(H122/12,F122/30,0,-E122)</f>
        <v>32252.7971102388</v>
      </c>
      <c r="L122" s="0" t="n">
        <f aca="false">ROUND(E122-K122,2)</f>
        <v>96.82</v>
      </c>
      <c r="M122" s="0" t="n">
        <f aca="false">F122/E122</f>
        <v>0.00166926226645012</v>
      </c>
    </row>
    <row r="123" customFormat="false" ht="12.8" hidden="false" customHeight="false" outlineLevel="0" collapsed="false">
      <c r="A123" s="0" t="s">
        <v>223</v>
      </c>
      <c r="B123" s="0" t="s">
        <v>224</v>
      </c>
      <c r="C123" s="0" t="s">
        <v>19</v>
      </c>
      <c r="D123" s="0" t="s">
        <v>49</v>
      </c>
      <c r="E123" s="0" t="n">
        <v>37608.35</v>
      </c>
      <c r="F123" s="0" t="n">
        <v>343</v>
      </c>
      <c r="G123" s="0" t="str">
        <f aca="false">IF(F123&lt;=30,"Current",IF(F123&lt;=60,"31 to 60 days",IF(F123&lt;=90,"61 to 90 days",IF(F123&lt;=120,"91 to 120 days","Over 120 days"))))</f>
        <v>Over 120 days</v>
      </c>
      <c r="H123" s="0" t="n">
        <f aca="false">VLOOKUP(D123,Rates!$A$4:$B$7,2,FALSE())</f>
        <v>0.02</v>
      </c>
      <c r="I123" s="0" t="n">
        <f aca="false">VLOOKUP(F123,Rates!$D$4:$E$8,2)</f>
        <v>0.85</v>
      </c>
      <c r="J123" s="0" t="n">
        <f aca="false">ROUND(E123*I123,2)</f>
        <v>31967.1</v>
      </c>
      <c r="K123" s="1" t="n">
        <f aca="false">PV(H123/12,F123/30,0,-E123)</f>
        <v>36899.0721838447</v>
      </c>
      <c r="L123" s="0" t="n">
        <f aca="false">ROUND(E123-K123,2)</f>
        <v>709.28</v>
      </c>
      <c r="M123" s="0" t="n">
        <f aca="false">F123/E123</f>
        <v>0.00912031503642143</v>
      </c>
    </row>
    <row r="124" customFormat="false" ht="12.8" hidden="false" customHeight="false" outlineLevel="0" collapsed="false">
      <c r="A124" s="0" t="s">
        <v>225</v>
      </c>
      <c r="B124" s="0" t="s">
        <v>226</v>
      </c>
      <c r="C124" s="0" t="s">
        <v>19</v>
      </c>
      <c r="D124" s="0" t="s">
        <v>49</v>
      </c>
      <c r="E124" s="0" t="n">
        <v>17393.38</v>
      </c>
      <c r="F124" s="0" t="n">
        <v>93</v>
      </c>
      <c r="G124" s="0" t="str">
        <f aca="false">IF(F124&lt;=30,"Current",IF(F124&lt;=60,"31 to 60 days",IF(F124&lt;=90,"61 to 90 days",IF(F124&lt;=120,"91 to 120 days","Over 120 days"))))</f>
        <v>91 to 120 days</v>
      </c>
      <c r="H124" s="0" t="n">
        <f aca="false">VLOOKUP(D124,Rates!$A$4:$B$7,2,FALSE())</f>
        <v>0.02</v>
      </c>
      <c r="I124" s="0" t="n">
        <f aca="false">VLOOKUP(F124,Rates!$D$4:$E$8,2)</f>
        <v>0.5</v>
      </c>
      <c r="J124" s="0" t="n">
        <f aca="false">ROUND(E124*I124,2)</f>
        <v>8696.69</v>
      </c>
      <c r="K124" s="1" t="n">
        <f aca="false">PV(H124/12,F124/30,0,-E124)</f>
        <v>17303.8203770603</v>
      </c>
      <c r="L124" s="0" t="n">
        <f aca="false">ROUND(E124-K124,2)</f>
        <v>89.56</v>
      </c>
      <c r="M124" s="0" t="n">
        <f aca="false">F124/E124</f>
        <v>0.00534686185203796</v>
      </c>
    </row>
    <row r="125" customFormat="false" ht="12.8" hidden="false" customHeight="false" outlineLevel="0" collapsed="false">
      <c r="A125" s="0" t="s">
        <v>227</v>
      </c>
      <c r="B125" s="0" t="s">
        <v>228</v>
      </c>
      <c r="C125" s="0" t="s">
        <v>36</v>
      </c>
      <c r="D125" s="0" t="s">
        <v>49</v>
      </c>
      <c r="E125" s="0" t="n">
        <v>5300.69</v>
      </c>
      <c r="F125" s="0" t="n">
        <v>87</v>
      </c>
      <c r="G125" s="0" t="str">
        <f aca="false">IF(F125&lt;=30,"Current",IF(F125&lt;=60,"31 to 60 days",IF(F125&lt;=90,"61 to 90 days",IF(F125&lt;=120,"91 to 120 days","Over 120 days"))))</f>
        <v>61 to 90 days</v>
      </c>
      <c r="H125" s="0" t="n">
        <f aca="false">VLOOKUP(D125,Rates!$A$4:$B$7,2,FALSE())</f>
        <v>0.02</v>
      </c>
      <c r="I125" s="0" t="n">
        <f aca="false">VLOOKUP(F125,Rates!$D$4:$E$8,2)</f>
        <v>0.25</v>
      </c>
      <c r="J125" s="0" t="n">
        <f aca="false">ROUND(E125*I125,2)</f>
        <v>1325.17</v>
      </c>
      <c r="K125" s="1" t="n">
        <f aca="false">PV(H125/12,F125/30,0,-E125)</f>
        <v>5275.15303722884</v>
      </c>
      <c r="L125" s="0" t="n">
        <f aca="false">ROUND(E125-K125,2)</f>
        <v>25.54</v>
      </c>
      <c r="M125" s="0" t="n">
        <f aca="false">F125/E125</f>
        <v>0.0164129575583556</v>
      </c>
    </row>
    <row r="126" customFormat="false" ht="12.8" hidden="false" customHeight="false" outlineLevel="0" collapsed="false">
      <c r="A126" s="0" t="s">
        <v>229</v>
      </c>
      <c r="B126" s="0" t="s">
        <v>138</v>
      </c>
      <c r="C126" s="0" t="s">
        <v>15</v>
      </c>
      <c r="D126" s="0" t="s">
        <v>23</v>
      </c>
      <c r="E126" s="0" t="n">
        <v>21940.52</v>
      </c>
      <c r="F126" s="0" t="n">
        <v>228</v>
      </c>
      <c r="G126" s="0" t="str">
        <f aca="false">IF(F126&lt;=30,"Current",IF(F126&lt;=60,"31 to 60 days",IF(F126&lt;=90,"61 to 90 days",IF(F126&lt;=120,"91 to 120 days","Over 120 days"))))</f>
        <v>Over 120 days</v>
      </c>
      <c r="H126" s="0" t="n">
        <f aca="false">VLOOKUP(D126,Rates!$A$4:$B$7,2,FALSE())</f>
        <v>0.115</v>
      </c>
      <c r="I126" s="0" t="n">
        <f aca="false">VLOOKUP(F126,Rates!$D$4:$E$8,2)</f>
        <v>0.85</v>
      </c>
      <c r="J126" s="0" t="n">
        <f aca="false">ROUND(E126*I126,2)</f>
        <v>18649.44</v>
      </c>
      <c r="K126" s="1" t="n">
        <f aca="false">PV(H126/12,F126/30,0,-E126)</f>
        <v>20406.4004974759</v>
      </c>
      <c r="L126" s="0" t="n">
        <f aca="false">ROUND(E126-K126,2)</f>
        <v>1534.12</v>
      </c>
      <c r="M126" s="0" t="n">
        <f aca="false">F126/E126</f>
        <v>0.0103917318276869</v>
      </c>
    </row>
    <row r="127" customFormat="false" ht="12.8" hidden="false" customHeight="false" outlineLevel="0" collapsed="false">
      <c r="A127" s="0" t="s">
        <v>230</v>
      </c>
      <c r="B127" s="0" t="s">
        <v>113</v>
      </c>
      <c r="C127" s="0" t="s">
        <v>26</v>
      </c>
      <c r="D127" s="0" t="s">
        <v>23</v>
      </c>
      <c r="E127" s="0" t="n">
        <v>18316.54</v>
      </c>
      <c r="F127" s="0" t="n">
        <v>181</v>
      </c>
      <c r="G127" s="0" t="str">
        <f aca="false">IF(F127&lt;=30,"Current",IF(F127&lt;=60,"31 to 60 days",IF(F127&lt;=90,"61 to 90 days",IF(F127&lt;=120,"91 to 120 days","Over 120 days"))))</f>
        <v>Over 120 days</v>
      </c>
      <c r="H127" s="0" t="n">
        <f aca="false">VLOOKUP(D127,Rates!$A$4:$B$7,2,FALSE())</f>
        <v>0.115</v>
      </c>
      <c r="I127" s="0" t="n">
        <f aca="false">VLOOKUP(F127,Rates!$D$4:$E$8,2)</f>
        <v>0.85</v>
      </c>
      <c r="J127" s="0" t="n">
        <f aca="false">ROUND(E127*I127,2)</f>
        <v>15569.06</v>
      </c>
      <c r="K127" s="1" t="n">
        <f aca="false">PV(H127/12,F127/30,0,-E127)</f>
        <v>17292.2828926727</v>
      </c>
      <c r="L127" s="0" t="n">
        <f aca="false">ROUND(E127-K127,2)</f>
        <v>1024.26</v>
      </c>
      <c r="M127" s="0" t="n">
        <f aca="false">F127/E127</f>
        <v>0.00988177898227504</v>
      </c>
    </row>
    <row r="128" customFormat="false" ht="12.8" hidden="false" customHeight="false" outlineLevel="0" collapsed="false">
      <c r="A128" s="0" t="s">
        <v>231</v>
      </c>
      <c r="B128" s="0" t="s">
        <v>131</v>
      </c>
      <c r="C128" s="0" t="s">
        <v>15</v>
      </c>
      <c r="D128" s="0" t="s">
        <v>16</v>
      </c>
      <c r="E128" s="0" t="n">
        <v>7688.81</v>
      </c>
      <c r="F128" s="0" t="n">
        <v>287</v>
      </c>
      <c r="G128" s="0" t="str">
        <f aca="false">IF(F128&lt;=30,"Current",IF(F128&lt;=60,"31 to 60 days",IF(F128&lt;=90,"61 to 90 days",IF(F128&lt;=120,"91 to 120 days","Over 120 days"))))</f>
        <v>Over 120 days</v>
      </c>
      <c r="H128" s="0" t="n">
        <f aca="false">VLOOKUP(D128,Rates!$A$4:$B$7,2,FALSE())</f>
        <v>0.085</v>
      </c>
      <c r="I128" s="0" t="n">
        <f aca="false">VLOOKUP(F128,Rates!$D$4:$E$8,2)</f>
        <v>0.85</v>
      </c>
      <c r="J128" s="0" t="n">
        <f aca="false">ROUND(E128*I128,2)</f>
        <v>6535.49</v>
      </c>
      <c r="K128" s="1" t="n">
        <f aca="false">PV(H128/12,F128/30,0,-E128)</f>
        <v>7186.76403682281</v>
      </c>
      <c r="L128" s="0" t="n">
        <f aca="false">ROUND(E128-K128,2)</f>
        <v>502.05</v>
      </c>
      <c r="M128" s="0" t="n">
        <f aca="false">F128/E128</f>
        <v>0.0373269725744296</v>
      </c>
    </row>
    <row r="129" customFormat="false" ht="12.8" hidden="false" customHeight="false" outlineLevel="0" collapsed="false">
      <c r="A129" s="0" t="s">
        <v>232</v>
      </c>
      <c r="B129" s="0" t="s">
        <v>97</v>
      </c>
      <c r="C129" s="0" t="s">
        <v>42</v>
      </c>
      <c r="D129" s="0" t="s">
        <v>20</v>
      </c>
      <c r="E129" s="0" t="n">
        <v>1356.14</v>
      </c>
      <c r="F129" s="0" t="n">
        <v>353</v>
      </c>
      <c r="G129" s="0" t="str">
        <f aca="false">IF(F129&lt;=30,"Current",IF(F129&lt;=60,"31 to 60 days",IF(F129&lt;=90,"61 to 90 days",IF(F129&lt;=120,"91 to 120 days","Over 120 days"))))</f>
        <v>Over 120 days</v>
      </c>
      <c r="H129" s="0" t="n">
        <f aca="false">VLOOKUP(D129,Rates!$A$4:$B$7,2,FALSE())</f>
        <v>0.05</v>
      </c>
      <c r="I129" s="0" t="n">
        <f aca="false">VLOOKUP(F129,Rates!$D$4:$E$8,2)</f>
        <v>0.85</v>
      </c>
      <c r="J129" s="0" t="n">
        <f aca="false">ROUND(E129*I129,2)</f>
        <v>1152.72</v>
      </c>
      <c r="K129" s="1" t="n">
        <f aca="false">PV(H129/12,F129/30,0,-E129)</f>
        <v>1291.38658035801</v>
      </c>
      <c r="L129" s="0" t="n">
        <f aca="false">ROUND(E129-K129,2)</f>
        <v>64.75</v>
      </c>
      <c r="M129" s="0" t="n">
        <f aca="false">F129/E129</f>
        <v>0.260297609391361</v>
      </c>
    </row>
    <row r="130" customFormat="false" ht="12.8" hidden="false" customHeight="false" outlineLevel="0" collapsed="false">
      <c r="A130" s="0" t="s">
        <v>233</v>
      </c>
      <c r="B130" s="0" t="s">
        <v>234</v>
      </c>
      <c r="C130" s="0" t="s">
        <v>42</v>
      </c>
      <c r="D130" s="0" t="s">
        <v>49</v>
      </c>
      <c r="E130" s="0" t="n">
        <v>31359.65</v>
      </c>
      <c r="F130" s="0" t="n">
        <v>356</v>
      </c>
      <c r="G130" s="0" t="str">
        <f aca="false">IF(F130&lt;=30,"Current",IF(F130&lt;=60,"31 to 60 days",IF(F130&lt;=90,"61 to 90 days",IF(F130&lt;=120,"91 to 120 days","Over 120 days"))))</f>
        <v>Over 120 days</v>
      </c>
      <c r="H130" s="0" t="n">
        <f aca="false">VLOOKUP(D130,Rates!$A$4:$B$7,2,FALSE())</f>
        <v>0.02</v>
      </c>
      <c r="I130" s="0" t="n">
        <f aca="false">VLOOKUP(F130,Rates!$D$4:$E$8,2)</f>
        <v>0.85</v>
      </c>
      <c r="J130" s="0" t="n">
        <f aca="false">ROUND(E130*I130,2)</f>
        <v>26655.7</v>
      </c>
      <c r="K130" s="1" t="n">
        <f aca="false">PV(H130/12,F130/30,0,-E130)</f>
        <v>30746.0250773407</v>
      </c>
      <c r="L130" s="0" t="n">
        <f aca="false">ROUND(E130-K130,2)</f>
        <v>613.62</v>
      </c>
      <c r="M130" s="0" t="n">
        <f aca="false">F130/E130</f>
        <v>0.0113521675146247</v>
      </c>
    </row>
    <row r="131" customFormat="false" ht="12.8" hidden="false" customHeight="false" outlineLevel="0" collapsed="false">
      <c r="A131" s="0" t="s">
        <v>235</v>
      </c>
      <c r="B131" s="0" t="s">
        <v>30</v>
      </c>
      <c r="C131" s="0" t="s">
        <v>31</v>
      </c>
      <c r="D131" s="0" t="s">
        <v>20</v>
      </c>
      <c r="E131" s="0" t="n">
        <v>3547.45</v>
      </c>
      <c r="F131" s="0" t="n">
        <v>354</v>
      </c>
      <c r="G131" s="0" t="str">
        <f aca="false">IF(F131&lt;=30,"Current",IF(F131&lt;=60,"31 to 60 days",IF(F131&lt;=90,"61 to 90 days",IF(F131&lt;=120,"91 to 120 days","Over 120 days"))))</f>
        <v>Over 120 days</v>
      </c>
      <c r="H131" s="0" t="n">
        <f aca="false">VLOOKUP(D131,Rates!$A$4:$B$7,2,FALSE())</f>
        <v>0.05</v>
      </c>
      <c r="I131" s="0" t="n">
        <f aca="false">VLOOKUP(F131,Rates!$D$4:$E$8,2)</f>
        <v>0.85</v>
      </c>
      <c r="J131" s="0" t="n">
        <f aca="false">ROUND(E131*I131,2)</f>
        <v>3015.33</v>
      </c>
      <c r="K131" s="1" t="n">
        <f aca="false">PV(H131/12,F131/30,0,-E131)</f>
        <v>3377.59701978907</v>
      </c>
      <c r="L131" s="0" t="n">
        <f aca="false">ROUND(E131-K131,2)</f>
        <v>169.85</v>
      </c>
      <c r="M131" s="0" t="n">
        <f aca="false">F131/E131</f>
        <v>0.0997899899928118</v>
      </c>
    </row>
    <row r="132" customFormat="false" ht="12.8" hidden="false" customHeight="false" outlineLevel="0" collapsed="false">
      <c r="A132" s="0" t="s">
        <v>236</v>
      </c>
      <c r="B132" s="0" t="s">
        <v>237</v>
      </c>
      <c r="C132" s="0" t="s">
        <v>31</v>
      </c>
      <c r="D132" s="0" t="s">
        <v>49</v>
      </c>
      <c r="E132" s="0" t="n">
        <v>906.09</v>
      </c>
      <c r="F132" s="0" t="n">
        <v>190</v>
      </c>
      <c r="G132" s="0" t="str">
        <f aca="false">IF(F132&lt;=30,"Current",IF(F132&lt;=60,"31 to 60 days",IF(F132&lt;=90,"61 to 90 days",IF(F132&lt;=120,"91 to 120 days","Over 120 days"))))</f>
        <v>Over 120 days</v>
      </c>
      <c r="H132" s="0" t="n">
        <f aca="false">VLOOKUP(D132,Rates!$A$4:$B$7,2,FALSE())</f>
        <v>0.02</v>
      </c>
      <c r="I132" s="0" t="n">
        <f aca="false">VLOOKUP(F132,Rates!$D$4:$E$8,2)</f>
        <v>0.85</v>
      </c>
      <c r="J132" s="0" t="n">
        <f aca="false">ROUND(E132*I132,2)</f>
        <v>770.18</v>
      </c>
      <c r="K132" s="1" t="n">
        <f aca="false">PV(H132/12,F132/30,0,-E132)</f>
        <v>896.583895519077</v>
      </c>
      <c r="L132" s="0" t="n">
        <f aca="false">ROUND(E132-K132,2)</f>
        <v>9.51</v>
      </c>
      <c r="M132" s="0" t="n">
        <f aca="false">F132/E132</f>
        <v>0.20969219393217</v>
      </c>
    </row>
    <row r="133" customFormat="false" ht="12.8" hidden="false" customHeight="false" outlineLevel="0" collapsed="false">
      <c r="A133" s="0" t="s">
        <v>238</v>
      </c>
      <c r="B133" s="0" t="s">
        <v>239</v>
      </c>
      <c r="C133" s="0" t="s">
        <v>42</v>
      </c>
      <c r="D133" s="0" t="s">
        <v>23</v>
      </c>
      <c r="E133" s="0" t="n">
        <v>32173.11</v>
      </c>
      <c r="F133" s="0" t="n">
        <v>186</v>
      </c>
      <c r="G133" s="0" t="str">
        <f aca="false">IF(F133&lt;=30,"Current",IF(F133&lt;=60,"31 to 60 days",IF(F133&lt;=90,"61 to 90 days",IF(F133&lt;=120,"91 to 120 days","Over 120 days"))))</f>
        <v>Over 120 days</v>
      </c>
      <c r="H133" s="0" t="n">
        <f aca="false">VLOOKUP(D133,Rates!$A$4:$B$7,2,FALSE())</f>
        <v>0.115</v>
      </c>
      <c r="I133" s="0" t="n">
        <f aca="false">VLOOKUP(F133,Rates!$D$4:$E$8,2)</f>
        <v>0.85</v>
      </c>
      <c r="J133" s="0" t="n">
        <f aca="false">ROUND(E133*I133,2)</f>
        <v>27347.14</v>
      </c>
      <c r="K133" s="1" t="n">
        <f aca="false">PV(H133/12,F133/30,0,-E133)</f>
        <v>30325.7517020495</v>
      </c>
      <c r="L133" s="0" t="n">
        <f aca="false">ROUND(E133-K133,2)</f>
        <v>1847.36</v>
      </c>
      <c r="M133" s="0" t="n">
        <f aca="false">F133/E133</f>
        <v>0.00578122537734151</v>
      </c>
    </row>
    <row r="134" customFormat="false" ht="12.8" hidden="false" customHeight="false" outlineLevel="0" collapsed="false">
      <c r="A134" s="0" t="s">
        <v>240</v>
      </c>
      <c r="B134" s="0" t="s">
        <v>28</v>
      </c>
      <c r="C134" s="0" t="s">
        <v>15</v>
      </c>
      <c r="D134" s="0" t="s">
        <v>20</v>
      </c>
      <c r="E134" s="0" t="n">
        <v>25637.13</v>
      </c>
      <c r="F134" s="0" t="n">
        <v>228</v>
      </c>
      <c r="G134" s="0" t="str">
        <f aca="false">IF(F134&lt;=30,"Current",IF(F134&lt;=60,"31 to 60 days",IF(F134&lt;=90,"61 to 90 days",IF(F134&lt;=120,"91 to 120 days","Over 120 days"))))</f>
        <v>Over 120 days</v>
      </c>
      <c r="H134" s="0" t="n">
        <f aca="false">VLOOKUP(D134,Rates!$A$4:$B$7,2,FALSE())</f>
        <v>0.05</v>
      </c>
      <c r="I134" s="0" t="n">
        <f aca="false">VLOOKUP(F134,Rates!$D$4:$E$8,2)</f>
        <v>0.85</v>
      </c>
      <c r="J134" s="0" t="n">
        <f aca="false">ROUND(E134*I134,2)</f>
        <v>21791.56</v>
      </c>
      <c r="K134" s="1" t="n">
        <f aca="false">PV(H134/12,F134/30,0,-E134)</f>
        <v>24839.6412413233</v>
      </c>
      <c r="L134" s="0" t="n">
        <f aca="false">ROUND(E134-K134,2)</f>
        <v>797.49</v>
      </c>
      <c r="M134" s="0" t="n">
        <f aca="false">F134/E134</f>
        <v>0.00889335116684278</v>
      </c>
    </row>
    <row r="135" customFormat="false" ht="12.8" hidden="false" customHeight="false" outlineLevel="0" collapsed="false">
      <c r="A135" s="0" t="s">
        <v>241</v>
      </c>
      <c r="B135" s="0" t="s">
        <v>242</v>
      </c>
      <c r="C135" s="0" t="s">
        <v>36</v>
      </c>
      <c r="D135" s="0" t="s">
        <v>23</v>
      </c>
      <c r="E135" s="0" t="n">
        <v>37185.32</v>
      </c>
      <c r="F135" s="0" t="n">
        <v>152</v>
      </c>
      <c r="G135" s="0" t="str">
        <f aca="false">IF(F135&lt;=30,"Current",IF(F135&lt;=60,"31 to 60 days",IF(F135&lt;=90,"61 to 90 days",IF(F135&lt;=120,"91 to 120 days","Over 120 days"))))</f>
        <v>Over 120 days</v>
      </c>
      <c r="H135" s="0" t="n">
        <f aca="false">VLOOKUP(D135,Rates!$A$4:$B$7,2,FALSE())</f>
        <v>0.115</v>
      </c>
      <c r="I135" s="0" t="n">
        <f aca="false">VLOOKUP(F135,Rates!$D$4:$E$8,2)</f>
        <v>0.85</v>
      </c>
      <c r="J135" s="0" t="n">
        <f aca="false">ROUND(E135*I135,2)</f>
        <v>31607.52</v>
      </c>
      <c r="K135" s="1" t="n">
        <f aca="false">PV(H135/12,F135/30,0,-E135)</f>
        <v>35431.0902507922</v>
      </c>
      <c r="L135" s="0" t="n">
        <f aca="false">ROUND(E135-K135,2)</f>
        <v>1754.23</v>
      </c>
      <c r="M135" s="0" t="n">
        <f aca="false">F135/E135</f>
        <v>0.0040876345826794</v>
      </c>
    </row>
    <row r="136" customFormat="false" ht="12.8" hidden="false" customHeight="false" outlineLevel="0" collapsed="false">
      <c r="A136" s="0" t="s">
        <v>243</v>
      </c>
      <c r="B136" s="0" t="s">
        <v>33</v>
      </c>
      <c r="C136" s="0" t="s">
        <v>26</v>
      </c>
      <c r="D136" s="0" t="s">
        <v>20</v>
      </c>
      <c r="E136" s="0" t="n">
        <v>31867.86</v>
      </c>
      <c r="F136" s="0" t="n">
        <v>26</v>
      </c>
      <c r="G136" s="0" t="str">
        <f aca="false">IF(F136&lt;=30,"Current",IF(F136&lt;=60,"31 to 60 days",IF(F136&lt;=90,"61 to 90 days",IF(F136&lt;=120,"91 to 120 days","Over 120 days"))))</f>
        <v>Current</v>
      </c>
      <c r="H136" s="0" t="n">
        <f aca="false">VLOOKUP(D136,Rates!$A$4:$B$7,2,FALSE())</f>
        <v>0.05</v>
      </c>
      <c r="I136" s="0" t="n">
        <f aca="false">VLOOKUP(F136,Rates!$D$4:$E$8,2)</f>
        <v>0.02</v>
      </c>
      <c r="J136" s="0" t="n">
        <f aca="false">ROUND(E136*I136,2)</f>
        <v>637.36</v>
      </c>
      <c r="K136" s="1" t="n">
        <f aca="false">PV(H136/12,F136/30,0,-E136)</f>
        <v>31753.2273690401</v>
      </c>
      <c r="L136" s="0" t="n">
        <f aca="false">ROUND(E136-K136,2)</f>
        <v>114.63</v>
      </c>
      <c r="M136" s="0" t="n">
        <f aca="false">F136/E136</f>
        <v>0.000815869029172339</v>
      </c>
    </row>
    <row r="137" customFormat="false" ht="12.8" hidden="false" customHeight="false" outlineLevel="0" collapsed="false">
      <c r="A137" s="0" t="s">
        <v>244</v>
      </c>
      <c r="B137" s="0" t="s">
        <v>245</v>
      </c>
      <c r="C137" s="0" t="s">
        <v>19</v>
      </c>
      <c r="D137" s="0" t="s">
        <v>16</v>
      </c>
      <c r="E137" s="0" t="n">
        <v>4691.85</v>
      </c>
      <c r="F137" s="0" t="n">
        <v>128</v>
      </c>
      <c r="G137" s="0" t="str">
        <f aca="false">IF(F137&lt;=30,"Current",IF(F137&lt;=60,"31 to 60 days",IF(F137&lt;=90,"61 to 90 days",IF(F137&lt;=120,"91 to 120 days","Over 120 days"))))</f>
        <v>Over 120 days</v>
      </c>
      <c r="H137" s="0" t="n">
        <f aca="false">VLOOKUP(D137,Rates!$A$4:$B$7,2,FALSE())</f>
        <v>0.085</v>
      </c>
      <c r="I137" s="0" t="n">
        <f aca="false">VLOOKUP(F137,Rates!$D$4:$E$8,2)</f>
        <v>0.85</v>
      </c>
      <c r="J137" s="0" t="n">
        <f aca="false">ROUND(E137*I137,2)</f>
        <v>3988.07</v>
      </c>
      <c r="K137" s="1" t="n">
        <f aca="false">PV(H137/12,F137/30,0,-E137)</f>
        <v>4552.65815834239</v>
      </c>
      <c r="L137" s="0" t="n">
        <f aca="false">ROUND(E137-K137,2)</f>
        <v>139.19</v>
      </c>
      <c r="M137" s="0" t="n">
        <f aca="false">F137/E137</f>
        <v>0.0272813495742618</v>
      </c>
    </row>
    <row r="138" customFormat="false" ht="12.8" hidden="false" customHeight="false" outlineLevel="0" collapsed="false">
      <c r="A138" s="0" t="s">
        <v>246</v>
      </c>
      <c r="B138" s="0" t="s">
        <v>247</v>
      </c>
      <c r="C138" s="0" t="s">
        <v>26</v>
      </c>
      <c r="D138" s="0" t="s">
        <v>23</v>
      </c>
      <c r="E138" s="0" t="n">
        <v>6516.55</v>
      </c>
      <c r="F138" s="0" t="n">
        <v>239</v>
      </c>
      <c r="G138" s="0" t="str">
        <f aca="false">IF(F138&lt;=30,"Current",IF(F138&lt;=60,"31 to 60 days",IF(F138&lt;=90,"61 to 90 days",IF(F138&lt;=120,"91 to 120 days","Over 120 days"))))</f>
        <v>Over 120 days</v>
      </c>
      <c r="H138" s="0" t="n">
        <f aca="false">VLOOKUP(D138,Rates!$A$4:$B$7,2,FALSE())</f>
        <v>0.115</v>
      </c>
      <c r="I138" s="0" t="n">
        <f aca="false">VLOOKUP(F138,Rates!$D$4:$E$8,2)</f>
        <v>0.85</v>
      </c>
      <c r="J138" s="0" t="n">
        <f aca="false">ROUND(E138*I138,2)</f>
        <v>5539.07</v>
      </c>
      <c r="K138" s="1" t="n">
        <f aca="false">PV(H138/12,F138/30,0,-E138)</f>
        <v>6039.74252319792</v>
      </c>
      <c r="L138" s="0" t="n">
        <f aca="false">ROUND(E138-K138,2)</f>
        <v>476.81</v>
      </c>
      <c r="M138" s="0" t="n">
        <f aca="false">F138/E138</f>
        <v>0.0366758484167236</v>
      </c>
    </row>
    <row r="139" customFormat="false" ht="12.8" hidden="false" customHeight="false" outlineLevel="0" collapsed="false">
      <c r="A139" s="0" t="s">
        <v>248</v>
      </c>
      <c r="B139" s="0" t="s">
        <v>249</v>
      </c>
      <c r="C139" s="0" t="s">
        <v>15</v>
      </c>
      <c r="D139" s="0" t="s">
        <v>49</v>
      </c>
      <c r="E139" s="0" t="n">
        <v>1715.78</v>
      </c>
      <c r="F139" s="0" t="n">
        <v>180</v>
      </c>
      <c r="G139" s="0" t="str">
        <f aca="false">IF(F139&lt;=30,"Current",IF(F139&lt;=60,"31 to 60 days",IF(F139&lt;=90,"61 to 90 days",IF(F139&lt;=120,"91 to 120 days","Over 120 days"))))</f>
        <v>Over 120 days</v>
      </c>
      <c r="H139" s="0" t="n">
        <f aca="false">VLOOKUP(D139,Rates!$A$4:$B$7,2,FALSE())</f>
        <v>0.02</v>
      </c>
      <c r="I139" s="0" t="n">
        <f aca="false">VLOOKUP(F139,Rates!$D$4:$E$8,2)</f>
        <v>0.85</v>
      </c>
      <c r="J139" s="0" t="n">
        <f aca="false">ROUND(E139*I139,2)</f>
        <v>1458.41</v>
      </c>
      <c r="K139" s="1" t="n">
        <f aca="false">PV(H139/12,F139/30,0,-E139)</f>
        <v>1698.72184399739</v>
      </c>
      <c r="L139" s="0" t="n">
        <f aca="false">ROUND(E139-K139,2)</f>
        <v>17.06</v>
      </c>
      <c r="M139" s="0" t="n">
        <f aca="false">F139/E139</f>
        <v>0.104908554709811</v>
      </c>
    </row>
    <row r="140" customFormat="false" ht="12.8" hidden="false" customHeight="false" outlineLevel="0" collapsed="false">
      <c r="A140" s="0" t="s">
        <v>250</v>
      </c>
      <c r="B140" s="0" t="s">
        <v>251</v>
      </c>
      <c r="C140" s="0" t="s">
        <v>19</v>
      </c>
      <c r="D140" s="0" t="s">
        <v>16</v>
      </c>
      <c r="E140" s="0" t="n">
        <v>4014.41</v>
      </c>
      <c r="F140" s="0" t="n">
        <v>65</v>
      </c>
      <c r="G140" s="0" t="str">
        <f aca="false">IF(F140&lt;=30,"Current",IF(F140&lt;=60,"31 to 60 days",IF(F140&lt;=90,"61 to 90 days",IF(F140&lt;=120,"91 to 120 days","Over 120 days"))))</f>
        <v>61 to 90 days</v>
      </c>
      <c r="H140" s="0" t="n">
        <f aca="false">VLOOKUP(D140,Rates!$A$4:$B$7,2,FALSE())</f>
        <v>0.085</v>
      </c>
      <c r="I140" s="0" t="n">
        <f aca="false">VLOOKUP(F140,Rates!$D$4:$E$8,2)</f>
        <v>0.25</v>
      </c>
      <c r="J140" s="0" t="n">
        <f aca="false">ROUND(E140*I140,2)</f>
        <v>1003.6</v>
      </c>
      <c r="K140" s="1" t="n">
        <f aca="false">PV(H140/12,F140/30,0,-E140)</f>
        <v>3953.48419525995</v>
      </c>
      <c r="L140" s="0" t="n">
        <f aca="false">ROUND(E140-K140,2)</f>
        <v>60.93</v>
      </c>
      <c r="M140" s="0" t="n">
        <f aca="false">F140/E140</f>
        <v>0.0161916695105881</v>
      </c>
    </row>
    <row r="141" customFormat="false" ht="12.8" hidden="false" customHeight="false" outlineLevel="0" collapsed="false">
      <c r="A141" s="0" t="s">
        <v>252</v>
      </c>
      <c r="B141" s="0" t="s">
        <v>253</v>
      </c>
      <c r="C141" s="0" t="s">
        <v>19</v>
      </c>
      <c r="D141" s="0" t="s">
        <v>16</v>
      </c>
      <c r="E141" s="0" t="n">
        <v>7198.35</v>
      </c>
      <c r="F141" s="0" t="n">
        <v>167</v>
      </c>
      <c r="G141" s="0" t="str">
        <f aca="false">IF(F141&lt;=30,"Current",IF(F141&lt;=60,"31 to 60 days",IF(F141&lt;=90,"61 to 90 days",IF(F141&lt;=120,"91 to 120 days","Over 120 days"))))</f>
        <v>Over 120 days</v>
      </c>
      <c r="H141" s="0" t="n">
        <f aca="false">VLOOKUP(D141,Rates!$A$4:$B$7,2,FALSE())</f>
        <v>0.085</v>
      </c>
      <c r="I141" s="0" t="n">
        <f aca="false">VLOOKUP(F141,Rates!$D$4:$E$8,2)</f>
        <v>0.85</v>
      </c>
      <c r="J141" s="0" t="n">
        <f aca="false">ROUND(E141*I141,2)</f>
        <v>6118.6</v>
      </c>
      <c r="K141" s="1" t="n">
        <f aca="false">PV(H141/12,F141/30,0,-E141)</f>
        <v>6921.00002482891</v>
      </c>
      <c r="L141" s="0" t="n">
        <f aca="false">ROUND(E141-K141,2)</f>
        <v>277.35</v>
      </c>
      <c r="M141" s="0" t="n">
        <f aca="false">F141/E141</f>
        <v>0.0231997610563532</v>
      </c>
    </row>
    <row r="142" customFormat="false" ht="12.8" hidden="false" customHeight="false" outlineLevel="0" collapsed="false">
      <c r="A142" s="0" t="s">
        <v>254</v>
      </c>
      <c r="B142" s="0" t="s">
        <v>255</v>
      </c>
      <c r="C142" s="0" t="s">
        <v>19</v>
      </c>
      <c r="D142" s="0" t="s">
        <v>49</v>
      </c>
      <c r="E142" s="0" t="n">
        <v>6015.58</v>
      </c>
      <c r="F142" s="0" t="n">
        <v>107</v>
      </c>
      <c r="G142" s="0" t="str">
        <f aca="false">IF(F142&lt;=30,"Current",IF(F142&lt;=60,"31 to 60 days",IF(F142&lt;=90,"61 to 90 days",IF(F142&lt;=120,"91 to 120 days","Over 120 days"))))</f>
        <v>91 to 120 days</v>
      </c>
      <c r="H142" s="0" t="n">
        <f aca="false">VLOOKUP(D142,Rates!$A$4:$B$7,2,FALSE())</f>
        <v>0.02</v>
      </c>
      <c r="I142" s="0" t="n">
        <f aca="false">VLOOKUP(F142,Rates!$D$4:$E$8,2)</f>
        <v>0.5</v>
      </c>
      <c r="J142" s="0" t="n">
        <f aca="false">ROUND(E142*I142,2)</f>
        <v>3007.79</v>
      </c>
      <c r="K142" s="1" t="n">
        <f aca="false">PV(H142/12,F142/30,0,-E142)</f>
        <v>5979.95638311623</v>
      </c>
      <c r="L142" s="0" t="n">
        <f aca="false">ROUND(E142-K142,2)</f>
        <v>35.62</v>
      </c>
      <c r="M142" s="0" t="n">
        <f aca="false">F142/E142</f>
        <v>0.0177871460441055</v>
      </c>
    </row>
    <row r="143" customFormat="false" ht="12.8" hidden="false" customHeight="false" outlineLevel="0" collapsed="false">
      <c r="A143" s="0" t="s">
        <v>256</v>
      </c>
      <c r="B143" s="0" t="s">
        <v>247</v>
      </c>
      <c r="C143" s="0" t="s">
        <v>26</v>
      </c>
      <c r="D143" s="0" t="s">
        <v>23</v>
      </c>
      <c r="E143" s="0" t="n">
        <v>0</v>
      </c>
      <c r="F143" s="0" t="n">
        <v>49</v>
      </c>
      <c r="G143" s="0" t="str">
        <f aca="false">IF(F143&lt;=30,"Current",IF(F143&lt;=60,"31 to 60 days",IF(F143&lt;=90,"61 to 90 days",IF(F143&lt;=120,"91 to 120 days","Over 120 days"))))</f>
        <v>31 to 60 days</v>
      </c>
      <c r="H143" s="0" t="n">
        <f aca="false">VLOOKUP(D143,Rates!$A$4:$B$7,2,FALSE())</f>
        <v>0.115</v>
      </c>
      <c r="I143" s="0" t="n">
        <f aca="false">VLOOKUP(F143,Rates!$D$4:$E$8,2)</f>
        <v>0.1</v>
      </c>
      <c r="J143" s="0" t="n">
        <f aca="false">ROUND(E143*I143,2)</f>
        <v>0</v>
      </c>
      <c r="K143" s="1" t="n">
        <f aca="false">PV(H143/12,F143/30,0,-E143)</f>
        <v>-0</v>
      </c>
      <c r="L143" s="0" t="n">
        <f aca="false">ROUND(E143-K143,2)</f>
        <v>0</v>
      </c>
      <c r="M143" s="0" t="e">
        <f aca="false">F143/E143</f>
        <v>#DIV/0!</v>
      </c>
    </row>
    <row r="144" customFormat="false" ht="12.8" hidden="false" customHeight="false" outlineLevel="0" collapsed="false">
      <c r="A144" s="0" t="s">
        <v>257</v>
      </c>
      <c r="B144" s="0" t="s">
        <v>258</v>
      </c>
      <c r="C144" s="0" t="s">
        <v>19</v>
      </c>
      <c r="D144" s="0" t="s">
        <v>49</v>
      </c>
      <c r="E144" s="0" t="n">
        <v>43998.38</v>
      </c>
      <c r="F144" s="0" t="n">
        <v>233</v>
      </c>
      <c r="G144" s="0" t="str">
        <f aca="false">IF(F144&lt;=30,"Current",IF(F144&lt;=60,"31 to 60 days",IF(F144&lt;=90,"61 to 90 days",IF(F144&lt;=120,"91 to 120 days","Over 120 days"))))</f>
        <v>Over 120 days</v>
      </c>
      <c r="H144" s="0" t="n">
        <f aca="false">VLOOKUP(D144,Rates!$A$4:$B$7,2,FALSE())</f>
        <v>0.02</v>
      </c>
      <c r="I144" s="0" t="n">
        <f aca="false">VLOOKUP(F144,Rates!$D$4:$E$8,2)</f>
        <v>0.85</v>
      </c>
      <c r="J144" s="0" t="n">
        <f aca="false">ROUND(E144*I144,2)</f>
        <v>37398.62</v>
      </c>
      <c r="K144" s="1" t="n">
        <f aca="false">PV(H144/12,F144/30,0,-E144)</f>
        <v>43432.9837058716</v>
      </c>
      <c r="L144" s="0" t="n">
        <f aca="false">ROUND(E144-K144,2)</f>
        <v>565.4</v>
      </c>
      <c r="M144" s="0" t="n">
        <f aca="false">F144/E144</f>
        <v>0.00529564952164148</v>
      </c>
    </row>
    <row r="145" customFormat="false" ht="12.8" hidden="false" customHeight="false" outlineLevel="0" collapsed="false">
      <c r="A145" s="0" t="s">
        <v>259</v>
      </c>
      <c r="B145" s="0" t="s">
        <v>33</v>
      </c>
      <c r="C145" s="0" t="s">
        <v>26</v>
      </c>
      <c r="D145" s="0" t="s">
        <v>20</v>
      </c>
      <c r="E145" s="0" t="n">
        <v>36956.56</v>
      </c>
      <c r="F145" s="0" t="n">
        <v>203</v>
      </c>
      <c r="G145" s="0" t="str">
        <f aca="false">IF(F145&lt;=30,"Current",IF(F145&lt;=60,"31 to 60 days",IF(F145&lt;=90,"61 to 90 days",IF(F145&lt;=120,"91 to 120 days","Over 120 days"))))</f>
        <v>Over 120 days</v>
      </c>
      <c r="H145" s="0" t="n">
        <f aca="false">VLOOKUP(D145,Rates!$A$4:$B$7,2,FALSE())</f>
        <v>0.05</v>
      </c>
      <c r="I145" s="0" t="n">
        <f aca="false">VLOOKUP(F145,Rates!$D$4:$E$8,2)</f>
        <v>0.85</v>
      </c>
      <c r="J145" s="0" t="n">
        <f aca="false">ROUND(E145*I145,2)</f>
        <v>31413.08</v>
      </c>
      <c r="K145" s="1" t="n">
        <f aca="false">PV(H145/12,F145/30,0,-E145)</f>
        <v>35931.2467585237</v>
      </c>
      <c r="L145" s="0" t="n">
        <f aca="false">ROUND(E145-K145,2)</f>
        <v>1025.31</v>
      </c>
      <c r="M145" s="0" t="n">
        <f aca="false">F145/E145</f>
        <v>0.00549293548966679</v>
      </c>
    </row>
    <row r="146" customFormat="false" ht="12.8" hidden="false" customHeight="false" outlineLevel="0" collapsed="false">
      <c r="A146" s="0" t="s">
        <v>260</v>
      </c>
      <c r="B146" s="0" t="s">
        <v>28</v>
      </c>
      <c r="C146" s="0" t="s">
        <v>15</v>
      </c>
      <c r="D146" s="0" t="s">
        <v>20</v>
      </c>
      <c r="E146" s="0" t="n">
        <v>20929.82</v>
      </c>
      <c r="F146" s="0" t="n">
        <v>45</v>
      </c>
      <c r="G146" s="0" t="str">
        <f aca="false">IF(F146&lt;=30,"Current",IF(F146&lt;=60,"31 to 60 days",IF(F146&lt;=90,"61 to 90 days",IF(F146&lt;=120,"91 to 120 days","Over 120 days"))))</f>
        <v>31 to 60 days</v>
      </c>
      <c r="H146" s="0" t="n">
        <f aca="false">VLOOKUP(D146,Rates!$A$4:$B$7,2,FALSE())</f>
        <v>0.05</v>
      </c>
      <c r="I146" s="0" t="n">
        <f aca="false">VLOOKUP(F146,Rates!$D$4:$E$8,2)</f>
        <v>0.1</v>
      </c>
      <c r="J146" s="0" t="n">
        <f aca="false">ROUND(E146*I146,2)</f>
        <v>2092.98</v>
      </c>
      <c r="K146" s="1" t="n">
        <f aca="false">PV(H146/12,F146/30,0,-E146)</f>
        <v>20799.6866377786</v>
      </c>
      <c r="L146" s="0" t="n">
        <f aca="false">ROUND(E146-K146,2)</f>
        <v>130.13</v>
      </c>
      <c r="M146" s="0" t="n">
        <f aca="false">F146/E146</f>
        <v>0.00215004237972424</v>
      </c>
    </row>
    <row r="147" customFormat="false" ht="12.8" hidden="false" customHeight="false" outlineLevel="0" collapsed="false">
      <c r="A147" s="0" t="s">
        <v>261</v>
      </c>
      <c r="B147" s="0" t="s">
        <v>145</v>
      </c>
      <c r="C147" s="0" t="s">
        <v>15</v>
      </c>
      <c r="D147" s="0" t="s">
        <v>16</v>
      </c>
      <c r="E147" s="0" t="n">
        <v>23191.88</v>
      </c>
      <c r="F147" s="0" t="n">
        <v>54</v>
      </c>
      <c r="G147" s="0" t="str">
        <f aca="false">IF(F147&lt;=30,"Current",IF(F147&lt;=60,"31 to 60 days",IF(F147&lt;=90,"61 to 90 days",IF(F147&lt;=120,"91 to 120 days","Over 120 days"))))</f>
        <v>31 to 60 days</v>
      </c>
      <c r="H147" s="0" t="n">
        <f aca="false">VLOOKUP(D147,Rates!$A$4:$B$7,2,FALSE())</f>
        <v>0.085</v>
      </c>
      <c r="I147" s="0" t="n">
        <f aca="false">VLOOKUP(F147,Rates!$D$4:$E$8,2)</f>
        <v>0.1</v>
      </c>
      <c r="J147" s="0" t="n">
        <f aca="false">ROUND(E147*I147,2)</f>
        <v>2319.19</v>
      </c>
      <c r="K147" s="1" t="n">
        <f aca="false">PV(H147/12,F147/30,0,-E147)</f>
        <v>22899.0897656785</v>
      </c>
      <c r="L147" s="0" t="n">
        <f aca="false">ROUND(E147-K147,2)</f>
        <v>292.79</v>
      </c>
      <c r="M147" s="0" t="n">
        <f aca="false">F147/E147</f>
        <v>0.00232840114729811</v>
      </c>
    </row>
    <row r="148" customFormat="false" ht="12.8" hidden="false" customHeight="false" outlineLevel="0" collapsed="false">
      <c r="A148" s="0" t="s">
        <v>262</v>
      </c>
      <c r="B148" s="0" t="s">
        <v>263</v>
      </c>
      <c r="C148" s="0" t="s">
        <v>31</v>
      </c>
      <c r="D148" s="0" t="s">
        <v>16</v>
      </c>
      <c r="E148" s="0" t="n">
        <v>38157.5</v>
      </c>
      <c r="F148" s="0" t="n">
        <v>285</v>
      </c>
      <c r="G148" s="0" t="str">
        <f aca="false">IF(F148&lt;=30,"Current",IF(F148&lt;=60,"31 to 60 days",IF(F148&lt;=90,"61 to 90 days",IF(F148&lt;=120,"91 to 120 days","Over 120 days"))))</f>
        <v>Over 120 days</v>
      </c>
      <c r="H148" s="0" t="n">
        <f aca="false">VLOOKUP(D148,Rates!$A$4:$B$7,2,FALSE())</f>
        <v>0.085</v>
      </c>
      <c r="I148" s="0" t="n">
        <f aca="false">VLOOKUP(F148,Rates!$D$4:$E$8,2)</f>
        <v>0.85</v>
      </c>
      <c r="J148" s="0" t="n">
        <f aca="false">ROUND(E148*I148,2)</f>
        <v>32433.88</v>
      </c>
      <c r="K148" s="1" t="n">
        <f aca="false">PV(H148/12,F148/30,0,-E148)</f>
        <v>35682.7675053766</v>
      </c>
      <c r="L148" s="0" t="n">
        <f aca="false">ROUND(E148-K148,2)</f>
        <v>2474.73</v>
      </c>
      <c r="M148" s="0" t="n">
        <f aca="false">F148/E148</f>
        <v>0.00746904278320121</v>
      </c>
    </row>
    <row r="149" customFormat="false" ht="12.8" hidden="false" customHeight="false" outlineLevel="0" collapsed="false">
      <c r="A149" s="0" t="s">
        <v>264</v>
      </c>
      <c r="B149" s="0" t="s">
        <v>30</v>
      </c>
      <c r="C149" s="0" t="s">
        <v>31</v>
      </c>
      <c r="D149" s="0" t="s">
        <v>20</v>
      </c>
      <c r="E149" s="0" t="n">
        <v>10280.47</v>
      </c>
      <c r="F149" s="0" t="n">
        <v>357</v>
      </c>
      <c r="G149" s="0" t="str">
        <f aca="false">IF(F149&lt;=30,"Current",IF(F149&lt;=60,"31 to 60 days",IF(F149&lt;=90,"61 to 90 days",IF(F149&lt;=120,"91 to 120 days","Over 120 days"))))</f>
        <v>Over 120 days</v>
      </c>
      <c r="H149" s="0" t="n">
        <f aca="false">VLOOKUP(D149,Rates!$A$4:$B$7,2,FALSE())</f>
        <v>0.05</v>
      </c>
      <c r="I149" s="0" t="n">
        <f aca="false">VLOOKUP(F149,Rates!$D$4:$E$8,2)</f>
        <v>0.85</v>
      </c>
      <c r="J149" s="0" t="n">
        <f aca="false">ROUND(E149*I149,2)</f>
        <v>8738.4</v>
      </c>
      <c r="K149" s="1" t="n">
        <f aca="false">PV(H149/12,F149/30,0,-E149)</f>
        <v>9784.16887009098</v>
      </c>
      <c r="L149" s="0" t="n">
        <f aca="false">ROUND(E149-K149,2)</f>
        <v>496.3</v>
      </c>
      <c r="M149" s="0" t="n">
        <f aca="false">F149/E149</f>
        <v>0.0347260387900553</v>
      </c>
    </row>
    <row r="150" customFormat="false" ht="12.8" hidden="false" customHeight="false" outlineLevel="0" collapsed="false">
      <c r="A150" s="0" t="s">
        <v>265</v>
      </c>
      <c r="B150" s="0" t="s">
        <v>28</v>
      </c>
      <c r="C150" s="0" t="s">
        <v>15</v>
      </c>
      <c r="D150" s="0" t="s">
        <v>20</v>
      </c>
      <c r="E150" s="0" t="n">
        <v>5535.16</v>
      </c>
      <c r="F150" s="0" t="n">
        <v>12</v>
      </c>
      <c r="G150" s="0" t="str">
        <f aca="false">IF(F150&lt;=30,"Current",IF(F150&lt;=60,"31 to 60 days",IF(F150&lt;=90,"61 to 90 days",IF(F150&lt;=120,"91 to 120 days","Over 120 days"))))</f>
        <v>Current</v>
      </c>
      <c r="H150" s="0" t="n">
        <f aca="false">VLOOKUP(D150,Rates!$A$4:$B$7,2,FALSE())</f>
        <v>0.05</v>
      </c>
      <c r="I150" s="0" t="n">
        <f aca="false">VLOOKUP(F150,Rates!$D$4:$E$8,2)</f>
        <v>0.02</v>
      </c>
      <c r="J150" s="0" t="n">
        <f aca="false">ROUND(E150*I150,2)</f>
        <v>110.7</v>
      </c>
      <c r="K150" s="1" t="n">
        <f aca="false">PV(H150/12,F150/30,0,-E150)</f>
        <v>5525.96155098751</v>
      </c>
      <c r="L150" s="0" t="n">
        <f aca="false">ROUND(E150-K150,2)</f>
        <v>9.2</v>
      </c>
      <c r="M150" s="0" t="n">
        <f aca="false">F150/E150</f>
        <v>0.00216795901112163</v>
      </c>
    </row>
    <row r="151" customFormat="false" ht="12.8" hidden="false" customHeight="false" outlineLevel="0" collapsed="false">
      <c r="A151" s="0" t="s">
        <v>266</v>
      </c>
      <c r="B151" s="0" t="s">
        <v>267</v>
      </c>
      <c r="C151" s="0" t="s">
        <v>31</v>
      </c>
      <c r="D151" s="0" t="s">
        <v>16</v>
      </c>
      <c r="E151" s="0" t="n">
        <v>38625.11</v>
      </c>
      <c r="F151" s="0" t="n">
        <v>316</v>
      </c>
      <c r="G151" s="0" t="str">
        <f aca="false">IF(F151&lt;=30,"Current",IF(F151&lt;=60,"31 to 60 days",IF(F151&lt;=90,"61 to 90 days",IF(F151&lt;=120,"91 to 120 days","Over 120 days"))))</f>
        <v>Over 120 days</v>
      </c>
      <c r="H151" s="0" t="n">
        <f aca="false">VLOOKUP(D151,Rates!$A$4:$B$7,2,FALSE())</f>
        <v>0.085</v>
      </c>
      <c r="I151" s="0" t="n">
        <f aca="false">VLOOKUP(F151,Rates!$D$4:$E$8,2)</f>
        <v>0.85</v>
      </c>
      <c r="J151" s="0" t="n">
        <f aca="false">ROUND(E151*I151,2)</f>
        <v>32831.34</v>
      </c>
      <c r="K151" s="1" t="n">
        <f aca="false">PV(H151/12,F151/30,0,-E151)</f>
        <v>35857.5619709082</v>
      </c>
      <c r="L151" s="0" t="n">
        <f aca="false">ROUND(E151-K151,2)</f>
        <v>2767.55</v>
      </c>
      <c r="M151" s="0" t="n">
        <f aca="false">F151/E151</f>
        <v>0.00818120647423399</v>
      </c>
    </row>
    <row r="152" customFormat="false" ht="12.8" hidden="false" customHeight="false" outlineLevel="0" collapsed="false">
      <c r="A152" s="0" t="s">
        <v>268</v>
      </c>
      <c r="B152" s="0" t="s">
        <v>269</v>
      </c>
      <c r="C152" s="0" t="s">
        <v>42</v>
      </c>
      <c r="D152" s="0" t="s">
        <v>23</v>
      </c>
      <c r="E152" s="0" t="n">
        <v>41586.55</v>
      </c>
      <c r="F152" s="0" t="n">
        <v>298</v>
      </c>
      <c r="G152" s="0" t="str">
        <f aca="false">IF(F152&lt;=30,"Current",IF(F152&lt;=60,"31 to 60 days",IF(F152&lt;=90,"61 to 90 days",IF(F152&lt;=120,"91 to 120 days","Over 120 days"))))</f>
        <v>Over 120 days</v>
      </c>
      <c r="H152" s="0" t="n">
        <f aca="false">VLOOKUP(D152,Rates!$A$4:$B$7,2,FALSE())</f>
        <v>0.115</v>
      </c>
      <c r="I152" s="0" t="n">
        <f aca="false">VLOOKUP(F152,Rates!$D$4:$E$8,2)</f>
        <v>0.85</v>
      </c>
      <c r="J152" s="0" t="n">
        <f aca="false">ROUND(E152*I152,2)</f>
        <v>35348.57</v>
      </c>
      <c r="K152" s="1" t="n">
        <f aca="false">PV(H152/12,F152/30,0,-E152)</f>
        <v>37827.4715725728</v>
      </c>
      <c r="L152" s="0" t="n">
        <f aca="false">ROUND(E152-K152,2)</f>
        <v>3759.08</v>
      </c>
      <c r="M152" s="0" t="n">
        <f aca="false">F152/E152</f>
        <v>0.00716577835862797</v>
      </c>
    </row>
    <row r="153" customFormat="false" ht="12.8" hidden="false" customHeight="false" outlineLevel="0" collapsed="false">
      <c r="A153" s="0" t="s">
        <v>270</v>
      </c>
      <c r="B153" s="0" t="s">
        <v>271</v>
      </c>
      <c r="C153" s="0" t="s">
        <v>36</v>
      </c>
      <c r="D153" s="0" t="s">
        <v>49</v>
      </c>
      <c r="E153" s="0" t="n">
        <v>23670.86</v>
      </c>
      <c r="F153" s="0" t="n">
        <v>55</v>
      </c>
      <c r="G153" s="0" t="str">
        <f aca="false">IF(F153&lt;=30,"Current",IF(F153&lt;=60,"31 to 60 days",IF(F153&lt;=90,"61 to 90 days",IF(F153&lt;=120,"91 to 120 days","Over 120 days"))))</f>
        <v>31 to 60 days</v>
      </c>
      <c r="H153" s="0" t="n">
        <f aca="false">VLOOKUP(D153,Rates!$A$4:$B$7,2,FALSE())</f>
        <v>0.02</v>
      </c>
      <c r="I153" s="0" t="n">
        <f aca="false">VLOOKUP(F153,Rates!$D$4:$E$8,2)</f>
        <v>0.1</v>
      </c>
      <c r="J153" s="0" t="n">
        <f aca="false">ROUND(E153*I153,2)</f>
        <v>2367.09</v>
      </c>
      <c r="K153" s="1" t="n">
        <f aca="false">PV(H153/12,F153/30,0,-E153)</f>
        <v>23598.7027828344</v>
      </c>
      <c r="L153" s="0" t="n">
        <f aca="false">ROUND(E153-K153,2)</f>
        <v>72.16</v>
      </c>
      <c r="M153" s="0" t="n">
        <f aca="false">F153/E153</f>
        <v>0.00232353197137747</v>
      </c>
    </row>
    <row r="154" customFormat="false" ht="12.8" hidden="false" customHeight="false" outlineLevel="0" collapsed="false">
      <c r="A154" s="0" t="s">
        <v>272</v>
      </c>
      <c r="B154" s="0" t="s">
        <v>28</v>
      </c>
      <c r="C154" s="0" t="s">
        <v>15</v>
      </c>
      <c r="D154" s="0" t="s">
        <v>20</v>
      </c>
      <c r="E154" s="0" t="n">
        <v>4492.63</v>
      </c>
      <c r="F154" s="0" t="n">
        <v>259</v>
      </c>
      <c r="G154" s="0" t="str">
        <f aca="false">IF(F154&lt;=30,"Current",IF(F154&lt;=60,"31 to 60 days",IF(F154&lt;=90,"61 to 90 days",IF(F154&lt;=120,"91 to 120 days","Over 120 days"))))</f>
        <v>Over 120 days</v>
      </c>
      <c r="H154" s="0" t="n">
        <f aca="false">VLOOKUP(D154,Rates!$A$4:$B$7,2,FALSE())</f>
        <v>0.05</v>
      </c>
      <c r="I154" s="0" t="n">
        <f aca="false">VLOOKUP(F154,Rates!$D$4:$E$8,2)</f>
        <v>0.85</v>
      </c>
      <c r="J154" s="0" t="n">
        <f aca="false">ROUND(E154*I154,2)</f>
        <v>3818.74</v>
      </c>
      <c r="K154" s="1" t="n">
        <f aca="false">PV(H154/12,F154/30,0,-E154)</f>
        <v>4334.21620977116</v>
      </c>
      <c r="L154" s="0" t="n">
        <f aca="false">ROUND(E154-K154,2)</f>
        <v>158.41</v>
      </c>
      <c r="M154" s="0" t="n">
        <f aca="false">F154/E154</f>
        <v>0.057649973400881</v>
      </c>
    </row>
    <row r="155" customFormat="false" ht="12.8" hidden="false" customHeight="false" outlineLevel="0" collapsed="false">
      <c r="A155" s="0" t="s">
        <v>273</v>
      </c>
      <c r="B155" s="0" t="s">
        <v>194</v>
      </c>
      <c r="C155" s="0" t="s">
        <v>15</v>
      </c>
      <c r="D155" s="0" t="s">
        <v>23</v>
      </c>
      <c r="E155" s="0" t="n">
        <v>24983.5</v>
      </c>
      <c r="F155" s="0" t="n">
        <v>195</v>
      </c>
      <c r="G155" s="0" t="str">
        <f aca="false">IF(F155&lt;=30,"Current",IF(F155&lt;=60,"31 to 60 days",IF(F155&lt;=90,"61 to 90 days",IF(F155&lt;=120,"91 to 120 days","Over 120 days"))))</f>
        <v>Over 120 days</v>
      </c>
      <c r="H155" s="0" t="n">
        <f aca="false">VLOOKUP(D155,Rates!$A$4:$B$7,2,FALSE())</f>
        <v>0.115</v>
      </c>
      <c r="I155" s="0" t="n">
        <f aca="false">VLOOKUP(F155,Rates!$D$4:$E$8,2)</f>
        <v>0.85</v>
      </c>
      <c r="J155" s="0" t="n">
        <f aca="false">ROUND(E155*I155,2)</f>
        <v>21235.98</v>
      </c>
      <c r="K155" s="1" t="n">
        <f aca="false">PV(H155/12,F155/30,0,-E155)</f>
        <v>23481.679652314</v>
      </c>
      <c r="L155" s="0" t="n">
        <f aca="false">ROUND(E155-K155,2)</f>
        <v>1501.82</v>
      </c>
      <c r="M155" s="0" t="n">
        <f aca="false">F155/E155</f>
        <v>0.00780515139992395</v>
      </c>
    </row>
    <row r="156" customFormat="false" ht="12.8" hidden="false" customHeight="false" outlineLevel="0" collapsed="false">
      <c r="A156" s="0" t="s">
        <v>274</v>
      </c>
      <c r="B156" s="0" t="s">
        <v>275</v>
      </c>
      <c r="C156" s="0" t="s">
        <v>19</v>
      </c>
      <c r="D156" s="0" t="s">
        <v>49</v>
      </c>
      <c r="E156" s="0" t="n">
        <v>10859.03</v>
      </c>
      <c r="F156" s="0" t="n">
        <v>153</v>
      </c>
      <c r="G156" s="0" t="str">
        <f aca="false">IF(F156&lt;=30,"Current",IF(F156&lt;=60,"31 to 60 days",IF(F156&lt;=90,"61 to 90 days",IF(F156&lt;=120,"91 to 120 days","Over 120 days"))))</f>
        <v>Over 120 days</v>
      </c>
      <c r="H156" s="0" t="n">
        <f aca="false">VLOOKUP(D156,Rates!$A$4:$B$7,2,FALSE())</f>
        <v>0.02</v>
      </c>
      <c r="I156" s="0" t="n">
        <f aca="false">VLOOKUP(F156,Rates!$D$4:$E$8,2)</f>
        <v>0.85</v>
      </c>
      <c r="J156" s="0" t="n">
        <f aca="false">ROUND(E156*I156,2)</f>
        <v>9230.18</v>
      </c>
      <c r="K156" s="1" t="n">
        <f aca="false">PV(H156/12,F156/30,0,-E156)</f>
        <v>10767.1956010796</v>
      </c>
      <c r="L156" s="0" t="n">
        <f aca="false">ROUND(E156-K156,2)</f>
        <v>91.83</v>
      </c>
      <c r="M156" s="0" t="n">
        <f aca="false">F156/E156</f>
        <v>0.0140896562584319</v>
      </c>
    </row>
    <row r="157" customFormat="false" ht="12.8" hidden="false" customHeight="false" outlineLevel="0" collapsed="false">
      <c r="A157" s="0" t="s">
        <v>276</v>
      </c>
      <c r="B157" s="0" t="s">
        <v>38</v>
      </c>
      <c r="C157" s="0" t="s">
        <v>15</v>
      </c>
      <c r="D157" s="0" t="s">
        <v>23</v>
      </c>
      <c r="E157" s="0" t="n">
        <v>10504.56</v>
      </c>
      <c r="F157" s="0" t="n">
        <v>83</v>
      </c>
      <c r="G157" s="0" t="str">
        <f aca="false">IF(F157&lt;=30,"Current",IF(F157&lt;=60,"31 to 60 days",IF(F157&lt;=90,"61 to 90 days",IF(F157&lt;=120,"91 to 120 days","Over 120 days"))))</f>
        <v>61 to 90 days</v>
      </c>
      <c r="H157" s="0" t="n">
        <f aca="false">VLOOKUP(D157,Rates!$A$4:$B$7,2,FALSE())</f>
        <v>0.115</v>
      </c>
      <c r="I157" s="0" t="n">
        <f aca="false">VLOOKUP(F157,Rates!$D$4:$E$8,2)</f>
        <v>0.25</v>
      </c>
      <c r="J157" s="0" t="n">
        <f aca="false">ROUND(E157*I157,2)</f>
        <v>2626.14</v>
      </c>
      <c r="K157" s="1" t="n">
        <f aca="false">PV(H157/12,F157/30,0,-E157)</f>
        <v>10230.9946046174</v>
      </c>
      <c r="L157" s="0" t="n">
        <f aca="false">ROUND(E157-K157,2)</f>
        <v>273.57</v>
      </c>
      <c r="M157" s="0" t="n">
        <f aca="false">F157/E157</f>
        <v>0.00790133046981502</v>
      </c>
    </row>
    <row r="158" customFormat="false" ht="12.8" hidden="false" customHeight="false" outlineLevel="0" collapsed="false">
      <c r="A158" s="0" t="s">
        <v>277</v>
      </c>
      <c r="B158" s="0" t="s">
        <v>80</v>
      </c>
      <c r="C158" s="0" t="s">
        <v>31</v>
      </c>
      <c r="D158" s="0" t="s">
        <v>16</v>
      </c>
      <c r="E158" s="0" t="n">
        <v>30022.89</v>
      </c>
      <c r="F158" s="0" t="n">
        <v>281</v>
      </c>
      <c r="G158" s="0" t="str">
        <f aca="false">IF(F158&lt;=30,"Current",IF(F158&lt;=60,"31 to 60 days",IF(F158&lt;=90,"61 to 90 days",IF(F158&lt;=120,"91 to 120 days","Over 120 days"))))</f>
        <v>Over 120 days</v>
      </c>
      <c r="H158" s="0" t="n">
        <f aca="false">VLOOKUP(D158,Rates!$A$4:$B$7,2,FALSE())</f>
        <v>0.085</v>
      </c>
      <c r="I158" s="0" t="n">
        <f aca="false">VLOOKUP(F158,Rates!$D$4:$E$8,2)</f>
        <v>0.85</v>
      </c>
      <c r="J158" s="0" t="n">
        <f aca="false">ROUND(E158*I158,2)</f>
        <v>25519.46</v>
      </c>
      <c r="K158" s="1" t="n">
        <f aca="false">PV(H158/12,F158/30,0,-E158)</f>
        <v>28102.1685085206</v>
      </c>
      <c r="L158" s="0" t="n">
        <f aca="false">ROUND(E158-K158,2)</f>
        <v>1920.72</v>
      </c>
      <c r="M158" s="0" t="n">
        <f aca="false">F158/E158</f>
        <v>0.00935952534882551</v>
      </c>
    </row>
    <row r="159" customFormat="false" ht="12.8" hidden="false" customHeight="false" outlineLevel="0" collapsed="false">
      <c r="A159" s="0" t="s">
        <v>278</v>
      </c>
      <c r="B159" s="0" t="s">
        <v>279</v>
      </c>
      <c r="C159" s="0" t="s">
        <v>42</v>
      </c>
      <c r="D159" s="0" t="s">
        <v>16</v>
      </c>
      <c r="E159" s="0" t="n">
        <v>22117.19</v>
      </c>
      <c r="F159" s="0" t="n">
        <v>320</v>
      </c>
      <c r="G159" s="0" t="str">
        <f aca="false">IF(F159&lt;=30,"Current",IF(F159&lt;=60,"31 to 60 days",IF(F159&lt;=90,"61 to 90 days",IF(F159&lt;=120,"91 to 120 days","Over 120 days"))))</f>
        <v>Over 120 days</v>
      </c>
      <c r="H159" s="0" t="n">
        <f aca="false">VLOOKUP(D159,Rates!$A$4:$B$7,2,FALSE())</f>
        <v>0.085</v>
      </c>
      <c r="I159" s="0" t="n">
        <f aca="false">VLOOKUP(F159,Rates!$D$4:$E$8,2)</f>
        <v>0.85</v>
      </c>
      <c r="J159" s="0" t="n">
        <f aca="false">ROUND(E159*I159,2)</f>
        <v>18799.61</v>
      </c>
      <c r="K159" s="1" t="n">
        <f aca="false">PV(H159/12,F159/30,0,-E159)</f>
        <v>20513.1452901369</v>
      </c>
      <c r="L159" s="0" t="n">
        <f aca="false">ROUND(E159-K159,2)</f>
        <v>1604.04</v>
      </c>
      <c r="M159" s="0" t="n">
        <f aca="false">F159/E159</f>
        <v>0.0144683840940011</v>
      </c>
    </row>
    <row r="160" customFormat="false" ht="12.8" hidden="false" customHeight="false" outlineLevel="0" collapsed="false">
      <c r="A160" s="0" t="s">
        <v>280</v>
      </c>
      <c r="B160" s="0" t="s">
        <v>281</v>
      </c>
      <c r="C160" s="0" t="s">
        <v>42</v>
      </c>
      <c r="D160" s="0" t="s">
        <v>49</v>
      </c>
      <c r="E160" s="0" t="n">
        <v>25114.02</v>
      </c>
      <c r="F160" s="0" t="n">
        <v>322</v>
      </c>
      <c r="G160" s="0" t="str">
        <f aca="false">IF(F160&lt;=30,"Current",IF(F160&lt;=60,"31 to 60 days",IF(F160&lt;=90,"61 to 90 days",IF(F160&lt;=120,"91 to 120 days","Over 120 days"))))</f>
        <v>Over 120 days</v>
      </c>
      <c r="H160" s="0" t="n">
        <f aca="false">VLOOKUP(D160,Rates!$A$4:$B$7,2,FALSE())</f>
        <v>0.02</v>
      </c>
      <c r="I160" s="0" t="n">
        <f aca="false">VLOOKUP(F160,Rates!$D$4:$E$8,2)</f>
        <v>0.85</v>
      </c>
      <c r="J160" s="0" t="n">
        <f aca="false">ROUND(E160*I160,2)</f>
        <v>21346.92</v>
      </c>
      <c r="K160" s="1" t="n">
        <f aca="false">PV(H160/12,F160/30,0,-E160)</f>
        <v>24669.1199718937</v>
      </c>
      <c r="L160" s="0" t="n">
        <f aca="false">ROUND(E160-K160,2)</f>
        <v>444.9</v>
      </c>
      <c r="M160" s="0" t="n">
        <f aca="false">F160/E160</f>
        <v>0.0128215235951871</v>
      </c>
    </row>
    <row r="161" customFormat="false" ht="12.8" hidden="false" customHeight="false" outlineLevel="0" collapsed="false">
      <c r="A161" s="0" t="s">
        <v>282</v>
      </c>
      <c r="B161" s="0" t="s">
        <v>283</v>
      </c>
      <c r="C161" s="0" t="s">
        <v>26</v>
      </c>
      <c r="D161" s="0" t="s">
        <v>16</v>
      </c>
      <c r="E161" s="0" t="n">
        <v>35456.61</v>
      </c>
      <c r="F161" s="0" t="n">
        <v>168</v>
      </c>
      <c r="G161" s="0" t="str">
        <f aca="false">IF(F161&lt;=30,"Current",IF(F161&lt;=60,"31 to 60 days",IF(F161&lt;=90,"61 to 90 days",IF(F161&lt;=120,"91 to 120 days","Over 120 days"))))</f>
        <v>Over 120 days</v>
      </c>
      <c r="H161" s="0" t="n">
        <f aca="false">VLOOKUP(D161,Rates!$A$4:$B$7,2,FALSE())</f>
        <v>0.085</v>
      </c>
      <c r="I161" s="0" t="n">
        <f aca="false">VLOOKUP(F161,Rates!$D$4:$E$8,2)</f>
        <v>0.85</v>
      </c>
      <c r="J161" s="0" t="n">
        <f aca="false">ROUND(E161*I161,2)</f>
        <v>30138.12</v>
      </c>
      <c r="K161" s="1" t="n">
        <f aca="false">PV(H161/12,F161/30,0,-E161)</f>
        <v>34082.4590622851</v>
      </c>
      <c r="L161" s="0" t="n">
        <f aca="false">ROUND(E161-K161,2)</f>
        <v>1374.15</v>
      </c>
      <c r="M161" s="0" t="n">
        <f aca="false">F161/E161</f>
        <v>0.00473818563026753</v>
      </c>
    </row>
    <row r="162" customFormat="false" ht="12.8" hidden="false" customHeight="false" outlineLevel="0" collapsed="false">
      <c r="A162" s="0" t="s">
        <v>284</v>
      </c>
      <c r="B162" s="0" t="s">
        <v>285</v>
      </c>
      <c r="C162" s="0" t="s">
        <v>36</v>
      </c>
      <c r="D162" s="0" t="s">
        <v>23</v>
      </c>
      <c r="E162" s="0" t="n">
        <v>8807.83</v>
      </c>
      <c r="F162" s="0" t="n">
        <v>285</v>
      </c>
      <c r="G162" s="0" t="str">
        <f aca="false">IF(F162&lt;=30,"Current",IF(F162&lt;=60,"31 to 60 days",IF(F162&lt;=90,"61 to 90 days",IF(F162&lt;=120,"91 to 120 days","Over 120 days"))))</f>
        <v>Over 120 days</v>
      </c>
      <c r="H162" s="0" t="n">
        <f aca="false">VLOOKUP(D162,Rates!$A$4:$B$7,2,FALSE())</f>
        <v>0.115</v>
      </c>
      <c r="I162" s="0" t="n">
        <f aca="false">VLOOKUP(F162,Rates!$D$4:$E$8,2)</f>
        <v>0.85</v>
      </c>
      <c r="J162" s="0" t="n">
        <f aca="false">ROUND(E162*I162,2)</f>
        <v>7486.66</v>
      </c>
      <c r="K162" s="1" t="n">
        <f aca="false">PV(H162/12,F162/30,0,-E162)</f>
        <v>8044.85620165144</v>
      </c>
      <c r="L162" s="0" t="n">
        <f aca="false">ROUND(E162-K162,2)</f>
        <v>762.97</v>
      </c>
      <c r="M162" s="0" t="n">
        <f aca="false">F162/E162</f>
        <v>0.0323575727506094</v>
      </c>
    </row>
    <row r="163" customFormat="false" ht="12.8" hidden="false" customHeight="false" outlineLevel="0" collapsed="false">
      <c r="A163" s="0" t="s">
        <v>286</v>
      </c>
      <c r="B163" s="0" t="s">
        <v>287</v>
      </c>
      <c r="C163" s="0" t="s">
        <v>26</v>
      </c>
      <c r="D163" s="0" t="s">
        <v>49</v>
      </c>
      <c r="E163" s="0" t="n">
        <v>40945.98</v>
      </c>
      <c r="F163" s="0" t="n">
        <v>237</v>
      </c>
      <c r="G163" s="0" t="str">
        <f aca="false">IF(F163&lt;=30,"Current",IF(F163&lt;=60,"31 to 60 days",IF(F163&lt;=90,"61 to 90 days",IF(F163&lt;=120,"91 to 120 days","Over 120 days"))))</f>
        <v>Over 120 days</v>
      </c>
      <c r="H163" s="0" t="n">
        <f aca="false">VLOOKUP(D163,Rates!$A$4:$B$7,2,FALSE())</f>
        <v>0.02</v>
      </c>
      <c r="I163" s="0" t="n">
        <f aca="false">VLOOKUP(F163,Rates!$D$4:$E$8,2)</f>
        <v>0.85</v>
      </c>
      <c r="J163" s="0" t="n">
        <f aca="false">ROUND(E163*I163,2)</f>
        <v>34804.08</v>
      </c>
      <c r="K163" s="1" t="n">
        <f aca="false">PV(H163/12,F163/30,0,-E163)</f>
        <v>40410.8345264822</v>
      </c>
      <c r="L163" s="0" t="n">
        <f aca="false">ROUND(E163-K163,2)</f>
        <v>535.15</v>
      </c>
      <c r="M163" s="0" t="n">
        <f aca="false">F163/E163</f>
        <v>0.0057881139980042</v>
      </c>
    </row>
    <row r="164" customFormat="false" ht="12.8" hidden="false" customHeight="false" outlineLevel="0" collapsed="false">
      <c r="A164" s="0" t="s">
        <v>288</v>
      </c>
      <c r="B164" s="0" t="s">
        <v>30</v>
      </c>
      <c r="C164" s="0" t="s">
        <v>31</v>
      </c>
      <c r="D164" s="0" t="s">
        <v>20</v>
      </c>
      <c r="E164" s="0" t="n">
        <v>4413.72</v>
      </c>
      <c r="F164" s="0" t="n">
        <v>361</v>
      </c>
      <c r="G164" s="0" t="str">
        <f aca="false">IF(F164&lt;=30,"Current",IF(F164&lt;=60,"31 to 60 days",IF(F164&lt;=90,"61 to 90 days",IF(F164&lt;=120,"91 to 120 days","Over 120 days"))))</f>
        <v>Over 120 days</v>
      </c>
      <c r="H164" s="0" t="n">
        <f aca="false">VLOOKUP(D164,Rates!$A$4:$B$7,2,FALSE())</f>
        <v>0.05</v>
      </c>
      <c r="I164" s="0" t="n">
        <f aca="false">VLOOKUP(F164,Rates!$D$4:$E$8,2)</f>
        <v>0.85</v>
      </c>
      <c r="J164" s="0" t="n">
        <f aca="false">ROUND(E164*I164,2)</f>
        <v>3751.66</v>
      </c>
      <c r="K164" s="1" t="n">
        <f aca="false">PV(H164/12,F164/30,0,-E164)</f>
        <v>4198.3145585851</v>
      </c>
      <c r="L164" s="0" t="n">
        <f aca="false">ROUND(E164-K164,2)</f>
        <v>215.41</v>
      </c>
      <c r="M164" s="0" t="n">
        <f aca="false">F164/E164</f>
        <v>0.0817904171537841</v>
      </c>
    </row>
    <row r="165" customFormat="false" ht="12.8" hidden="false" customHeight="false" outlineLevel="0" collapsed="false">
      <c r="A165" s="0" t="s">
        <v>289</v>
      </c>
      <c r="B165" s="0" t="s">
        <v>51</v>
      </c>
      <c r="C165" s="0" t="s">
        <v>36</v>
      </c>
      <c r="D165" s="0" t="s">
        <v>20</v>
      </c>
      <c r="E165" s="0" t="n">
        <v>15877.71</v>
      </c>
      <c r="F165" s="0" t="n">
        <v>56</v>
      </c>
      <c r="G165" s="0" t="str">
        <f aca="false">IF(F165&lt;=30,"Current",IF(F165&lt;=60,"31 to 60 days",IF(F165&lt;=90,"61 to 90 days",IF(F165&lt;=120,"91 to 120 days","Over 120 days"))))</f>
        <v>31 to 60 days</v>
      </c>
      <c r="H165" s="0" t="n">
        <f aca="false">VLOOKUP(D165,Rates!$A$4:$B$7,2,FALSE())</f>
        <v>0.05</v>
      </c>
      <c r="I165" s="0" t="n">
        <f aca="false">VLOOKUP(F165,Rates!$D$4:$E$8,2)</f>
        <v>0.1</v>
      </c>
      <c r="J165" s="0" t="n">
        <f aca="false">ROUND(E165*I165,2)</f>
        <v>1587.77</v>
      </c>
      <c r="K165" s="1" t="n">
        <f aca="false">PV(H165/12,F165/30,0,-E165)</f>
        <v>15754.9502886057</v>
      </c>
      <c r="L165" s="0" t="n">
        <f aca="false">ROUND(E165-K165,2)</f>
        <v>122.76</v>
      </c>
      <c r="M165" s="0" t="n">
        <f aca="false">F165/E165</f>
        <v>0.00352695697301437</v>
      </c>
    </row>
    <row r="166" customFormat="false" ht="12.8" hidden="false" customHeight="false" outlineLevel="0" collapsed="false">
      <c r="A166" s="0" t="s">
        <v>290</v>
      </c>
      <c r="B166" s="0" t="s">
        <v>242</v>
      </c>
      <c r="C166" s="0" t="s">
        <v>36</v>
      </c>
      <c r="D166" s="0" t="s">
        <v>23</v>
      </c>
      <c r="E166" s="0" t="n">
        <v>25542.14</v>
      </c>
      <c r="F166" s="0" t="n">
        <v>27</v>
      </c>
      <c r="G166" s="0" t="str">
        <f aca="false">IF(F166&lt;=30,"Current",IF(F166&lt;=60,"31 to 60 days",IF(F166&lt;=90,"61 to 90 days",IF(F166&lt;=120,"91 to 120 days","Over 120 days"))))</f>
        <v>Current</v>
      </c>
      <c r="H166" s="0" t="n">
        <f aca="false">VLOOKUP(D166,Rates!$A$4:$B$7,2,FALSE())</f>
        <v>0.115</v>
      </c>
      <c r="I166" s="0" t="n">
        <f aca="false">VLOOKUP(F166,Rates!$D$4:$E$8,2)</f>
        <v>0.02</v>
      </c>
      <c r="J166" s="0" t="n">
        <f aca="false">ROUND(E166*I166,2)</f>
        <v>510.84</v>
      </c>
      <c r="K166" s="1" t="n">
        <f aca="false">PV(H166/12,F166/30,0,-E166)</f>
        <v>25323.826290947</v>
      </c>
      <c r="L166" s="0" t="n">
        <f aca="false">ROUND(E166-K166,2)</f>
        <v>218.31</v>
      </c>
      <c r="M166" s="0" t="n">
        <f aca="false">F166/E166</f>
        <v>0.00105707665841625</v>
      </c>
    </row>
    <row r="167" customFormat="false" ht="12.8" hidden="false" customHeight="false" outlineLevel="0" collapsed="false">
      <c r="A167" s="0" t="s">
        <v>291</v>
      </c>
      <c r="B167" s="0" t="s">
        <v>292</v>
      </c>
      <c r="C167" s="0" t="s">
        <v>19</v>
      </c>
      <c r="D167" s="0" t="s">
        <v>49</v>
      </c>
      <c r="E167" s="0" t="n">
        <v>1240.24</v>
      </c>
      <c r="F167" s="0" t="n">
        <v>161</v>
      </c>
      <c r="G167" s="0" t="str">
        <f aca="false">IF(F167&lt;=30,"Current",IF(F167&lt;=60,"31 to 60 days",IF(F167&lt;=90,"61 to 90 days",IF(F167&lt;=120,"91 to 120 days","Over 120 days"))))</f>
        <v>Over 120 days</v>
      </c>
      <c r="H167" s="0" t="n">
        <f aca="false">VLOOKUP(D167,Rates!$A$4:$B$7,2,FALSE())</f>
        <v>0.02</v>
      </c>
      <c r="I167" s="0" t="n">
        <f aca="false">VLOOKUP(F167,Rates!$D$4:$E$8,2)</f>
        <v>0.85</v>
      </c>
      <c r="J167" s="0" t="n">
        <f aca="false">ROUND(E167*I167,2)</f>
        <v>1054.2</v>
      </c>
      <c r="K167" s="1" t="n">
        <f aca="false">PV(H167/12,F167/30,0,-E167)</f>
        <v>1229.20535808155</v>
      </c>
      <c r="L167" s="0" t="n">
        <f aca="false">ROUND(E167-K167,2)</f>
        <v>11.03</v>
      </c>
      <c r="M167" s="0" t="n">
        <f aca="false">F167/E167</f>
        <v>0.129813584467522</v>
      </c>
    </row>
    <row r="168" customFormat="false" ht="12.8" hidden="false" customHeight="false" outlineLevel="0" collapsed="false">
      <c r="A168" s="0" t="s">
        <v>293</v>
      </c>
      <c r="B168" s="0" t="s">
        <v>30</v>
      </c>
      <c r="C168" s="0" t="s">
        <v>31</v>
      </c>
      <c r="D168" s="0" t="s">
        <v>20</v>
      </c>
      <c r="E168" s="0" t="n">
        <v>12772.2</v>
      </c>
      <c r="F168" s="0" t="n">
        <v>322</v>
      </c>
      <c r="G168" s="0" t="str">
        <f aca="false">IF(F168&lt;=30,"Current",IF(F168&lt;=60,"31 to 60 days",IF(F168&lt;=90,"61 to 90 days",IF(F168&lt;=120,"91 to 120 days","Over 120 days"))))</f>
        <v>Over 120 days</v>
      </c>
      <c r="H168" s="0" t="n">
        <f aca="false">VLOOKUP(D168,Rates!$A$4:$B$7,2,FALSE())</f>
        <v>0.05</v>
      </c>
      <c r="I168" s="0" t="n">
        <f aca="false">VLOOKUP(F168,Rates!$D$4:$E$8,2)</f>
        <v>0.85</v>
      </c>
      <c r="J168" s="0" t="n">
        <f aca="false">ROUND(E168*I168,2)</f>
        <v>10856.37</v>
      </c>
      <c r="K168" s="1" t="n">
        <f aca="false">PV(H168/12,F168/30,0,-E168)</f>
        <v>12214.7180852779</v>
      </c>
      <c r="L168" s="0" t="n">
        <f aca="false">ROUND(E168-K168,2)</f>
        <v>557.48</v>
      </c>
      <c r="M168" s="0" t="n">
        <f aca="false">F168/E168</f>
        <v>0.0252110051518141</v>
      </c>
    </row>
    <row r="169" customFormat="false" ht="12.8" hidden="false" customHeight="false" outlineLevel="0" collapsed="false">
      <c r="A169" s="0" t="s">
        <v>294</v>
      </c>
      <c r="B169" s="0" t="s">
        <v>28</v>
      </c>
      <c r="C169" s="0" t="s">
        <v>15</v>
      </c>
      <c r="D169" s="0" t="s">
        <v>20</v>
      </c>
      <c r="E169" s="0" t="n">
        <v>4906.04</v>
      </c>
      <c r="F169" s="0" t="n">
        <v>267</v>
      </c>
      <c r="G169" s="0" t="str">
        <f aca="false">IF(F169&lt;=30,"Current",IF(F169&lt;=60,"31 to 60 days",IF(F169&lt;=90,"61 to 90 days",IF(F169&lt;=120,"91 to 120 days","Over 120 days"))))</f>
        <v>Over 120 days</v>
      </c>
      <c r="H169" s="0" t="n">
        <f aca="false">VLOOKUP(D169,Rates!$A$4:$B$7,2,FALSE())</f>
        <v>0.05</v>
      </c>
      <c r="I169" s="0" t="n">
        <f aca="false">VLOOKUP(F169,Rates!$D$4:$E$8,2)</f>
        <v>0.85</v>
      </c>
      <c r="J169" s="0" t="n">
        <f aca="false">ROUND(E169*I169,2)</f>
        <v>4170.13</v>
      </c>
      <c r="K169" s="1" t="n">
        <f aca="false">PV(H169/12,F169/30,0,-E169)</f>
        <v>4727.80392756005</v>
      </c>
      <c r="L169" s="0" t="n">
        <f aca="false">ROUND(E169-K169,2)</f>
        <v>178.24</v>
      </c>
      <c r="M169" s="0" t="n">
        <f aca="false">F169/E169</f>
        <v>0.054422711596318</v>
      </c>
    </row>
    <row r="170" customFormat="false" ht="12.8" hidden="false" customHeight="false" outlineLevel="0" collapsed="false">
      <c r="A170" s="0" t="s">
        <v>295</v>
      </c>
      <c r="B170" s="0" t="s">
        <v>296</v>
      </c>
      <c r="C170" s="0" t="s">
        <v>42</v>
      </c>
      <c r="D170" s="0" t="s">
        <v>49</v>
      </c>
      <c r="E170" s="0" t="n">
        <v>31360.29</v>
      </c>
      <c r="F170" s="0" t="n">
        <v>156</v>
      </c>
      <c r="G170" s="0" t="str">
        <f aca="false">IF(F170&lt;=30,"Current",IF(F170&lt;=60,"31 to 60 days",IF(F170&lt;=90,"61 to 90 days",IF(F170&lt;=120,"91 to 120 days","Over 120 days"))))</f>
        <v>Over 120 days</v>
      </c>
      <c r="H170" s="0" t="n">
        <f aca="false">VLOOKUP(D170,Rates!$A$4:$B$7,2,FALSE())</f>
        <v>0.02</v>
      </c>
      <c r="I170" s="0" t="n">
        <f aca="false">VLOOKUP(F170,Rates!$D$4:$E$8,2)</f>
        <v>0.85</v>
      </c>
      <c r="J170" s="0" t="n">
        <f aca="false">ROUND(E170*I170,2)</f>
        <v>26656.25</v>
      </c>
      <c r="K170" s="1" t="n">
        <f aca="false">PV(H170/12,F170/30,0,-E170)</f>
        <v>31089.8994662529</v>
      </c>
      <c r="L170" s="0" t="n">
        <f aca="false">ROUND(E170-K170,2)</f>
        <v>270.39</v>
      </c>
      <c r="M170" s="0" t="n">
        <f aca="false">F170/E170</f>
        <v>0.00497444379500317</v>
      </c>
    </row>
    <row r="171" customFormat="false" ht="12.8" hidden="false" customHeight="false" outlineLevel="0" collapsed="false">
      <c r="A171" s="0" t="s">
        <v>297</v>
      </c>
      <c r="B171" s="0" t="s">
        <v>226</v>
      </c>
      <c r="C171" s="0" t="s">
        <v>19</v>
      </c>
      <c r="D171" s="0" t="s">
        <v>49</v>
      </c>
      <c r="E171" s="0" t="n">
        <v>19832.16</v>
      </c>
      <c r="F171" s="0" t="n">
        <v>74</v>
      </c>
      <c r="G171" s="0" t="str">
        <f aca="false">IF(F171&lt;=30,"Current",IF(F171&lt;=60,"31 to 60 days",IF(F171&lt;=90,"61 to 90 days",IF(F171&lt;=120,"91 to 120 days","Over 120 days"))))</f>
        <v>61 to 90 days</v>
      </c>
      <c r="H171" s="0" t="n">
        <f aca="false">VLOOKUP(D171,Rates!$A$4:$B$7,2,FALSE())</f>
        <v>0.02</v>
      </c>
      <c r="I171" s="0" t="n">
        <f aca="false">VLOOKUP(F171,Rates!$D$4:$E$8,2)</f>
        <v>0.25</v>
      </c>
      <c r="J171" s="0" t="n">
        <f aca="false">ROUND(E171*I171,2)</f>
        <v>4958.04</v>
      </c>
      <c r="K171" s="1" t="n">
        <f aca="false">PV(H171/12,F171/30,0,-E171)</f>
        <v>19750.8627410184</v>
      </c>
      <c r="L171" s="0" t="n">
        <f aca="false">ROUND(E171-K171,2)</f>
        <v>81.3</v>
      </c>
      <c r="M171" s="0" t="n">
        <f aca="false">F171/E171</f>
        <v>0.00373131318020831</v>
      </c>
    </row>
    <row r="172" customFormat="false" ht="12.8" hidden="false" customHeight="false" outlineLevel="0" collapsed="false">
      <c r="A172" s="0" t="s">
        <v>298</v>
      </c>
      <c r="B172" s="0" t="s">
        <v>299</v>
      </c>
      <c r="C172" s="0" t="s">
        <v>26</v>
      </c>
      <c r="D172" s="0" t="s">
        <v>49</v>
      </c>
      <c r="E172" s="0" t="n">
        <v>34624.47</v>
      </c>
      <c r="F172" s="0" t="n">
        <v>94</v>
      </c>
      <c r="G172" s="0" t="str">
        <f aca="false">IF(F172&lt;=30,"Current",IF(F172&lt;=60,"31 to 60 days",IF(F172&lt;=90,"61 to 90 days",IF(F172&lt;=120,"91 to 120 days","Over 120 days"))))</f>
        <v>91 to 120 days</v>
      </c>
      <c r="H172" s="0" t="n">
        <f aca="false">VLOOKUP(D172,Rates!$A$4:$B$7,2,FALSE())</f>
        <v>0.02</v>
      </c>
      <c r="I172" s="0" t="n">
        <f aca="false">VLOOKUP(F172,Rates!$D$4:$E$8,2)</f>
        <v>0.5</v>
      </c>
      <c r="J172" s="0" t="n">
        <f aca="false">ROUND(E172*I172,2)</f>
        <v>17312.24</v>
      </c>
      <c r="K172" s="1" t="n">
        <f aca="false">PV(H172/12,F172/30,0,-E172)</f>
        <v>34444.2743646887</v>
      </c>
      <c r="L172" s="0" t="n">
        <f aca="false">ROUND(E172-K172,2)</f>
        <v>180.2</v>
      </c>
      <c r="M172" s="0" t="n">
        <f aca="false">F172/E172</f>
        <v>0.00271484299976288</v>
      </c>
    </row>
    <row r="173" customFormat="false" ht="12.8" hidden="false" customHeight="false" outlineLevel="0" collapsed="false">
      <c r="A173" s="0" t="s">
        <v>300</v>
      </c>
      <c r="B173" s="0" t="s">
        <v>18</v>
      </c>
      <c r="C173" s="0" t="s">
        <v>19</v>
      </c>
      <c r="D173" s="0" t="s">
        <v>20</v>
      </c>
      <c r="E173" s="0" t="n">
        <v>31464.67</v>
      </c>
      <c r="F173" s="0" t="n">
        <v>318</v>
      </c>
      <c r="G173" s="0" t="str">
        <f aca="false">IF(F173&lt;=30,"Current",IF(F173&lt;=60,"31 to 60 days",IF(F173&lt;=90,"61 to 90 days",IF(F173&lt;=120,"91 to 120 days","Over 120 days"))))</f>
        <v>Over 120 days</v>
      </c>
      <c r="H173" s="0" t="n">
        <f aca="false">VLOOKUP(D173,Rates!$A$4:$B$7,2,FALSE())</f>
        <v>0.05</v>
      </c>
      <c r="I173" s="0" t="n">
        <f aca="false">VLOOKUP(F173,Rates!$D$4:$E$8,2)</f>
        <v>0.85</v>
      </c>
      <c r="J173" s="0" t="n">
        <f aca="false">ROUND(E173*I173,2)</f>
        <v>26744.97</v>
      </c>
      <c r="K173" s="1" t="n">
        <f aca="false">PV(H173/12,F173/30,0,-E173)</f>
        <v>30107.9850764359</v>
      </c>
      <c r="L173" s="0" t="n">
        <f aca="false">ROUND(E173-K173,2)</f>
        <v>1356.68</v>
      </c>
      <c r="M173" s="0" t="n">
        <f aca="false">F173/E173</f>
        <v>0.010106573499738</v>
      </c>
    </row>
    <row r="174" customFormat="false" ht="12.8" hidden="false" customHeight="false" outlineLevel="0" collapsed="false">
      <c r="A174" s="0" t="s">
        <v>301</v>
      </c>
      <c r="B174" s="0" t="s">
        <v>18</v>
      </c>
      <c r="C174" s="0" t="s">
        <v>19</v>
      </c>
      <c r="D174" s="0" t="s">
        <v>20</v>
      </c>
      <c r="E174" s="0" t="n">
        <v>43542.33</v>
      </c>
      <c r="F174" s="0" t="n">
        <v>269</v>
      </c>
      <c r="G174" s="0" t="str">
        <f aca="false">IF(F174&lt;=30,"Current",IF(F174&lt;=60,"31 to 60 days",IF(F174&lt;=90,"61 to 90 days",IF(F174&lt;=120,"91 to 120 days","Over 120 days"))))</f>
        <v>Over 120 days</v>
      </c>
      <c r="H174" s="0" t="n">
        <f aca="false">VLOOKUP(D174,Rates!$A$4:$B$7,2,FALSE())</f>
        <v>0.05</v>
      </c>
      <c r="I174" s="0" t="n">
        <f aca="false">VLOOKUP(F174,Rates!$D$4:$E$8,2)</f>
        <v>0.85</v>
      </c>
      <c r="J174" s="0" t="n">
        <f aca="false">ROUND(E174*I174,2)</f>
        <v>37010.98</v>
      </c>
      <c r="K174" s="1" t="n">
        <f aca="false">PV(H174/12,F174/30,0,-E174)</f>
        <v>41948.8105024558</v>
      </c>
      <c r="L174" s="0" t="n">
        <f aca="false">ROUND(E174-K174,2)</f>
        <v>1593.52</v>
      </c>
      <c r="M174" s="0" t="n">
        <f aca="false">F174/E174</f>
        <v>0.00617789631377099</v>
      </c>
    </row>
    <row r="175" customFormat="false" ht="12.8" hidden="false" customHeight="false" outlineLevel="0" collapsed="false">
      <c r="A175" s="0" t="s">
        <v>302</v>
      </c>
      <c r="B175" s="0" t="s">
        <v>303</v>
      </c>
      <c r="C175" s="0" t="s">
        <v>31</v>
      </c>
      <c r="D175" s="0" t="s">
        <v>23</v>
      </c>
      <c r="E175" s="0" t="n">
        <v>19661.76</v>
      </c>
      <c r="F175" s="0" t="n">
        <v>104</v>
      </c>
      <c r="G175" s="0" t="str">
        <f aca="false">IF(F175&lt;=30,"Current",IF(F175&lt;=60,"31 to 60 days",IF(F175&lt;=90,"61 to 90 days",IF(F175&lt;=120,"91 to 120 days","Over 120 days"))))</f>
        <v>91 to 120 days</v>
      </c>
      <c r="H175" s="0" t="n">
        <f aca="false">VLOOKUP(D175,Rates!$A$4:$B$7,2,FALSE())</f>
        <v>0.115</v>
      </c>
      <c r="I175" s="0" t="n">
        <f aca="false">VLOOKUP(F175,Rates!$D$4:$E$8,2)</f>
        <v>0.5</v>
      </c>
      <c r="J175" s="0" t="n">
        <f aca="false">ROUND(E175*I175,2)</f>
        <v>9830.88</v>
      </c>
      <c r="K175" s="1" t="n">
        <f aca="false">PV(H175/12,F175/30,0,-E175)</f>
        <v>19022.2926809215</v>
      </c>
      <c r="L175" s="0" t="n">
        <f aca="false">ROUND(E175-K175,2)</f>
        <v>639.47</v>
      </c>
      <c r="M175" s="0" t="n">
        <f aca="false">F175/E175</f>
        <v>0.00528945526748369</v>
      </c>
    </row>
    <row r="176" customFormat="false" ht="12.8" hidden="false" customHeight="false" outlineLevel="0" collapsed="false">
      <c r="A176" s="0" t="s">
        <v>304</v>
      </c>
      <c r="B176" s="0" t="s">
        <v>305</v>
      </c>
      <c r="C176" s="0" t="s">
        <v>15</v>
      </c>
      <c r="D176" s="0" t="s">
        <v>23</v>
      </c>
      <c r="E176" s="0" t="n">
        <v>4210.99</v>
      </c>
      <c r="F176" s="0" t="n">
        <v>331</v>
      </c>
      <c r="G176" s="0" t="str">
        <f aca="false">IF(F176&lt;=30,"Current",IF(F176&lt;=60,"31 to 60 days",IF(F176&lt;=90,"61 to 90 days",IF(F176&lt;=120,"91 to 120 days","Over 120 days"))))</f>
        <v>Over 120 days</v>
      </c>
      <c r="H176" s="0" t="n">
        <f aca="false">VLOOKUP(D176,Rates!$A$4:$B$7,2,FALSE())</f>
        <v>0.115</v>
      </c>
      <c r="I176" s="0" t="n">
        <f aca="false">VLOOKUP(F176,Rates!$D$4:$E$8,2)</f>
        <v>0.85</v>
      </c>
      <c r="J176" s="0" t="n">
        <f aca="false">ROUND(E176*I176,2)</f>
        <v>3579.34</v>
      </c>
      <c r="K176" s="1" t="n">
        <f aca="false">PV(H176/12,F176/30,0,-E176)</f>
        <v>3790.37554158928</v>
      </c>
      <c r="L176" s="0" t="n">
        <f aca="false">ROUND(E176-K176,2)</f>
        <v>420.61</v>
      </c>
      <c r="M176" s="0" t="n">
        <f aca="false">F176/E176</f>
        <v>0.0786038437517068</v>
      </c>
    </row>
    <row r="177" customFormat="false" ht="12.8" hidden="false" customHeight="false" outlineLevel="0" collapsed="false">
      <c r="A177" s="0" t="s">
        <v>306</v>
      </c>
      <c r="B177" s="0" t="s">
        <v>97</v>
      </c>
      <c r="C177" s="0" t="s">
        <v>42</v>
      </c>
      <c r="D177" s="0" t="s">
        <v>20</v>
      </c>
      <c r="E177" s="0" t="n">
        <v>11152.43</v>
      </c>
      <c r="F177" s="0" t="n">
        <v>67</v>
      </c>
      <c r="G177" s="0" t="str">
        <f aca="false">IF(F177&lt;=30,"Current",IF(F177&lt;=60,"31 to 60 days",IF(F177&lt;=90,"61 to 90 days",IF(F177&lt;=120,"91 to 120 days","Over 120 days"))))</f>
        <v>61 to 90 days</v>
      </c>
      <c r="H177" s="0" t="n">
        <f aca="false">VLOOKUP(D177,Rates!$A$4:$B$7,2,FALSE())</f>
        <v>0.05</v>
      </c>
      <c r="I177" s="0" t="n">
        <f aca="false">VLOOKUP(F177,Rates!$D$4:$E$8,2)</f>
        <v>0.25</v>
      </c>
      <c r="J177" s="0" t="n">
        <f aca="false">ROUND(E177*I177,2)</f>
        <v>2788.11</v>
      </c>
      <c r="K177" s="1" t="n">
        <f aca="false">PV(H177/12,F177/30,0,-E177)</f>
        <v>11049.3454256967</v>
      </c>
      <c r="L177" s="0" t="n">
        <f aca="false">ROUND(E177-K177,2)</f>
        <v>103.08</v>
      </c>
      <c r="M177" s="0" t="n">
        <f aca="false">F177/E177</f>
        <v>0.00600765931729677</v>
      </c>
    </row>
    <row r="178" customFormat="false" ht="12.8" hidden="false" customHeight="false" outlineLevel="0" collapsed="false">
      <c r="A178" s="0" t="s">
        <v>307</v>
      </c>
      <c r="B178" s="0" t="s">
        <v>308</v>
      </c>
      <c r="C178" s="0" t="s">
        <v>26</v>
      </c>
      <c r="D178" s="0" t="s">
        <v>49</v>
      </c>
      <c r="E178" s="0" t="n">
        <v>21523.66</v>
      </c>
      <c r="F178" s="0" t="n">
        <v>71</v>
      </c>
      <c r="G178" s="0" t="str">
        <f aca="false">IF(F178&lt;=30,"Current",IF(F178&lt;=60,"31 to 60 days",IF(F178&lt;=90,"61 to 90 days",IF(F178&lt;=120,"91 to 120 days","Over 120 days"))))</f>
        <v>61 to 90 days</v>
      </c>
      <c r="H178" s="0" t="n">
        <f aca="false">VLOOKUP(D178,Rates!$A$4:$B$7,2,FALSE())</f>
        <v>0.02</v>
      </c>
      <c r="I178" s="0" t="n">
        <f aca="false">VLOOKUP(F178,Rates!$D$4:$E$8,2)</f>
        <v>0.25</v>
      </c>
      <c r="J178" s="0" t="n">
        <f aca="false">ROUND(E178*I178,2)</f>
        <v>5380.92</v>
      </c>
      <c r="K178" s="1" t="n">
        <f aca="false">PV(H178/12,F178/30,0,-E178)</f>
        <v>21438.9987308781</v>
      </c>
      <c r="L178" s="0" t="n">
        <f aca="false">ROUND(E178-K178,2)</f>
        <v>84.66</v>
      </c>
      <c r="M178" s="0" t="n">
        <f aca="false">F178/E178</f>
        <v>0.00329869548208808</v>
      </c>
    </row>
    <row r="179" customFormat="false" ht="12.8" hidden="false" customHeight="false" outlineLevel="0" collapsed="false">
      <c r="A179" s="0" t="s">
        <v>309</v>
      </c>
      <c r="B179" s="0" t="s">
        <v>150</v>
      </c>
      <c r="C179" s="0" t="s">
        <v>31</v>
      </c>
      <c r="D179" s="0" t="s">
        <v>23</v>
      </c>
      <c r="E179" s="0" t="n">
        <v>27298.84</v>
      </c>
      <c r="F179" s="0" t="n">
        <v>354</v>
      </c>
      <c r="G179" s="0" t="str">
        <f aca="false">IF(F179&lt;=30,"Current",IF(F179&lt;=60,"31 to 60 days",IF(F179&lt;=90,"61 to 90 days",IF(F179&lt;=120,"91 to 120 days","Over 120 days"))))</f>
        <v>Over 120 days</v>
      </c>
      <c r="H179" s="0" t="n">
        <f aca="false">VLOOKUP(D179,Rates!$A$4:$B$7,2,FALSE())</f>
        <v>0.115</v>
      </c>
      <c r="I179" s="0" t="n">
        <f aca="false">VLOOKUP(F179,Rates!$D$4:$E$8,2)</f>
        <v>0.85</v>
      </c>
      <c r="J179" s="0" t="n">
        <f aca="false">ROUND(E179*I179,2)</f>
        <v>23204.01</v>
      </c>
      <c r="K179" s="1" t="n">
        <f aca="false">PV(H179/12,F179/30,0,-E179)</f>
        <v>24393.0754155177</v>
      </c>
      <c r="L179" s="0" t="n">
        <f aca="false">ROUND(E179-K179,2)</f>
        <v>2905.76</v>
      </c>
      <c r="M179" s="0" t="n">
        <f aca="false">F179/E179</f>
        <v>0.0129675839706009</v>
      </c>
    </row>
    <row r="180" customFormat="false" ht="12.8" hidden="false" customHeight="false" outlineLevel="0" collapsed="false">
      <c r="A180" s="0" t="s">
        <v>310</v>
      </c>
      <c r="B180" s="0" t="s">
        <v>311</v>
      </c>
      <c r="C180" s="0" t="s">
        <v>26</v>
      </c>
      <c r="D180" s="0" t="s">
        <v>49</v>
      </c>
      <c r="E180" s="0" t="n">
        <v>11432.75</v>
      </c>
      <c r="F180" s="0" t="n">
        <v>160</v>
      </c>
      <c r="G180" s="0" t="str">
        <f aca="false">IF(F180&lt;=30,"Current",IF(F180&lt;=60,"31 to 60 days",IF(F180&lt;=90,"61 to 90 days",IF(F180&lt;=120,"91 to 120 days","Over 120 days"))))</f>
        <v>Over 120 days</v>
      </c>
      <c r="H180" s="0" t="n">
        <f aca="false">VLOOKUP(D180,Rates!$A$4:$B$7,2,FALSE())</f>
        <v>0.02</v>
      </c>
      <c r="I180" s="0" t="n">
        <f aca="false">VLOOKUP(F180,Rates!$D$4:$E$8,2)</f>
        <v>0.85</v>
      </c>
      <c r="J180" s="0" t="n">
        <f aca="false">ROUND(E180*I180,2)</f>
        <v>9717.84</v>
      </c>
      <c r="K180" s="1" t="n">
        <f aca="false">PV(H180/12,F180/30,0,-E180)</f>
        <v>11331.6597292192</v>
      </c>
      <c r="L180" s="0" t="n">
        <f aca="false">ROUND(E180-K180,2)</f>
        <v>101.09</v>
      </c>
      <c r="M180" s="0" t="n">
        <f aca="false">F180/E180</f>
        <v>0.0139948831208589</v>
      </c>
    </row>
    <row r="181" customFormat="false" ht="12.8" hidden="false" customHeight="false" outlineLevel="0" collapsed="false">
      <c r="A181" s="0" t="s">
        <v>312</v>
      </c>
      <c r="B181" s="0" t="s">
        <v>313</v>
      </c>
      <c r="C181" s="0" t="s">
        <v>42</v>
      </c>
      <c r="D181" s="0" t="s">
        <v>49</v>
      </c>
      <c r="E181" s="0" t="n">
        <v>36336.49</v>
      </c>
      <c r="F181" s="0" t="n">
        <v>293</v>
      </c>
      <c r="G181" s="0" t="str">
        <f aca="false">IF(F181&lt;=30,"Current",IF(F181&lt;=60,"31 to 60 days",IF(F181&lt;=90,"61 to 90 days",IF(F181&lt;=120,"91 to 120 days","Over 120 days"))))</f>
        <v>Over 120 days</v>
      </c>
      <c r="H181" s="0" t="n">
        <f aca="false">VLOOKUP(D181,Rates!$A$4:$B$7,2,FALSE())</f>
        <v>0.02</v>
      </c>
      <c r="I181" s="0" t="n">
        <f aca="false">VLOOKUP(F181,Rates!$D$4:$E$8,2)</f>
        <v>0.85</v>
      </c>
      <c r="J181" s="0" t="n">
        <f aca="false">ROUND(E181*I181,2)</f>
        <v>30886.02</v>
      </c>
      <c r="K181" s="1" t="n">
        <f aca="false">PV(H181/12,F181/30,0,-E181)</f>
        <v>35750.285048931</v>
      </c>
      <c r="L181" s="0" t="n">
        <f aca="false">ROUND(E181-K181,2)</f>
        <v>586.2</v>
      </c>
      <c r="M181" s="0" t="n">
        <f aca="false">F181/E181</f>
        <v>0.00806351961898356</v>
      </c>
    </row>
    <row r="182" customFormat="false" ht="12.8" hidden="false" customHeight="false" outlineLevel="0" collapsed="false">
      <c r="A182" s="0" t="s">
        <v>314</v>
      </c>
      <c r="B182" s="0" t="s">
        <v>315</v>
      </c>
      <c r="C182" s="0" t="s">
        <v>36</v>
      </c>
      <c r="D182" s="0" t="s">
        <v>16</v>
      </c>
      <c r="E182" s="0" t="n">
        <v>41371.59</v>
      </c>
      <c r="F182" s="0" t="n">
        <v>274</v>
      </c>
      <c r="G182" s="0" t="str">
        <f aca="false">IF(F182&lt;=30,"Current",IF(F182&lt;=60,"31 to 60 days",IF(F182&lt;=90,"61 to 90 days",IF(F182&lt;=120,"91 to 120 days","Over 120 days"))))</f>
        <v>Over 120 days</v>
      </c>
      <c r="H182" s="0" t="n">
        <f aca="false">VLOOKUP(D182,Rates!$A$4:$B$7,2,FALSE())</f>
        <v>0.085</v>
      </c>
      <c r="I182" s="0" t="n">
        <f aca="false">VLOOKUP(F182,Rates!$D$4:$E$8,2)</f>
        <v>0.85</v>
      </c>
      <c r="J182" s="0" t="n">
        <f aca="false">ROUND(E182*I182,2)</f>
        <v>35165.85</v>
      </c>
      <c r="K182" s="1" t="n">
        <f aca="false">PV(H182/12,F182/30,0,-E182)</f>
        <v>38788.6632177897</v>
      </c>
      <c r="L182" s="0" t="n">
        <f aca="false">ROUND(E182-K182,2)</f>
        <v>2582.93</v>
      </c>
      <c r="M182" s="0" t="n">
        <f aca="false">F182/E182</f>
        <v>0.00662290233466976</v>
      </c>
    </row>
    <row r="183" customFormat="false" ht="12.8" hidden="false" customHeight="false" outlineLevel="0" collapsed="false">
      <c r="A183" s="0" t="s">
        <v>316</v>
      </c>
      <c r="B183" s="0" t="s">
        <v>97</v>
      </c>
      <c r="C183" s="0" t="s">
        <v>42</v>
      </c>
      <c r="D183" s="0" t="s">
        <v>20</v>
      </c>
      <c r="E183" s="0" t="n">
        <v>32111.54</v>
      </c>
      <c r="F183" s="0" t="n">
        <v>368</v>
      </c>
      <c r="G183" s="0" t="str">
        <f aca="false">IF(F183&lt;=30,"Current",IF(F183&lt;=60,"31 to 60 days",IF(F183&lt;=90,"61 to 90 days",IF(F183&lt;=120,"91 to 120 days","Over 120 days"))))</f>
        <v>Over 120 days</v>
      </c>
      <c r="H183" s="0" t="n">
        <f aca="false">VLOOKUP(D183,Rates!$A$4:$B$7,2,FALSE())</f>
        <v>0.05</v>
      </c>
      <c r="I183" s="0" t="n">
        <f aca="false">VLOOKUP(F183,Rates!$D$4:$E$8,2)</f>
        <v>0.85</v>
      </c>
      <c r="J183" s="0" t="n">
        <f aca="false">ROUND(E183*I183,2)</f>
        <v>27294.81</v>
      </c>
      <c r="K183" s="1" t="n">
        <f aca="false">PV(H183/12,F183/30,0,-E183)</f>
        <v>30514.7612699337</v>
      </c>
      <c r="L183" s="0" t="n">
        <f aca="false">ROUND(E183-K183,2)</f>
        <v>1596.78</v>
      </c>
      <c r="M183" s="0" t="n">
        <f aca="false">F183/E183</f>
        <v>0.0114600545473683</v>
      </c>
    </row>
    <row r="184" customFormat="false" ht="12.8" hidden="false" customHeight="false" outlineLevel="0" collapsed="false">
      <c r="A184" s="0" t="s">
        <v>317</v>
      </c>
      <c r="B184" s="0" t="s">
        <v>318</v>
      </c>
      <c r="C184" s="0" t="s">
        <v>19</v>
      </c>
      <c r="D184" s="0" t="s">
        <v>49</v>
      </c>
      <c r="E184" s="0" t="n">
        <v>17481.19</v>
      </c>
      <c r="F184" s="0" t="n">
        <v>299</v>
      </c>
      <c r="G184" s="0" t="str">
        <f aca="false">IF(F184&lt;=30,"Current",IF(F184&lt;=60,"31 to 60 days",IF(F184&lt;=90,"61 to 90 days",IF(F184&lt;=120,"91 to 120 days","Over 120 days"))))</f>
        <v>Over 120 days</v>
      </c>
      <c r="H184" s="0" t="n">
        <f aca="false">VLOOKUP(D184,Rates!$A$4:$B$7,2,FALSE())</f>
        <v>0.02</v>
      </c>
      <c r="I184" s="0" t="n">
        <f aca="false">VLOOKUP(F184,Rates!$D$4:$E$8,2)</f>
        <v>0.85</v>
      </c>
      <c r="J184" s="0" t="n">
        <f aca="false">ROUND(E184*I184,2)</f>
        <v>14859.01</v>
      </c>
      <c r="K184" s="1" t="n">
        <f aca="false">PV(H184/12,F184/30,0,-E184)</f>
        <v>17193.4442315221</v>
      </c>
      <c r="L184" s="0" t="n">
        <f aca="false">ROUND(E184-K184,2)</f>
        <v>287.75</v>
      </c>
      <c r="M184" s="0" t="n">
        <f aca="false">F184/E184</f>
        <v>0.0171040987484262</v>
      </c>
    </row>
    <row r="185" customFormat="false" ht="12.8" hidden="false" customHeight="false" outlineLevel="0" collapsed="false">
      <c r="A185" s="0" t="s">
        <v>319</v>
      </c>
      <c r="B185" s="0" t="s">
        <v>51</v>
      </c>
      <c r="C185" s="0" t="s">
        <v>36</v>
      </c>
      <c r="D185" s="0" t="s">
        <v>20</v>
      </c>
      <c r="E185" s="0" t="n">
        <v>15788.24</v>
      </c>
      <c r="F185" s="0" t="n">
        <v>364</v>
      </c>
      <c r="G185" s="0" t="str">
        <f aca="false">IF(F185&lt;=30,"Current",IF(F185&lt;=60,"31 to 60 days",IF(F185&lt;=90,"61 to 90 days",IF(F185&lt;=120,"91 to 120 days","Over 120 days"))))</f>
        <v>Over 120 days</v>
      </c>
      <c r="H185" s="0" t="n">
        <f aca="false">VLOOKUP(D185,Rates!$A$4:$B$7,2,FALSE())</f>
        <v>0.05</v>
      </c>
      <c r="I185" s="0" t="n">
        <f aca="false">VLOOKUP(F185,Rates!$D$4:$E$8,2)</f>
        <v>0.85</v>
      </c>
      <c r="J185" s="0" t="n">
        <f aca="false">ROUND(E185*I185,2)</f>
        <v>13420</v>
      </c>
      <c r="K185" s="1" t="n">
        <f aca="false">PV(H185/12,F185/30,0,-E185)</f>
        <v>15011.4739090844</v>
      </c>
      <c r="L185" s="0" t="n">
        <f aca="false">ROUND(E185-K185,2)</f>
        <v>776.77</v>
      </c>
      <c r="M185" s="0" t="n">
        <f aca="false">F185/E185</f>
        <v>0.0230551347078585</v>
      </c>
    </row>
    <row r="186" customFormat="false" ht="12.8" hidden="false" customHeight="false" outlineLevel="0" collapsed="false">
      <c r="A186" s="0" t="s">
        <v>320</v>
      </c>
      <c r="B186" s="0" t="s">
        <v>321</v>
      </c>
      <c r="C186" s="0" t="s">
        <v>19</v>
      </c>
      <c r="D186" s="0" t="s">
        <v>16</v>
      </c>
      <c r="E186" s="0" t="n">
        <v>7793.14</v>
      </c>
      <c r="F186" s="0" t="n">
        <v>298</v>
      </c>
      <c r="G186" s="0" t="str">
        <f aca="false">IF(F186&lt;=30,"Current",IF(F186&lt;=60,"31 to 60 days",IF(F186&lt;=90,"61 to 90 days",IF(F186&lt;=120,"91 to 120 days","Over 120 days"))))</f>
        <v>Over 120 days</v>
      </c>
      <c r="H186" s="0" t="n">
        <f aca="false">VLOOKUP(D186,Rates!$A$4:$B$7,2,FALSE())</f>
        <v>0.085</v>
      </c>
      <c r="I186" s="0" t="n">
        <f aca="false">VLOOKUP(F186,Rates!$D$4:$E$8,2)</f>
        <v>0.85</v>
      </c>
      <c r="J186" s="0" t="n">
        <f aca="false">ROUND(E186*I186,2)</f>
        <v>6624.17</v>
      </c>
      <c r="K186" s="1" t="n">
        <f aca="false">PV(H186/12,F186/30,0,-E186)</f>
        <v>7265.45390571973</v>
      </c>
      <c r="L186" s="0" t="n">
        <f aca="false">ROUND(E186-K186,2)</f>
        <v>527.69</v>
      </c>
      <c r="M186" s="0" t="n">
        <f aca="false">F186/E186</f>
        <v>0.0382387587031671</v>
      </c>
    </row>
    <row r="187" customFormat="false" ht="12.8" hidden="false" customHeight="false" outlineLevel="0" collapsed="false">
      <c r="A187" s="0" t="s">
        <v>322</v>
      </c>
      <c r="B187" s="0" t="s">
        <v>51</v>
      </c>
      <c r="C187" s="0" t="s">
        <v>36</v>
      </c>
      <c r="D187" s="0" t="s">
        <v>20</v>
      </c>
      <c r="E187" s="0" t="n">
        <v>6812.81</v>
      </c>
      <c r="F187" s="0" t="n">
        <v>258</v>
      </c>
      <c r="G187" s="0" t="str">
        <f aca="false">IF(F187&lt;=30,"Current",IF(F187&lt;=60,"31 to 60 days",IF(F187&lt;=90,"61 to 90 days",IF(F187&lt;=120,"91 to 120 days","Over 120 days"))))</f>
        <v>Over 120 days</v>
      </c>
      <c r="H187" s="0" t="n">
        <f aca="false">VLOOKUP(D187,Rates!$A$4:$B$7,2,FALSE())</f>
        <v>0.05</v>
      </c>
      <c r="I187" s="0" t="n">
        <f aca="false">VLOOKUP(F187,Rates!$D$4:$E$8,2)</f>
        <v>0.85</v>
      </c>
      <c r="J187" s="0" t="n">
        <f aca="false">ROUND(E187*I187,2)</f>
        <v>5790.89</v>
      </c>
      <c r="K187" s="1" t="n">
        <f aca="false">PV(H187/12,F187/30,0,-E187)</f>
        <v>6573.49580024601</v>
      </c>
      <c r="L187" s="0" t="n">
        <f aca="false">ROUND(E187-K187,2)</f>
        <v>239.31</v>
      </c>
      <c r="M187" s="0" t="n">
        <f aca="false">F187/E187</f>
        <v>0.0378698363817573</v>
      </c>
    </row>
    <row r="188" customFormat="false" ht="12.8" hidden="false" customHeight="false" outlineLevel="0" collapsed="false">
      <c r="A188" s="0" t="s">
        <v>323</v>
      </c>
      <c r="B188" s="0" t="s">
        <v>324</v>
      </c>
      <c r="C188" s="0" t="s">
        <v>19</v>
      </c>
      <c r="D188" s="0" t="s">
        <v>49</v>
      </c>
      <c r="E188" s="0" t="n">
        <v>26061.67</v>
      </c>
      <c r="F188" s="0" t="n">
        <v>133</v>
      </c>
      <c r="G188" s="0" t="str">
        <f aca="false">IF(F188&lt;=30,"Current",IF(F188&lt;=60,"31 to 60 days",IF(F188&lt;=90,"61 to 90 days",IF(F188&lt;=120,"91 to 120 days","Over 120 days"))))</f>
        <v>Over 120 days</v>
      </c>
      <c r="H188" s="0" t="n">
        <f aca="false">VLOOKUP(D188,Rates!$A$4:$B$7,2,FALSE())</f>
        <v>0.02</v>
      </c>
      <c r="I188" s="0" t="n">
        <f aca="false">VLOOKUP(F188,Rates!$D$4:$E$8,2)</f>
        <v>0.85</v>
      </c>
      <c r="J188" s="0" t="n">
        <f aca="false">ROUND(E188*I188,2)</f>
        <v>22152.42</v>
      </c>
      <c r="K188" s="1" t="n">
        <f aca="false">PV(H188/12,F188/30,0,-E188)</f>
        <v>25869.9720091068</v>
      </c>
      <c r="L188" s="0" t="n">
        <f aca="false">ROUND(E188-K188,2)</f>
        <v>191.7</v>
      </c>
      <c r="M188" s="0" t="n">
        <f aca="false">F188/E188</f>
        <v>0.00510328002771887</v>
      </c>
    </row>
    <row r="189" customFormat="false" ht="12.8" hidden="false" customHeight="false" outlineLevel="0" collapsed="false">
      <c r="A189" s="0" t="s">
        <v>325</v>
      </c>
      <c r="B189" s="0" t="s">
        <v>326</v>
      </c>
      <c r="C189" s="0" t="s">
        <v>42</v>
      </c>
      <c r="D189" s="0" t="s">
        <v>23</v>
      </c>
      <c r="E189" s="0" t="n">
        <v>18617.15</v>
      </c>
      <c r="F189" s="0" t="n">
        <v>34</v>
      </c>
      <c r="G189" s="0" t="str">
        <f aca="false">IF(F189&lt;=30,"Current",IF(F189&lt;=60,"31 to 60 days",IF(F189&lt;=90,"61 to 90 days",IF(F189&lt;=120,"91 to 120 days","Over 120 days"))))</f>
        <v>31 to 60 days</v>
      </c>
      <c r="H189" s="0" t="n">
        <f aca="false">VLOOKUP(D189,Rates!$A$4:$B$7,2,FALSE())</f>
        <v>0.115</v>
      </c>
      <c r="I189" s="0" t="n">
        <f aca="false">VLOOKUP(F189,Rates!$D$4:$E$8,2)</f>
        <v>0.1</v>
      </c>
      <c r="J189" s="0" t="n">
        <f aca="false">ROUND(E189*I189,2)</f>
        <v>1861.72</v>
      </c>
      <c r="K189" s="1" t="n">
        <f aca="false">PV(H189/12,F189/30,0,-E189)</f>
        <v>18416.9935427187</v>
      </c>
      <c r="L189" s="0" t="n">
        <f aca="false">ROUND(E189-K189,2)</f>
        <v>200.16</v>
      </c>
      <c r="M189" s="0" t="n">
        <f aca="false">F189/E189</f>
        <v>0.0018262730869118</v>
      </c>
    </row>
    <row r="190" customFormat="false" ht="12.8" hidden="false" customHeight="false" outlineLevel="0" collapsed="false">
      <c r="A190" s="0" t="s">
        <v>327</v>
      </c>
      <c r="B190" s="0" t="s">
        <v>328</v>
      </c>
      <c r="C190" s="0" t="s">
        <v>19</v>
      </c>
      <c r="D190" s="0" t="s">
        <v>16</v>
      </c>
      <c r="E190" s="0" t="n">
        <v>0</v>
      </c>
      <c r="F190" s="0" t="n">
        <v>314</v>
      </c>
      <c r="G190" s="0" t="str">
        <f aca="false">IF(F190&lt;=30,"Current",IF(F190&lt;=60,"31 to 60 days",IF(F190&lt;=90,"61 to 90 days",IF(F190&lt;=120,"91 to 120 days","Over 120 days"))))</f>
        <v>Over 120 days</v>
      </c>
      <c r="H190" s="0" t="n">
        <f aca="false">VLOOKUP(D190,Rates!$A$4:$B$7,2,FALSE())</f>
        <v>0.085</v>
      </c>
      <c r="I190" s="0" t="n">
        <f aca="false">VLOOKUP(F190,Rates!$D$4:$E$8,2)</f>
        <v>0.85</v>
      </c>
      <c r="J190" s="0" t="n">
        <f aca="false">ROUND(E190*I190,2)</f>
        <v>0</v>
      </c>
      <c r="K190" s="1" t="n">
        <f aca="false">PV(H190/12,F190/30,0,-E190)</f>
        <v>-0</v>
      </c>
      <c r="L190" s="0" t="n">
        <f aca="false">ROUND(E190-K190,2)</f>
        <v>0</v>
      </c>
      <c r="M190" s="0" t="e">
        <f aca="false">F190/E190</f>
        <v>#DIV/0!</v>
      </c>
    </row>
    <row r="191" customFormat="false" ht="12.8" hidden="false" customHeight="false" outlineLevel="0" collapsed="false">
      <c r="A191" s="0" t="s">
        <v>329</v>
      </c>
      <c r="B191" s="0" t="s">
        <v>330</v>
      </c>
      <c r="C191" s="0" t="s">
        <v>15</v>
      </c>
      <c r="D191" s="0" t="s">
        <v>23</v>
      </c>
      <c r="E191" s="0" t="n">
        <v>37576.17</v>
      </c>
      <c r="F191" s="0" t="n">
        <v>125</v>
      </c>
      <c r="G191" s="0" t="str">
        <f aca="false">IF(F191&lt;=30,"Current",IF(F191&lt;=60,"31 to 60 days",IF(F191&lt;=90,"61 to 90 days",IF(F191&lt;=120,"91 to 120 days","Over 120 days"))))</f>
        <v>Over 120 days</v>
      </c>
      <c r="H191" s="0" t="n">
        <f aca="false">VLOOKUP(D191,Rates!$A$4:$B$7,2,FALSE())</f>
        <v>0.115</v>
      </c>
      <c r="I191" s="0" t="n">
        <f aca="false">VLOOKUP(F191,Rates!$D$4:$E$8,2)</f>
        <v>0.85</v>
      </c>
      <c r="J191" s="0" t="n">
        <f aca="false">ROUND(E191*I191,2)</f>
        <v>31939.74</v>
      </c>
      <c r="K191" s="1" t="n">
        <f aca="false">PV(H191/12,F191/30,0,-E191)</f>
        <v>36112.1595239665</v>
      </c>
      <c r="L191" s="0" t="n">
        <f aca="false">ROUND(E191-K191,2)</f>
        <v>1464.01</v>
      </c>
      <c r="M191" s="0" t="n">
        <f aca="false">F191/E191</f>
        <v>0.00332657639136719</v>
      </c>
    </row>
    <row r="192" customFormat="false" ht="12.8" hidden="false" customHeight="false" outlineLevel="0" collapsed="false">
      <c r="A192" s="0" t="s">
        <v>331</v>
      </c>
      <c r="B192" s="0" t="s">
        <v>332</v>
      </c>
      <c r="C192" s="0" t="s">
        <v>19</v>
      </c>
      <c r="D192" s="0" t="s">
        <v>16</v>
      </c>
      <c r="E192" s="0" t="n">
        <v>23562.52</v>
      </c>
      <c r="F192" s="0" t="n">
        <v>122</v>
      </c>
      <c r="G192" s="0" t="str">
        <f aca="false">IF(F192&lt;=30,"Current",IF(F192&lt;=60,"31 to 60 days",IF(F192&lt;=90,"61 to 90 days",IF(F192&lt;=120,"91 to 120 days","Over 120 days"))))</f>
        <v>Over 120 days</v>
      </c>
      <c r="H192" s="0" t="n">
        <f aca="false">VLOOKUP(D192,Rates!$A$4:$B$7,2,FALSE())</f>
        <v>0.085</v>
      </c>
      <c r="I192" s="0" t="n">
        <f aca="false">VLOOKUP(F192,Rates!$D$4:$E$8,2)</f>
        <v>0.85</v>
      </c>
      <c r="J192" s="0" t="n">
        <f aca="false">ROUND(E192*I192,2)</f>
        <v>20028.14</v>
      </c>
      <c r="K192" s="1" t="n">
        <f aca="false">PV(H192/12,F192/30,0,-E192)</f>
        <v>22895.7956794314</v>
      </c>
      <c r="L192" s="0" t="n">
        <f aca="false">ROUND(E192-K192,2)</f>
        <v>666.72</v>
      </c>
      <c r="M192" s="0" t="n">
        <f aca="false">F192/E192</f>
        <v>0.00517771443801427</v>
      </c>
    </row>
    <row r="193" customFormat="false" ht="12.8" hidden="false" customHeight="false" outlineLevel="0" collapsed="false">
      <c r="A193" s="0" t="s">
        <v>333</v>
      </c>
      <c r="B193" s="0" t="s">
        <v>334</v>
      </c>
      <c r="C193" s="0" t="s">
        <v>42</v>
      </c>
      <c r="D193" s="0" t="s">
        <v>49</v>
      </c>
      <c r="E193" s="0" t="n">
        <v>21413.51</v>
      </c>
      <c r="F193" s="0" t="n">
        <v>9</v>
      </c>
      <c r="G193" s="0" t="str">
        <f aca="false">IF(F193&lt;=30,"Current",IF(F193&lt;=60,"31 to 60 days",IF(F193&lt;=90,"61 to 90 days",IF(F193&lt;=120,"91 to 120 days","Over 120 days"))))</f>
        <v>Current</v>
      </c>
      <c r="H193" s="0" t="n">
        <f aca="false">VLOOKUP(D193,Rates!$A$4:$B$7,2,FALSE())</f>
        <v>0.02</v>
      </c>
      <c r="I193" s="0" t="n">
        <f aca="false">VLOOKUP(F193,Rates!$D$4:$E$8,2)</f>
        <v>0.02</v>
      </c>
      <c r="J193" s="0" t="n">
        <f aca="false">ROUND(E193*I193,2)</f>
        <v>428.27</v>
      </c>
      <c r="K193" s="1" t="n">
        <f aca="false">PV(H193/12,F193/30,0,-E193)</f>
        <v>21402.814829184</v>
      </c>
      <c r="L193" s="0" t="n">
        <f aca="false">ROUND(E193-K193,2)</f>
        <v>10.7</v>
      </c>
      <c r="M193" s="0" t="n">
        <f aca="false">F193/E193</f>
        <v>0.000420295411634991</v>
      </c>
    </row>
    <row r="194" customFormat="false" ht="12.8" hidden="false" customHeight="false" outlineLevel="0" collapsed="false">
      <c r="A194" s="0" t="s">
        <v>335</v>
      </c>
      <c r="B194" s="0" t="s">
        <v>336</v>
      </c>
      <c r="C194" s="0" t="s">
        <v>31</v>
      </c>
      <c r="D194" s="0" t="s">
        <v>49</v>
      </c>
      <c r="E194" s="0" t="n">
        <v>23361.84</v>
      </c>
      <c r="F194" s="0" t="n">
        <v>235</v>
      </c>
      <c r="G194" s="0" t="str">
        <f aca="false">IF(F194&lt;=30,"Current",IF(F194&lt;=60,"31 to 60 days",IF(F194&lt;=90,"61 to 90 days",IF(F194&lt;=120,"91 to 120 days","Over 120 days"))))</f>
        <v>Over 120 days</v>
      </c>
      <c r="H194" s="0" t="n">
        <f aca="false">VLOOKUP(D194,Rates!$A$4:$B$7,2,FALSE())</f>
        <v>0.02</v>
      </c>
      <c r="I194" s="0" t="n">
        <f aca="false">VLOOKUP(F194,Rates!$D$4:$E$8,2)</f>
        <v>0.85</v>
      </c>
      <c r="J194" s="0" t="n">
        <f aca="false">ROUND(E194*I194,2)</f>
        <v>19857.56</v>
      </c>
      <c r="K194" s="1" t="n">
        <f aca="false">PV(H194/12,F194/30,0,-E194)</f>
        <v>23059.071142102</v>
      </c>
      <c r="L194" s="0" t="n">
        <f aca="false">ROUND(E194-K194,2)</f>
        <v>302.77</v>
      </c>
      <c r="M194" s="0" t="n">
        <f aca="false">F194/E194</f>
        <v>0.0100591391773936</v>
      </c>
    </row>
    <row r="195" customFormat="false" ht="12.8" hidden="false" customHeight="false" outlineLevel="0" collapsed="false">
      <c r="A195" s="0" t="s">
        <v>337</v>
      </c>
      <c r="B195" s="0" t="s">
        <v>338</v>
      </c>
      <c r="C195" s="0" t="s">
        <v>15</v>
      </c>
      <c r="D195" s="0" t="s">
        <v>16</v>
      </c>
      <c r="E195" s="0" t="n">
        <v>38450.26</v>
      </c>
      <c r="F195" s="0" t="n">
        <v>50</v>
      </c>
      <c r="G195" s="0" t="str">
        <f aca="false">IF(F195&lt;=30,"Current",IF(F195&lt;=60,"31 to 60 days",IF(F195&lt;=90,"61 to 90 days",IF(F195&lt;=120,"91 to 120 days","Over 120 days"))))</f>
        <v>31 to 60 days</v>
      </c>
      <c r="H195" s="0" t="n">
        <f aca="false">VLOOKUP(D195,Rates!$A$4:$B$7,2,FALSE())</f>
        <v>0.085</v>
      </c>
      <c r="I195" s="0" t="n">
        <f aca="false">VLOOKUP(F195,Rates!$D$4:$E$8,2)</f>
        <v>0.1</v>
      </c>
      <c r="J195" s="0" t="n">
        <f aca="false">ROUND(E195*I195,2)</f>
        <v>3845.03</v>
      </c>
      <c r="K195" s="1" t="n">
        <f aca="false">PV(H195/12,F195/30,0,-E195)</f>
        <v>38000.5835939882</v>
      </c>
      <c r="L195" s="0" t="n">
        <f aca="false">ROUND(E195-K195,2)</f>
        <v>449.68</v>
      </c>
      <c r="M195" s="0" t="n">
        <f aca="false">F195/E195</f>
        <v>0.0013003813238194</v>
      </c>
    </row>
    <row r="196" customFormat="false" ht="12.8" hidden="false" customHeight="false" outlineLevel="0" collapsed="false">
      <c r="A196" s="0" t="s">
        <v>339</v>
      </c>
      <c r="B196" s="0" t="s">
        <v>340</v>
      </c>
      <c r="C196" s="0" t="s">
        <v>19</v>
      </c>
      <c r="D196" s="0" t="s">
        <v>49</v>
      </c>
      <c r="E196" s="0" t="n">
        <v>4184.26</v>
      </c>
      <c r="F196" s="0" t="n">
        <v>186</v>
      </c>
      <c r="G196" s="0" t="str">
        <f aca="false">IF(F196&lt;=30,"Current",IF(F196&lt;=60,"31 to 60 days",IF(F196&lt;=90,"61 to 90 days",IF(F196&lt;=120,"91 to 120 days","Over 120 days"))))</f>
        <v>Over 120 days</v>
      </c>
      <c r="H196" s="0" t="n">
        <f aca="false">VLOOKUP(D196,Rates!$A$4:$B$7,2,FALSE())</f>
        <v>0.02</v>
      </c>
      <c r="I196" s="0" t="n">
        <f aca="false">VLOOKUP(F196,Rates!$D$4:$E$8,2)</f>
        <v>0.85</v>
      </c>
      <c r="J196" s="0" t="n">
        <f aca="false">ROUND(E196*I196,2)</f>
        <v>3556.62</v>
      </c>
      <c r="K196" s="1" t="n">
        <f aca="false">PV(H196/12,F196/30,0,-E196)</f>
        <v>4141.28089348063</v>
      </c>
      <c r="L196" s="0" t="n">
        <f aca="false">ROUND(E196-K196,2)</f>
        <v>42.98</v>
      </c>
      <c r="M196" s="0" t="n">
        <f aca="false">F196/E196</f>
        <v>0.044452304589103</v>
      </c>
    </row>
    <row r="197" customFormat="false" ht="12.8" hidden="false" customHeight="false" outlineLevel="0" collapsed="false">
      <c r="A197" s="0" t="s">
        <v>341</v>
      </c>
      <c r="B197" s="0" t="s">
        <v>342</v>
      </c>
      <c r="C197" s="0" t="s">
        <v>26</v>
      </c>
      <c r="D197" s="0" t="s">
        <v>23</v>
      </c>
      <c r="E197" s="0" t="n">
        <v>1892.73</v>
      </c>
      <c r="F197" s="0" t="n">
        <v>59</v>
      </c>
      <c r="G197" s="0" t="str">
        <f aca="false">IF(F197&lt;=30,"Current",IF(F197&lt;=60,"31 to 60 days",IF(F197&lt;=90,"61 to 90 days",IF(F197&lt;=120,"91 to 120 days","Over 120 days"))))</f>
        <v>31 to 60 days</v>
      </c>
      <c r="H197" s="0" t="n">
        <f aca="false">VLOOKUP(D197,Rates!$A$4:$B$7,2,FALSE())</f>
        <v>0.115</v>
      </c>
      <c r="I197" s="0" t="n">
        <f aca="false">VLOOKUP(F197,Rates!$D$4:$E$8,2)</f>
        <v>0.1</v>
      </c>
      <c r="J197" s="0" t="n">
        <f aca="false">ROUND(E197*I197,2)</f>
        <v>189.27</v>
      </c>
      <c r="K197" s="1" t="n">
        <f aca="false">PV(H197/12,F197/30,0,-E197)</f>
        <v>1857.55804447839</v>
      </c>
      <c r="L197" s="0" t="n">
        <f aca="false">ROUND(E197-K197,2)</f>
        <v>35.17</v>
      </c>
      <c r="M197" s="0" t="n">
        <f aca="false">F197/E197</f>
        <v>0.0311719051317409</v>
      </c>
    </row>
    <row r="198" customFormat="false" ht="12.8" hidden="false" customHeight="false" outlineLevel="0" collapsed="false">
      <c r="A198" s="0" t="s">
        <v>343</v>
      </c>
      <c r="B198" s="0" t="s">
        <v>344</v>
      </c>
      <c r="C198" s="0" t="s">
        <v>42</v>
      </c>
      <c r="D198" s="0" t="s">
        <v>16</v>
      </c>
      <c r="E198" s="0" t="n">
        <v>4520.82</v>
      </c>
      <c r="F198" s="0" t="n">
        <v>157</v>
      </c>
      <c r="G198" s="0" t="str">
        <f aca="false">IF(F198&lt;=30,"Current",IF(F198&lt;=60,"31 to 60 days",IF(F198&lt;=90,"61 to 90 days",IF(F198&lt;=120,"91 to 120 days","Over 120 days"))))</f>
        <v>Over 120 days</v>
      </c>
      <c r="H198" s="0" t="n">
        <f aca="false">VLOOKUP(D198,Rates!$A$4:$B$7,2,FALSE())</f>
        <v>0.085</v>
      </c>
      <c r="I198" s="0" t="n">
        <f aca="false">VLOOKUP(F198,Rates!$D$4:$E$8,2)</f>
        <v>0.85</v>
      </c>
      <c r="J198" s="0" t="n">
        <f aca="false">ROUND(E198*I198,2)</f>
        <v>3842.7</v>
      </c>
      <c r="K198" s="1" t="n">
        <f aca="false">PV(H198/12,F198/30,0,-E198)</f>
        <v>4356.87309403304</v>
      </c>
      <c r="L198" s="0" t="n">
        <f aca="false">ROUND(E198-K198,2)</f>
        <v>163.95</v>
      </c>
      <c r="M198" s="0" t="n">
        <f aca="false">F198/E198</f>
        <v>0.0347282130233011</v>
      </c>
    </row>
    <row r="199" customFormat="false" ht="12.8" hidden="false" customHeight="false" outlineLevel="0" collapsed="false">
      <c r="A199" s="0" t="s">
        <v>345</v>
      </c>
      <c r="B199" s="0" t="s">
        <v>97</v>
      </c>
      <c r="C199" s="0" t="s">
        <v>42</v>
      </c>
      <c r="D199" s="0" t="s">
        <v>20</v>
      </c>
      <c r="E199" s="0" t="n">
        <v>32667.08</v>
      </c>
      <c r="F199" s="0" t="n">
        <v>346</v>
      </c>
      <c r="G199" s="0" t="str">
        <f aca="false">IF(F199&lt;=30,"Current",IF(F199&lt;=60,"31 to 60 days",IF(F199&lt;=90,"61 to 90 days",IF(F199&lt;=120,"91 to 120 days","Over 120 days"))))</f>
        <v>Over 120 days</v>
      </c>
      <c r="H199" s="0" t="n">
        <f aca="false">VLOOKUP(D199,Rates!$A$4:$B$7,2,FALSE())</f>
        <v>0.05</v>
      </c>
      <c r="I199" s="0" t="n">
        <f aca="false">VLOOKUP(F199,Rates!$D$4:$E$8,2)</f>
        <v>0.85</v>
      </c>
      <c r="J199" s="0" t="n">
        <f aca="false">ROUND(E199*I199,2)</f>
        <v>27767.02</v>
      </c>
      <c r="K199" s="1" t="n">
        <f aca="false">PV(H199/12,F199/30,0,-E199)</f>
        <v>31137.4765020141</v>
      </c>
      <c r="L199" s="0" t="n">
        <f aca="false">ROUND(E199-K199,2)</f>
        <v>1529.6</v>
      </c>
      <c r="M199" s="0" t="n">
        <f aca="false">F199/E199</f>
        <v>0.0105917027172309</v>
      </c>
    </row>
    <row r="200" customFormat="false" ht="12.8" hidden="false" customHeight="false" outlineLevel="0" collapsed="false">
      <c r="A200" s="0" t="s">
        <v>346</v>
      </c>
      <c r="B200" s="0" t="s">
        <v>347</v>
      </c>
      <c r="C200" s="0" t="s">
        <v>42</v>
      </c>
      <c r="D200" s="0" t="s">
        <v>23</v>
      </c>
      <c r="E200" s="0" t="n">
        <v>22340.41</v>
      </c>
      <c r="F200" s="0" t="n">
        <v>342</v>
      </c>
      <c r="G200" s="0" t="str">
        <f aca="false">IF(F200&lt;=30,"Current",IF(F200&lt;=60,"31 to 60 days",IF(F200&lt;=90,"61 to 90 days",IF(F200&lt;=120,"91 to 120 days","Over 120 days"))))</f>
        <v>Over 120 days</v>
      </c>
      <c r="H200" s="0" t="n">
        <f aca="false">VLOOKUP(D200,Rates!$A$4:$B$7,2,FALSE())</f>
        <v>0.115</v>
      </c>
      <c r="I200" s="0" t="n">
        <f aca="false">VLOOKUP(F200,Rates!$D$4:$E$8,2)</f>
        <v>0.85</v>
      </c>
      <c r="J200" s="0" t="n">
        <f aca="false">ROUND(E200*I200,2)</f>
        <v>18989.35</v>
      </c>
      <c r="K200" s="1" t="n">
        <f aca="false">PV(H200/12,F200/30,0,-E200)</f>
        <v>20038.7382994546</v>
      </c>
      <c r="L200" s="0" t="n">
        <f aca="false">ROUND(E200-K200,2)</f>
        <v>2301.67</v>
      </c>
      <c r="M200" s="0" t="n">
        <f aca="false">F200/E200</f>
        <v>0.0153085820716809</v>
      </c>
    </row>
    <row r="201" customFormat="false" ht="12.8" hidden="false" customHeight="false" outlineLevel="0" collapsed="false">
      <c r="A201" s="0" t="s">
        <v>348</v>
      </c>
      <c r="B201" s="0" t="s">
        <v>349</v>
      </c>
      <c r="C201" s="0" t="s">
        <v>15</v>
      </c>
      <c r="D201" s="0" t="s">
        <v>49</v>
      </c>
      <c r="E201" s="0" t="n">
        <v>439.87</v>
      </c>
      <c r="F201" s="0" t="n">
        <v>322</v>
      </c>
      <c r="G201" s="0" t="str">
        <f aca="false">IF(F201&lt;=30,"Current",IF(F201&lt;=60,"31 to 60 days",IF(F201&lt;=90,"61 to 90 days",IF(F201&lt;=120,"91 to 120 days","Over 120 days"))))</f>
        <v>Over 120 days</v>
      </c>
      <c r="H201" s="0" t="n">
        <f aca="false">VLOOKUP(D201,Rates!$A$4:$B$7,2,FALSE())</f>
        <v>0.02</v>
      </c>
      <c r="I201" s="0" t="n">
        <f aca="false">VLOOKUP(F201,Rates!$D$4:$E$8,2)</f>
        <v>0.85</v>
      </c>
      <c r="J201" s="0" t="n">
        <f aca="false">ROUND(E201*I201,2)</f>
        <v>373.89</v>
      </c>
      <c r="K201" s="1" t="n">
        <f aca="false">PV(H201/12,F201/30,0,-E201)</f>
        <v>432.077612506356</v>
      </c>
      <c r="L201" s="0" t="n">
        <f aca="false">ROUND(E201-K201,2)</f>
        <v>7.79</v>
      </c>
      <c r="M201" s="0" t="n">
        <f aca="false">F201/E201</f>
        <v>0.732034464728215</v>
      </c>
    </row>
    <row r="202" customFormat="false" ht="12.8" hidden="false" customHeight="false" outlineLevel="0" collapsed="false">
      <c r="A202" s="0" t="s">
        <v>350</v>
      </c>
      <c r="B202" s="0" t="s">
        <v>351</v>
      </c>
      <c r="C202" s="0" t="s">
        <v>15</v>
      </c>
      <c r="D202" s="0" t="s">
        <v>16</v>
      </c>
      <c r="E202" s="0" t="n">
        <v>5647.93</v>
      </c>
      <c r="F202" s="0" t="n">
        <v>203</v>
      </c>
      <c r="G202" s="0" t="str">
        <f aca="false">IF(F202&lt;=30,"Current",IF(F202&lt;=60,"31 to 60 days",IF(F202&lt;=90,"61 to 90 days",IF(F202&lt;=120,"91 to 120 days","Over 120 days"))))</f>
        <v>Over 120 days</v>
      </c>
      <c r="H202" s="0" t="n">
        <f aca="false">VLOOKUP(D202,Rates!$A$4:$B$7,2,FALSE())</f>
        <v>0.085</v>
      </c>
      <c r="I202" s="0" t="n">
        <f aca="false">VLOOKUP(F202,Rates!$D$4:$E$8,2)</f>
        <v>0.85</v>
      </c>
      <c r="J202" s="0" t="n">
        <f aca="false">ROUND(E202*I202,2)</f>
        <v>4800.74</v>
      </c>
      <c r="K202" s="1" t="n">
        <f aca="false">PV(H202/12,F202/30,0,-E202)</f>
        <v>5384.51643175968</v>
      </c>
      <c r="L202" s="0" t="n">
        <f aca="false">ROUND(E202-K202,2)</f>
        <v>263.41</v>
      </c>
      <c r="M202" s="0" t="n">
        <f aca="false">F202/E202</f>
        <v>0.035942371807016</v>
      </c>
    </row>
    <row r="203" customFormat="false" ht="12.8" hidden="false" customHeight="false" outlineLevel="0" collapsed="false">
      <c r="A203" s="0" t="s">
        <v>352</v>
      </c>
      <c r="B203" s="0" t="s">
        <v>353</v>
      </c>
      <c r="C203" s="0" t="s">
        <v>36</v>
      </c>
      <c r="D203" s="0" t="s">
        <v>16</v>
      </c>
      <c r="E203" s="0" t="n">
        <v>42977</v>
      </c>
      <c r="F203" s="0" t="n">
        <v>103</v>
      </c>
      <c r="G203" s="0" t="str">
        <f aca="false">IF(F203&lt;=30,"Current",IF(F203&lt;=60,"31 to 60 days",IF(F203&lt;=90,"61 to 90 days",IF(F203&lt;=120,"91 to 120 days","Over 120 days"))))</f>
        <v>91 to 120 days</v>
      </c>
      <c r="H203" s="0" t="n">
        <f aca="false">VLOOKUP(D203,Rates!$A$4:$B$7,2,FALSE())</f>
        <v>0.085</v>
      </c>
      <c r="I203" s="0" t="n">
        <f aca="false">VLOOKUP(F203,Rates!$D$4:$E$8,2)</f>
        <v>0.5</v>
      </c>
      <c r="J203" s="0" t="n">
        <f aca="false">ROUND(E203*I203,2)</f>
        <v>21488.5</v>
      </c>
      <c r="K203" s="1" t="n">
        <f aca="false">PV(H203/12,F203/30,0,-E203)</f>
        <v>41948.025807994</v>
      </c>
      <c r="L203" s="0" t="n">
        <f aca="false">ROUND(E203-K203,2)</f>
        <v>1028.97</v>
      </c>
      <c r="M203" s="0" t="n">
        <f aca="false">F203/E203</f>
        <v>0.00239663075598576</v>
      </c>
    </row>
    <row r="204" customFormat="false" ht="12.8" hidden="false" customHeight="false" outlineLevel="0" collapsed="false">
      <c r="A204" s="0" t="s">
        <v>354</v>
      </c>
      <c r="B204" s="0" t="s">
        <v>216</v>
      </c>
      <c r="C204" s="0" t="s">
        <v>15</v>
      </c>
      <c r="D204" s="0" t="s">
        <v>23</v>
      </c>
      <c r="E204" s="0" t="n">
        <v>26375.11</v>
      </c>
      <c r="F204" s="0" t="n">
        <v>136</v>
      </c>
      <c r="G204" s="0" t="str">
        <f aca="false">IF(F204&lt;=30,"Current",IF(F204&lt;=60,"31 to 60 days",IF(F204&lt;=90,"61 to 90 days",IF(F204&lt;=120,"91 to 120 days","Over 120 days"))))</f>
        <v>Over 120 days</v>
      </c>
      <c r="H204" s="0" t="n">
        <f aca="false">VLOOKUP(D204,Rates!$A$4:$B$7,2,FALSE())</f>
        <v>0.115</v>
      </c>
      <c r="I204" s="0" t="n">
        <f aca="false">VLOOKUP(F204,Rates!$D$4:$E$8,2)</f>
        <v>0.85</v>
      </c>
      <c r="J204" s="0" t="n">
        <f aca="false">ROUND(E204*I204,2)</f>
        <v>22418.84</v>
      </c>
      <c r="K204" s="1" t="n">
        <f aca="false">PV(H204/12,F204/30,0,-E204)</f>
        <v>25259.0161885469</v>
      </c>
      <c r="L204" s="0" t="n">
        <f aca="false">ROUND(E204-K204,2)</f>
        <v>1116.09</v>
      </c>
      <c r="M204" s="0" t="n">
        <f aca="false">F204/E204</f>
        <v>0.00515637659899807</v>
      </c>
    </row>
    <row r="205" customFormat="false" ht="12.8" hidden="false" customHeight="false" outlineLevel="0" collapsed="false">
      <c r="A205" s="0" t="s">
        <v>355</v>
      </c>
      <c r="B205" s="0" t="s">
        <v>44</v>
      </c>
      <c r="C205" s="0" t="s">
        <v>36</v>
      </c>
      <c r="D205" s="0" t="s">
        <v>23</v>
      </c>
      <c r="E205" s="0" t="n">
        <v>41789.17</v>
      </c>
      <c r="F205" s="0" t="n">
        <v>331</v>
      </c>
      <c r="G205" s="0" t="str">
        <f aca="false">IF(F205&lt;=30,"Current",IF(F205&lt;=60,"31 to 60 days",IF(F205&lt;=90,"61 to 90 days",IF(F205&lt;=120,"91 to 120 days","Over 120 days"))))</f>
        <v>Over 120 days</v>
      </c>
      <c r="H205" s="0" t="n">
        <f aca="false">VLOOKUP(D205,Rates!$A$4:$B$7,2,FALSE())</f>
        <v>0.115</v>
      </c>
      <c r="I205" s="0" t="n">
        <f aca="false">VLOOKUP(F205,Rates!$D$4:$E$8,2)</f>
        <v>0.85</v>
      </c>
      <c r="J205" s="0" t="n">
        <f aca="false">ROUND(E205*I205,2)</f>
        <v>35520.79</v>
      </c>
      <c r="K205" s="1" t="n">
        <f aca="false">PV(H205/12,F205/30,0,-E205)</f>
        <v>37615.0615107888</v>
      </c>
      <c r="L205" s="0" t="n">
        <f aca="false">ROUND(E205-K205,2)</f>
        <v>4174.11</v>
      </c>
      <c r="M205" s="0" t="n">
        <f aca="false">F205/E205</f>
        <v>0.00792071247167627</v>
      </c>
    </row>
    <row r="206" customFormat="false" ht="12.8" hidden="false" customHeight="false" outlineLevel="0" collapsed="false">
      <c r="A206" s="0" t="s">
        <v>356</v>
      </c>
      <c r="B206" s="0" t="s">
        <v>357</v>
      </c>
      <c r="C206" s="0" t="s">
        <v>19</v>
      </c>
      <c r="D206" s="0" t="s">
        <v>23</v>
      </c>
      <c r="E206" s="0" t="n">
        <v>37469.76</v>
      </c>
      <c r="F206" s="0" t="n">
        <v>87</v>
      </c>
      <c r="G206" s="0" t="str">
        <f aca="false">IF(F206&lt;=30,"Current",IF(F206&lt;=60,"31 to 60 days",IF(F206&lt;=90,"61 to 90 days",IF(F206&lt;=120,"91 to 120 days","Over 120 days"))))</f>
        <v>61 to 90 days</v>
      </c>
      <c r="H206" s="0" t="n">
        <f aca="false">VLOOKUP(D206,Rates!$A$4:$B$7,2,FALSE())</f>
        <v>0.115</v>
      </c>
      <c r="I206" s="0" t="n">
        <f aca="false">VLOOKUP(F206,Rates!$D$4:$E$8,2)</f>
        <v>0.25</v>
      </c>
      <c r="J206" s="0" t="n">
        <f aca="false">ROUND(E206*I206,2)</f>
        <v>9367.44</v>
      </c>
      <c r="K206" s="1" t="n">
        <f aca="false">PV(H206/12,F206/30,0,-E206)</f>
        <v>36447.5727372814</v>
      </c>
      <c r="L206" s="0" t="n">
        <f aca="false">ROUND(E206-K206,2)</f>
        <v>1022.19</v>
      </c>
      <c r="M206" s="0" t="n">
        <f aca="false">F206/E206</f>
        <v>0.00232187235786939</v>
      </c>
    </row>
    <row r="207" customFormat="false" ht="12.8" hidden="false" customHeight="false" outlineLevel="0" collapsed="false">
      <c r="A207" s="0" t="s">
        <v>358</v>
      </c>
      <c r="B207" s="0" t="s">
        <v>33</v>
      </c>
      <c r="C207" s="0" t="s">
        <v>26</v>
      </c>
      <c r="D207" s="0" t="s">
        <v>20</v>
      </c>
      <c r="E207" s="0" t="n">
        <v>22363.24</v>
      </c>
      <c r="F207" s="0" t="n">
        <v>189</v>
      </c>
      <c r="G207" s="0" t="str">
        <f aca="false">IF(F207&lt;=30,"Current",IF(F207&lt;=60,"31 to 60 days",IF(F207&lt;=90,"61 to 90 days",IF(F207&lt;=120,"91 to 120 days","Over 120 days"))))</f>
        <v>Over 120 days</v>
      </c>
      <c r="H207" s="0" t="n">
        <f aca="false">VLOOKUP(D207,Rates!$A$4:$B$7,2,FALSE())</f>
        <v>0.05</v>
      </c>
      <c r="I207" s="0" t="n">
        <f aca="false">VLOOKUP(F207,Rates!$D$4:$E$8,2)</f>
        <v>0.85</v>
      </c>
      <c r="J207" s="0" t="n">
        <f aca="false">ROUND(E207*I207,2)</f>
        <v>19008.75</v>
      </c>
      <c r="K207" s="1" t="n">
        <f aca="false">PV(H207/12,F207/30,0,-E207)</f>
        <v>21785.0308452662</v>
      </c>
      <c r="L207" s="0" t="n">
        <f aca="false">ROUND(E207-K207,2)</f>
        <v>578.21</v>
      </c>
      <c r="M207" s="0" t="n">
        <f aca="false">F207/E207</f>
        <v>0.00845136930069167</v>
      </c>
    </row>
    <row r="208" customFormat="false" ht="12.8" hidden="false" customHeight="false" outlineLevel="0" collapsed="false">
      <c r="A208" s="0" t="s">
        <v>359</v>
      </c>
      <c r="B208" s="0" t="s">
        <v>18</v>
      </c>
      <c r="C208" s="0" t="s">
        <v>19</v>
      </c>
      <c r="D208" s="0" t="s">
        <v>20</v>
      </c>
      <c r="E208" s="0" t="n">
        <v>22353.33</v>
      </c>
      <c r="F208" s="0" t="n">
        <v>268</v>
      </c>
      <c r="G208" s="0" t="str">
        <f aca="false">IF(F208&lt;=30,"Current",IF(F208&lt;=60,"31 to 60 days",IF(F208&lt;=90,"61 to 90 days",IF(F208&lt;=120,"91 to 120 days","Over 120 days"))))</f>
        <v>Over 120 days</v>
      </c>
      <c r="H208" s="0" t="n">
        <f aca="false">VLOOKUP(D208,Rates!$A$4:$B$7,2,FALSE())</f>
        <v>0.05</v>
      </c>
      <c r="I208" s="0" t="n">
        <f aca="false">VLOOKUP(F208,Rates!$D$4:$E$8,2)</f>
        <v>0.85</v>
      </c>
      <c r="J208" s="0" t="n">
        <f aca="false">ROUND(E208*I208,2)</f>
        <v>19000.33</v>
      </c>
      <c r="K208" s="1" t="n">
        <f aca="false">PV(H208/12,F208/30,0,-E208)</f>
        <v>21538.2497492402</v>
      </c>
      <c r="L208" s="0" t="n">
        <f aca="false">ROUND(E208-K208,2)</f>
        <v>815.08</v>
      </c>
      <c r="M208" s="0" t="n">
        <f aca="false">F208/E208</f>
        <v>0.0119892651340986</v>
      </c>
    </row>
    <row r="209" customFormat="false" ht="12.8" hidden="false" customHeight="false" outlineLevel="0" collapsed="false">
      <c r="A209" s="0" t="s">
        <v>360</v>
      </c>
      <c r="B209" s="0" t="s">
        <v>361</v>
      </c>
      <c r="C209" s="0" t="s">
        <v>31</v>
      </c>
      <c r="D209" s="0" t="s">
        <v>16</v>
      </c>
      <c r="E209" s="0" t="n">
        <v>42297.42</v>
      </c>
      <c r="F209" s="0" t="n">
        <v>52</v>
      </c>
      <c r="G209" s="0" t="str">
        <f aca="false">IF(F209&lt;=30,"Current",IF(F209&lt;=60,"31 to 60 days",IF(F209&lt;=90,"61 to 90 days",IF(F209&lt;=120,"91 to 120 days","Over 120 days"))))</f>
        <v>31 to 60 days</v>
      </c>
      <c r="H209" s="0" t="n">
        <f aca="false">VLOOKUP(D209,Rates!$A$4:$B$7,2,FALSE())</f>
        <v>0.085</v>
      </c>
      <c r="I209" s="0" t="n">
        <f aca="false">VLOOKUP(F209,Rates!$D$4:$E$8,2)</f>
        <v>0.1</v>
      </c>
      <c r="J209" s="0" t="n">
        <f aca="false">ROUND(E209*I209,2)</f>
        <v>4229.74</v>
      </c>
      <c r="K209" s="1" t="n">
        <f aca="false">PV(H209/12,F209/30,0,-E209)</f>
        <v>41783.085020367</v>
      </c>
      <c r="L209" s="0" t="n">
        <f aca="false">ROUND(E209-K209,2)</f>
        <v>514.33</v>
      </c>
      <c r="M209" s="0" t="n">
        <f aca="false">F209/E209</f>
        <v>0.0012293894048384</v>
      </c>
    </row>
    <row r="210" customFormat="false" ht="12.8" hidden="false" customHeight="false" outlineLevel="0" collapsed="false">
      <c r="A210" s="0" t="s">
        <v>362</v>
      </c>
      <c r="B210" s="0" t="s">
        <v>363</v>
      </c>
      <c r="C210" s="0" t="s">
        <v>26</v>
      </c>
      <c r="D210" s="0" t="s">
        <v>16</v>
      </c>
      <c r="E210" s="0" t="n">
        <v>4048.51</v>
      </c>
      <c r="F210" s="0" t="n">
        <v>99</v>
      </c>
      <c r="G210" s="0" t="str">
        <f aca="false">IF(F210&lt;=30,"Current",IF(F210&lt;=60,"31 to 60 days",IF(F210&lt;=90,"61 to 90 days",IF(F210&lt;=120,"91 to 120 days","Over 120 days"))))</f>
        <v>91 to 120 days</v>
      </c>
      <c r="H210" s="0" t="n">
        <f aca="false">VLOOKUP(D210,Rates!$A$4:$B$7,2,FALSE())</f>
        <v>0.085</v>
      </c>
      <c r="I210" s="0" t="n">
        <f aca="false">VLOOKUP(F210,Rates!$D$4:$E$8,2)</f>
        <v>0.5</v>
      </c>
      <c r="J210" s="0" t="n">
        <f aca="false">ROUND(E210*I210,2)</f>
        <v>2024.26</v>
      </c>
      <c r="K210" s="1" t="n">
        <f aca="false">PV(H210/12,F210/30,0,-E210)</f>
        <v>3955.29943868743</v>
      </c>
      <c r="L210" s="0" t="n">
        <f aca="false">ROUND(E210-K210,2)</f>
        <v>93.21</v>
      </c>
      <c r="M210" s="0" t="n">
        <f aca="false">F210/E210</f>
        <v>0.0244534408955393</v>
      </c>
    </row>
    <row r="211" customFormat="false" ht="12.8" hidden="false" customHeight="false" outlineLevel="0" collapsed="false">
      <c r="A211" s="0" t="s">
        <v>364</v>
      </c>
      <c r="B211" s="0" t="s">
        <v>97</v>
      </c>
      <c r="C211" s="0" t="s">
        <v>42</v>
      </c>
      <c r="D211" s="0" t="s">
        <v>20</v>
      </c>
      <c r="E211" s="0" t="n">
        <v>37124.23</v>
      </c>
      <c r="F211" s="0" t="n">
        <v>134</v>
      </c>
      <c r="G211" s="0" t="str">
        <f aca="false">IF(F211&lt;=30,"Current",IF(F211&lt;=60,"31 to 60 days",IF(F211&lt;=90,"61 to 90 days",IF(F211&lt;=120,"91 to 120 days","Over 120 days"))))</f>
        <v>Over 120 days</v>
      </c>
      <c r="H211" s="0" t="n">
        <f aca="false">VLOOKUP(D211,Rates!$A$4:$B$7,2,FALSE())</f>
        <v>0.05</v>
      </c>
      <c r="I211" s="0" t="n">
        <f aca="false">VLOOKUP(F211,Rates!$D$4:$E$8,2)</f>
        <v>0.85</v>
      </c>
      <c r="J211" s="0" t="n">
        <f aca="false">ROUND(E211*I211,2)</f>
        <v>31555.6</v>
      </c>
      <c r="K211" s="1" t="n">
        <f aca="false">PV(H211/12,F211/30,0,-E211)</f>
        <v>36441.1055496906</v>
      </c>
      <c r="L211" s="0" t="n">
        <f aca="false">ROUND(E211-K211,2)</f>
        <v>683.12</v>
      </c>
      <c r="M211" s="0" t="n">
        <f aca="false">F211/E211</f>
        <v>0.00360950247318261</v>
      </c>
    </row>
    <row r="212" customFormat="false" ht="12.8" hidden="false" customHeight="false" outlineLevel="0" collapsed="false">
      <c r="A212" s="0" t="s">
        <v>365</v>
      </c>
      <c r="B212" s="0" t="s">
        <v>366</v>
      </c>
      <c r="C212" s="0" t="s">
        <v>15</v>
      </c>
      <c r="D212" s="0" t="s">
        <v>49</v>
      </c>
      <c r="E212" s="0" t="n">
        <v>13368.49</v>
      </c>
      <c r="F212" s="0" t="n">
        <v>113</v>
      </c>
      <c r="G212" s="0" t="str">
        <f aca="false">IF(F212&lt;=30,"Current",IF(F212&lt;=60,"31 to 60 days",IF(F212&lt;=90,"61 to 90 days",IF(F212&lt;=120,"91 to 120 days","Over 120 days"))))</f>
        <v>91 to 120 days</v>
      </c>
      <c r="H212" s="0" t="n">
        <f aca="false">VLOOKUP(D212,Rates!$A$4:$B$7,2,FALSE())</f>
        <v>0.02</v>
      </c>
      <c r="I212" s="0" t="n">
        <f aca="false">VLOOKUP(F212,Rates!$D$4:$E$8,2)</f>
        <v>0.5</v>
      </c>
      <c r="J212" s="0" t="n">
        <f aca="false">ROUND(E212*I212,2)</f>
        <v>6684.25</v>
      </c>
      <c r="K212" s="1" t="n">
        <f aca="false">PV(H212/12,F212/30,0,-E212)</f>
        <v>13284.897891956</v>
      </c>
      <c r="L212" s="0" t="n">
        <f aca="false">ROUND(E212-K212,2)</f>
        <v>83.59</v>
      </c>
      <c r="M212" s="0" t="n">
        <f aca="false">F212/E212</f>
        <v>0.00845271231081446</v>
      </c>
    </row>
    <row r="213" customFormat="false" ht="12.8" hidden="false" customHeight="false" outlineLevel="0" collapsed="false">
      <c r="A213" s="0" t="s">
        <v>367</v>
      </c>
      <c r="B213" s="0" t="s">
        <v>368</v>
      </c>
      <c r="C213" s="0" t="s">
        <v>42</v>
      </c>
      <c r="D213" s="0" t="s">
        <v>23</v>
      </c>
      <c r="E213" s="0" t="n">
        <v>21055.41</v>
      </c>
      <c r="F213" s="0" t="n">
        <v>374</v>
      </c>
      <c r="G213" s="0" t="str">
        <f aca="false">IF(F213&lt;=30,"Current",IF(F213&lt;=60,"31 to 60 days",IF(F213&lt;=90,"61 to 90 days",IF(F213&lt;=120,"91 to 120 days","Over 120 days"))))</f>
        <v>Over 120 days</v>
      </c>
      <c r="H213" s="0" t="n">
        <f aca="false">VLOOKUP(D213,Rates!$A$4:$B$7,2,FALSE())</f>
        <v>0.115</v>
      </c>
      <c r="I213" s="0" t="n">
        <f aca="false">VLOOKUP(F213,Rates!$D$4:$E$8,2)</f>
        <v>0.85</v>
      </c>
      <c r="J213" s="0" t="n">
        <f aca="false">ROUND(E213*I213,2)</f>
        <v>17897.1</v>
      </c>
      <c r="K213" s="1" t="n">
        <f aca="false">PV(H213/12,F213/30,0,-E213)</f>
        <v>18694.963419176</v>
      </c>
      <c r="L213" s="0" t="n">
        <f aca="false">ROUND(E213-K213,2)</f>
        <v>2360.45</v>
      </c>
      <c r="M213" s="0" t="n">
        <f aca="false">F213/E213</f>
        <v>0.0177626557735043</v>
      </c>
    </row>
    <row r="214" customFormat="false" ht="12.8" hidden="false" customHeight="false" outlineLevel="0" collapsed="false">
      <c r="A214" s="0" t="s">
        <v>369</v>
      </c>
      <c r="B214" s="0" t="s">
        <v>330</v>
      </c>
      <c r="C214" s="0" t="s">
        <v>15</v>
      </c>
      <c r="D214" s="0" t="s">
        <v>23</v>
      </c>
      <c r="E214" s="0" t="n">
        <v>28667.55</v>
      </c>
      <c r="F214" s="0" t="n">
        <v>143</v>
      </c>
      <c r="G214" s="0" t="str">
        <f aca="false">IF(F214&lt;=30,"Current",IF(F214&lt;=60,"31 to 60 days",IF(F214&lt;=90,"61 to 90 days",IF(F214&lt;=120,"91 to 120 days","Over 120 days"))))</f>
        <v>Over 120 days</v>
      </c>
      <c r="H214" s="0" t="n">
        <f aca="false">VLOOKUP(D214,Rates!$A$4:$B$7,2,FALSE())</f>
        <v>0.115</v>
      </c>
      <c r="I214" s="0" t="n">
        <f aca="false">VLOOKUP(F214,Rates!$D$4:$E$8,2)</f>
        <v>0.85</v>
      </c>
      <c r="J214" s="0" t="n">
        <f aca="false">ROUND(E214*I214,2)</f>
        <v>24367.42</v>
      </c>
      <c r="K214" s="1" t="n">
        <f aca="false">PV(H214/12,F214/30,0,-E214)</f>
        <v>27393.4179310168</v>
      </c>
      <c r="L214" s="0" t="n">
        <f aca="false">ROUND(E214-K214,2)</f>
        <v>1274.13</v>
      </c>
      <c r="M214" s="0" t="n">
        <f aca="false">F214/E214</f>
        <v>0.00498821838629391</v>
      </c>
    </row>
    <row r="215" customFormat="false" ht="12.8" hidden="false" customHeight="false" outlineLevel="0" collapsed="false">
      <c r="A215" s="0" t="s">
        <v>370</v>
      </c>
      <c r="B215" s="0" t="s">
        <v>371</v>
      </c>
      <c r="C215" s="0" t="s">
        <v>42</v>
      </c>
      <c r="D215" s="0" t="s">
        <v>16</v>
      </c>
      <c r="E215" s="0" t="n">
        <v>24998.15</v>
      </c>
      <c r="F215" s="0" t="n">
        <v>60</v>
      </c>
      <c r="G215" s="0" t="str">
        <f aca="false">IF(F215&lt;=30,"Current",IF(F215&lt;=60,"31 to 60 days",IF(F215&lt;=90,"61 to 90 days",IF(F215&lt;=120,"91 to 120 days","Over 120 days"))))</f>
        <v>31 to 60 days</v>
      </c>
      <c r="H215" s="0" t="n">
        <f aca="false">VLOOKUP(D215,Rates!$A$4:$B$7,2,FALSE())</f>
        <v>0.085</v>
      </c>
      <c r="I215" s="0" t="n">
        <f aca="false">VLOOKUP(F215,Rates!$D$4:$E$8,2)</f>
        <v>0.1</v>
      </c>
      <c r="J215" s="0" t="n">
        <f aca="false">ROUND(E215*I215,2)</f>
        <v>2499.82</v>
      </c>
      <c r="K215" s="1" t="n">
        <f aca="false">PV(H215/12,F215/30,0,-E215)</f>
        <v>24647.7370590232</v>
      </c>
      <c r="L215" s="0" t="n">
        <f aca="false">ROUND(E215-K215,2)</f>
        <v>350.41</v>
      </c>
      <c r="M215" s="0" t="n">
        <f aca="false">F215/E215</f>
        <v>0.00240017761314337</v>
      </c>
    </row>
    <row r="216" customFormat="false" ht="12.8" hidden="false" customHeight="false" outlineLevel="0" collapsed="false">
      <c r="A216" s="0" t="s">
        <v>372</v>
      </c>
      <c r="B216" s="0" t="s">
        <v>51</v>
      </c>
      <c r="C216" s="0" t="s">
        <v>36</v>
      </c>
      <c r="D216" s="0" t="s">
        <v>20</v>
      </c>
      <c r="E216" s="0" t="n">
        <v>13413.36</v>
      </c>
      <c r="F216" s="0" t="n">
        <v>36</v>
      </c>
      <c r="G216" s="0" t="str">
        <f aca="false">IF(F216&lt;=30,"Current",IF(F216&lt;=60,"31 to 60 days",IF(F216&lt;=90,"61 to 90 days",IF(F216&lt;=120,"91 to 120 days","Over 120 days"))))</f>
        <v>31 to 60 days</v>
      </c>
      <c r="H216" s="0" t="n">
        <f aca="false">VLOOKUP(D216,Rates!$A$4:$B$7,2,FALSE())</f>
        <v>0.05</v>
      </c>
      <c r="I216" s="0" t="n">
        <f aca="false">VLOOKUP(F216,Rates!$D$4:$E$8,2)</f>
        <v>0.1</v>
      </c>
      <c r="J216" s="0" t="n">
        <f aca="false">ROUND(E216*I216,2)</f>
        <v>1341.34</v>
      </c>
      <c r="K216" s="1" t="n">
        <f aca="false">PV(H216/12,F216/30,0,-E216)</f>
        <v>13346.5992292757</v>
      </c>
      <c r="L216" s="0" t="n">
        <f aca="false">ROUND(E216-K216,2)</f>
        <v>66.76</v>
      </c>
      <c r="M216" s="0" t="n">
        <f aca="false">F216/E216</f>
        <v>0.00268389128451037</v>
      </c>
    </row>
    <row r="217" customFormat="false" ht="12.8" hidden="false" customHeight="false" outlineLevel="0" collapsed="false">
      <c r="A217" s="0" t="s">
        <v>373</v>
      </c>
      <c r="B217" s="0" t="s">
        <v>18</v>
      </c>
      <c r="C217" s="0" t="s">
        <v>19</v>
      </c>
      <c r="D217" s="0" t="s">
        <v>20</v>
      </c>
      <c r="E217" s="0" t="n">
        <v>39385.51</v>
      </c>
      <c r="F217" s="0" t="n">
        <v>154</v>
      </c>
      <c r="G217" s="0" t="str">
        <f aca="false">IF(F217&lt;=30,"Current",IF(F217&lt;=60,"31 to 60 days",IF(F217&lt;=90,"61 to 90 days",IF(F217&lt;=120,"91 to 120 days","Over 120 days"))))</f>
        <v>Over 120 days</v>
      </c>
      <c r="H217" s="0" t="n">
        <f aca="false">VLOOKUP(D217,Rates!$A$4:$B$7,2,FALSE())</f>
        <v>0.05</v>
      </c>
      <c r="I217" s="0" t="n">
        <f aca="false">VLOOKUP(F217,Rates!$D$4:$E$8,2)</f>
        <v>0.85</v>
      </c>
      <c r="J217" s="0" t="n">
        <f aca="false">ROUND(E217*I217,2)</f>
        <v>33477.68</v>
      </c>
      <c r="K217" s="1" t="n">
        <f aca="false">PV(H217/12,F217/30,0,-E217)</f>
        <v>38553.7561117094</v>
      </c>
      <c r="L217" s="0" t="n">
        <f aca="false">ROUND(E217-K217,2)</f>
        <v>831.75</v>
      </c>
      <c r="M217" s="0" t="n">
        <f aca="false">F217/E217</f>
        <v>0.0039100674334292</v>
      </c>
    </row>
    <row r="218" customFormat="false" ht="12.8" hidden="false" customHeight="false" outlineLevel="0" collapsed="false">
      <c r="A218" s="0" t="s">
        <v>374</v>
      </c>
      <c r="B218" s="0" t="s">
        <v>375</v>
      </c>
      <c r="C218" s="0" t="s">
        <v>42</v>
      </c>
      <c r="D218" s="0" t="s">
        <v>23</v>
      </c>
      <c r="E218" s="0" t="n">
        <v>29689.5</v>
      </c>
      <c r="F218" s="0" t="n">
        <v>70</v>
      </c>
      <c r="G218" s="0" t="str">
        <f aca="false">IF(F218&lt;=30,"Current",IF(F218&lt;=60,"31 to 60 days",IF(F218&lt;=90,"61 to 90 days",IF(F218&lt;=120,"91 to 120 days","Over 120 days"))))</f>
        <v>61 to 90 days</v>
      </c>
      <c r="H218" s="0" t="n">
        <f aca="false">VLOOKUP(D218,Rates!$A$4:$B$7,2,FALSE())</f>
        <v>0.115</v>
      </c>
      <c r="I218" s="0" t="n">
        <f aca="false">VLOOKUP(F218,Rates!$D$4:$E$8,2)</f>
        <v>0.25</v>
      </c>
      <c r="J218" s="0" t="n">
        <f aca="false">ROUND(E218*I218,2)</f>
        <v>7422.38</v>
      </c>
      <c r="K218" s="1" t="n">
        <f aca="false">PV(H218/12,F218/30,0,-E218)</f>
        <v>29036.0686625662</v>
      </c>
      <c r="L218" s="0" t="n">
        <f aca="false">ROUND(E218-K218,2)</f>
        <v>653.43</v>
      </c>
      <c r="M218" s="0" t="n">
        <f aca="false">F218/E218</f>
        <v>0.00235773589989727</v>
      </c>
    </row>
    <row r="219" customFormat="false" ht="12.8" hidden="false" customHeight="false" outlineLevel="0" collapsed="false">
      <c r="A219" s="0" t="s">
        <v>376</v>
      </c>
      <c r="B219" s="0" t="s">
        <v>377</v>
      </c>
      <c r="C219" s="0" t="s">
        <v>15</v>
      </c>
      <c r="D219" s="0" t="s">
        <v>16</v>
      </c>
      <c r="E219" s="0" t="n">
        <v>38069.21</v>
      </c>
      <c r="F219" s="0" t="n">
        <v>174</v>
      </c>
      <c r="G219" s="0" t="str">
        <f aca="false">IF(F219&lt;=30,"Current",IF(F219&lt;=60,"31 to 60 days",IF(F219&lt;=90,"61 to 90 days",IF(F219&lt;=120,"91 to 120 days","Over 120 days"))))</f>
        <v>Over 120 days</v>
      </c>
      <c r="H219" s="0" t="n">
        <f aca="false">VLOOKUP(D219,Rates!$A$4:$B$7,2,FALSE())</f>
        <v>0.085</v>
      </c>
      <c r="I219" s="0" t="n">
        <f aca="false">VLOOKUP(F219,Rates!$D$4:$E$8,2)</f>
        <v>0.85</v>
      </c>
      <c r="J219" s="0" t="n">
        <f aca="false">ROUND(E219*I219,2)</f>
        <v>32358.83</v>
      </c>
      <c r="K219" s="1" t="n">
        <f aca="false">PV(H219/12,F219/30,0,-E219)</f>
        <v>36542.1835001602</v>
      </c>
      <c r="L219" s="0" t="n">
        <f aca="false">ROUND(E219-K219,2)</f>
        <v>1527.03</v>
      </c>
      <c r="M219" s="0" t="n">
        <f aca="false">F219/E219</f>
        <v>0.0045706228209096</v>
      </c>
    </row>
    <row r="220" customFormat="false" ht="12.8" hidden="false" customHeight="false" outlineLevel="0" collapsed="false">
      <c r="A220" s="0" t="s">
        <v>378</v>
      </c>
      <c r="B220" s="0" t="s">
        <v>111</v>
      </c>
      <c r="C220" s="0" t="s">
        <v>19</v>
      </c>
      <c r="D220" s="0" t="s">
        <v>23</v>
      </c>
      <c r="E220" s="0" t="n">
        <v>26279.63</v>
      </c>
      <c r="F220" s="0" t="n">
        <v>258</v>
      </c>
      <c r="G220" s="0" t="str">
        <f aca="false">IF(F220&lt;=30,"Current",IF(F220&lt;=60,"31 to 60 days",IF(F220&lt;=90,"61 to 90 days",IF(F220&lt;=120,"91 to 120 days","Over 120 days"))))</f>
        <v>Over 120 days</v>
      </c>
      <c r="H220" s="0" t="n">
        <f aca="false">VLOOKUP(D220,Rates!$A$4:$B$7,2,FALSE())</f>
        <v>0.115</v>
      </c>
      <c r="I220" s="0" t="n">
        <f aca="false">VLOOKUP(F220,Rates!$D$4:$E$8,2)</f>
        <v>0.85</v>
      </c>
      <c r="J220" s="0" t="n">
        <f aca="false">ROUND(E220*I220,2)</f>
        <v>22337.69</v>
      </c>
      <c r="K220" s="1" t="n">
        <f aca="false">PV(H220/12,F220/30,0,-E220)</f>
        <v>24210.0988953281</v>
      </c>
      <c r="L220" s="0" t="n">
        <f aca="false">ROUND(E220-K220,2)</f>
        <v>2069.53</v>
      </c>
      <c r="M220" s="0" t="n">
        <f aca="false">F220/E220</f>
        <v>0.00981748982006215</v>
      </c>
    </row>
    <row r="221" customFormat="false" ht="12.8" hidden="false" customHeight="false" outlineLevel="0" collapsed="false">
      <c r="A221" s="0" t="s">
        <v>379</v>
      </c>
      <c r="B221" s="0" t="s">
        <v>120</v>
      </c>
      <c r="C221" s="0" t="s">
        <v>31</v>
      </c>
      <c r="D221" s="0" t="s">
        <v>23</v>
      </c>
      <c r="E221" s="0" t="n">
        <v>988.56</v>
      </c>
      <c r="F221" s="0" t="n">
        <v>62</v>
      </c>
      <c r="G221" s="0" t="str">
        <f aca="false">IF(F221&lt;=30,"Current",IF(F221&lt;=60,"31 to 60 days",IF(F221&lt;=90,"61 to 90 days",IF(F221&lt;=120,"91 to 120 days","Over 120 days"))))</f>
        <v>61 to 90 days</v>
      </c>
      <c r="H221" s="0" t="n">
        <f aca="false">VLOOKUP(D221,Rates!$A$4:$B$7,2,FALSE())</f>
        <v>0.115</v>
      </c>
      <c r="I221" s="0" t="n">
        <f aca="false">VLOOKUP(F221,Rates!$D$4:$E$8,2)</f>
        <v>0.25</v>
      </c>
      <c r="J221" s="0" t="n">
        <f aca="false">ROUND(E221*I221,2)</f>
        <v>247.14</v>
      </c>
      <c r="K221" s="1" t="n">
        <f aca="false">PV(H221/12,F221/30,0,-E221)</f>
        <v>969.265029615784</v>
      </c>
      <c r="L221" s="0" t="n">
        <f aca="false">ROUND(E221-K221,2)</f>
        <v>19.29</v>
      </c>
      <c r="M221" s="0" t="n">
        <f aca="false">F221/E221</f>
        <v>0.0627174880634458</v>
      </c>
    </row>
    <row r="222" customFormat="false" ht="12.8" hidden="false" customHeight="false" outlineLevel="0" collapsed="false">
      <c r="A222" s="0" t="s">
        <v>380</v>
      </c>
      <c r="B222" s="0" t="s">
        <v>381</v>
      </c>
      <c r="C222" s="0" t="s">
        <v>26</v>
      </c>
      <c r="D222" s="0" t="s">
        <v>16</v>
      </c>
      <c r="E222" s="0" t="n">
        <v>9386.97</v>
      </c>
      <c r="F222" s="0" t="n">
        <v>312</v>
      </c>
      <c r="G222" s="0" t="str">
        <f aca="false">IF(F222&lt;=30,"Current",IF(F222&lt;=60,"31 to 60 days",IF(F222&lt;=90,"61 to 90 days",IF(F222&lt;=120,"91 to 120 days","Over 120 days"))))</f>
        <v>Over 120 days</v>
      </c>
      <c r="H222" s="0" t="n">
        <f aca="false">VLOOKUP(D222,Rates!$A$4:$B$7,2,FALSE())</f>
        <v>0.085</v>
      </c>
      <c r="I222" s="0" t="n">
        <f aca="false">VLOOKUP(F222,Rates!$D$4:$E$8,2)</f>
        <v>0.85</v>
      </c>
      <c r="J222" s="0" t="n">
        <f aca="false">ROUND(E222*I222,2)</f>
        <v>7978.92</v>
      </c>
      <c r="K222" s="1" t="n">
        <f aca="false">PV(H222/12,F222/30,0,-E222)</f>
        <v>8722.58438135225</v>
      </c>
      <c r="L222" s="0" t="n">
        <f aca="false">ROUND(E222-K222,2)</f>
        <v>664.39</v>
      </c>
      <c r="M222" s="0" t="n">
        <f aca="false">F222/E222</f>
        <v>0.0332375622804803</v>
      </c>
    </row>
    <row r="223" customFormat="false" ht="12.8" hidden="false" customHeight="false" outlineLevel="0" collapsed="false">
      <c r="A223" s="0" t="s">
        <v>382</v>
      </c>
      <c r="B223" s="0" t="s">
        <v>383</v>
      </c>
      <c r="C223" s="0" t="s">
        <v>36</v>
      </c>
      <c r="D223" s="0" t="s">
        <v>49</v>
      </c>
      <c r="E223" s="0" t="n">
        <v>43706.98</v>
      </c>
      <c r="F223" s="0" t="n">
        <v>198</v>
      </c>
      <c r="G223" s="0" t="str">
        <f aca="false">IF(F223&lt;=30,"Current",IF(F223&lt;=60,"31 to 60 days",IF(F223&lt;=90,"61 to 90 days",IF(F223&lt;=120,"91 to 120 days","Over 120 days"))))</f>
        <v>Over 120 days</v>
      </c>
      <c r="H223" s="0" t="n">
        <f aca="false">VLOOKUP(D223,Rates!$A$4:$B$7,2,FALSE())</f>
        <v>0.02</v>
      </c>
      <c r="I223" s="0" t="n">
        <f aca="false">VLOOKUP(F223,Rates!$D$4:$E$8,2)</f>
        <v>0.85</v>
      </c>
      <c r="J223" s="0" t="n">
        <f aca="false">ROUND(E223*I223,2)</f>
        <v>37150.93</v>
      </c>
      <c r="K223" s="1" t="n">
        <f aca="false">PV(H223/12,F223/30,0,-E223)</f>
        <v>43229.2336496443</v>
      </c>
      <c r="L223" s="0" t="n">
        <f aca="false">ROUND(E223-K223,2)</f>
        <v>477.75</v>
      </c>
      <c r="M223" s="0" t="n">
        <f aca="false">F223/E223</f>
        <v>0.00453016886547641</v>
      </c>
    </row>
    <row r="224" customFormat="false" ht="12.8" hidden="false" customHeight="false" outlineLevel="0" collapsed="false">
      <c r="A224" s="0" t="s">
        <v>384</v>
      </c>
      <c r="B224" s="0" t="s">
        <v>385</v>
      </c>
      <c r="C224" s="0" t="s">
        <v>36</v>
      </c>
      <c r="D224" s="0" t="s">
        <v>16</v>
      </c>
      <c r="E224" s="0" t="n">
        <v>13688.59</v>
      </c>
      <c r="F224" s="0" t="n">
        <v>142</v>
      </c>
      <c r="G224" s="0" t="str">
        <f aca="false">IF(F224&lt;=30,"Current",IF(F224&lt;=60,"31 to 60 days",IF(F224&lt;=90,"61 to 90 days",IF(F224&lt;=120,"91 to 120 days","Over 120 days"))))</f>
        <v>Over 120 days</v>
      </c>
      <c r="H224" s="0" t="n">
        <f aca="false">VLOOKUP(D224,Rates!$A$4:$B$7,2,FALSE())</f>
        <v>0.085</v>
      </c>
      <c r="I224" s="0" t="n">
        <f aca="false">VLOOKUP(F224,Rates!$D$4:$E$8,2)</f>
        <v>0.85</v>
      </c>
      <c r="J224" s="0" t="n">
        <f aca="false">ROUND(E224*I224,2)</f>
        <v>11635.3</v>
      </c>
      <c r="K224" s="1" t="n">
        <f aca="false">PV(H224/12,F224/30,0,-E224)</f>
        <v>13238.8150367669</v>
      </c>
      <c r="L224" s="0" t="n">
        <f aca="false">ROUND(E224-K224,2)</f>
        <v>449.77</v>
      </c>
      <c r="M224" s="0" t="n">
        <f aca="false">F224/E224</f>
        <v>0.0103736031249384</v>
      </c>
    </row>
    <row r="225" customFormat="false" ht="12.8" hidden="false" customHeight="false" outlineLevel="0" collapsed="false">
      <c r="A225" s="0" t="s">
        <v>386</v>
      </c>
      <c r="B225" s="0" t="s">
        <v>28</v>
      </c>
      <c r="C225" s="0" t="s">
        <v>15</v>
      </c>
      <c r="D225" s="0" t="s">
        <v>20</v>
      </c>
      <c r="E225" s="0" t="n">
        <v>27877.37</v>
      </c>
      <c r="F225" s="0" t="n">
        <v>382</v>
      </c>
      <c r="G225" s="0" t="str">
        <f aca="false">IF(F225&lt;=30,"Current",IF(F225&lt;=60,"31 to 60 days",IF(F225&lt;=90,"61 to 90 days",IF(F225&lt;=120,"91 to 120 days","Over 120 days"))))</f>
        <v>Over 120 days</v>
      </c>
      <c r="H225" s="0" t="n">
        <f aca="false">VLOOKUP(D225,Rates!$A$4:$B$7,2,FALSE())</f>
        <v>0.05</v>
      </c>
      <c r="I225" s="0" t="n">
        <f aca="false">VLOOKUP(F225,Rates!$D$4:$E$8,2)</f>
        <v>0.85</v>
      </c>
      <c r="J225" s="0" t="n">
        <f aca="false">ROUND(E225*I225,2)</f>
        <v>23695.76</v>
      </c>
      <c r="K225" s="1" t="n">
        <f aca="false">PV(H225/12,F225/30,0,-E225)</f>
        <v>26439.7859526155</v>
      </c>
      <c r="L225" s="0" t="n">
        <f aca="false">ROUND(E225-K225,2)</f>
        <v>1437.58</v>
      </c>
      <c r="M225" s="0" t="n">
        <f aca="false">F225/E225</f>
        <v>0.0137028708231802</v>
      </c>
    </row>
    <row r="226" customFormat="false" ht="12.8" hidden="false" customHeight="false" outlineLevel="0" collapsed="false">
      <c r="A226" s="0" t="s">
        <v>387</v>
      </c>
      <c r="B226" s="0" t="s">
        <v>388</v>
      </c>
      <c r="C226" s="0" t="s">
        <v>36</v>
      </c>
      <c r="D226" s="0" t="s">
        <v>49</v>
      </c>
      <c r="E226" s="0" t="n">
        <v>10365.02</v>
      </c>
      <c r="F226" s="0" t="n">
        <v>385</v>
      </c>
      <c r="G226" s="0" t="str">
        <f aca="false">IF(F226&lt;=30,"Current",IF(F226&lt;=60,"31 to 60 days",IF(F226&lt;=90,"61 to 90 days",IF(F226&lt;=120,"91 to 120 days","Over 120 days"))))</f>
        <v>Over 120 days</v>
      </c>
      <c r="H226" s="0" t="n">
        <f aca="false">VLOOKUP(D226,Rates!$A$4:$B$7,2,FALSE())</f>
        <v>0.02</v>
      </c>
      <c r="I226" s="0" t="n">
        <f aca="false">VLOOKUP(F226,Rates!$D$4:$E$8,2)</f>
        <v>0.85</v>
      </c>
      <c r="J226" s="0" t="n">
        <f aca="false">ROUND(E226*I226,2)</f>
        <v>8810.27</v>
      </c>
      <c r="K226" s="1" t="n">
        <f aca="false">PV(H226/12,F226/30,0,-E226)</f>
        <v>10145.8584817121</v>
      </c>
      <c r="L226" s="0" t="n">
        <f aca="false">ROUND(E226-K226,2)</f>
        <v>219.16</v>
      </c>
      <c r="M226" s="0" t="n">
        <f aca="false">F226/E226</f>
        <v>0.0371441637353329</v>
      </c>
    </row>
    <row r="227" customFormat="false" ht="12.8" hidden="false" customHeight="false" outlineLevel="0" collapsed="false">
      <c r="A227" s="0" t="s">
        <v>389</v>
      </c>
      <c r="B227" s="0" t="s">
        <v>390</v>
      </c>
      <c r="C227" s="0" t="s">
        <v>19</v>
      </c>
      <c r="D227" s="0" t="s">
        <v>16</v>
      </c>
      <c r="E227" s="0" t="n">
        <v>18727.51</v>
      </c>
      <c r="F227" s="0" t="n">
        <v>337</v>
      </c>
      <c r="G227" s="0" t="str">
        <f aca="false">IF(F227&lt;=30,"Current",IF(F227&lt;=60,"31 to 60 days",IF(F227&lt;=90,"61 to 90 days",IF(F227&lt;=120,"91 to 120 days","Over 120 days"))))</f>
        <v>Over 120 days</v>
      </c>
      <c r="H227" s="0" t="n">
        <f aca="false">VLOOKUP(D227,Rates!$A$4:$B$7,2,FALSE())</f>
        <v>0.085</v>
      </c>
      <c r="I227" s="0" t="n">
        <f aca="false">VLOOKUP(F227,Rates!$D$4:$E$8,2)</f>
        <v>0.85</v>
      </c>
      <c r="J227" s="0" t="n">
        <f aca="false">ROUND(E227*I227,2)</f>
        <v>15918.38</v>
      </c>
      <c r="K227" s="1" t="n">
        <f aca="false">PV(H227/12,F227/30,0,-E227)</f>
        <v>17299.967209308</v>
      </c>
      <c r="L227" s="0" t="n">
        <f aca="false">ROUND(E227-K227,2)</f>
        <v>1427.54</v>
      </c>
      <c r="M227" s="0" t="n">
        <f aca="false">F227/E227</f>
        <v>0.0179949176372086</v>
      </c>
    </row>
    <row r="228" customFormat="false" ht="12.8" hidden="false" customHeight="false" outlineLevel="0" collapsed="false">
      <c r="A228" s="0" t="s">
        <v>391</v>
      </c>
      <c r="B228" s="0" t="s">
        <v>82</v>
      </c>
      <c r="C228" s="0" t="s">
        <v>36</v>
      </c>
      <c r="D228" s="0" t="s">
        <v>23</v>
      </c>
      <c r="E228" s="0" t="n">
        <v>36791.71</v>
      </c>
      <c r="F228" s="0" t="n">
        <v>191</v>
      </c>
      <c r="G228" s="0" t="str">
        <f aca="false">IF(F228&lt;=30,"Current",IF(F228&lt;=60,"31 to 60 days",IF(F228&lt;=90,"61 to 90 days",IF(F228&lt;=120,"91 to 120 days","Over 120 days"))))</f>
        <v>Over 120 days</v>
      </c>
      <c r="H228" s="0" t="n">
        <f aca="false">VLOOKUP(D228,Rates!$A$4:$B$7,2,FALSE())</f>
        <v>0.115</v>
      </c>
      <c r="I228" s="0" t="n">
        <f aca="false">VLOOKUP(F228,Rates!$D$4:$E$8,2)</f>
        <v>0.85</v>
      </c>
      <c r="J228" s="0" t="n">
        <f aca="false">ROUND(E228*I228,2)</f>
        <v>31272.95</v>
      </c>
      <c r="K228" s="1" t="n">
        <f aca="false">PV(H228/12,F228/30,0,-E228)</f>
        <v>34624.0720055927</v>
      </c>
      <c r="L228" s="0" t="n">
        <f aca="false">ROUND(E228-K228,2)</f>
        <v>2167.64</v>
      </c>
      <c r="M228" s="0" t="n">
        <f aca="false">F228/E228</f>
        <v>0.00519138686405171</v>
      </c>
    </row>
    <row r="229" customFormat="false" ht="12.8" hidden="false" customHeight="false" outlineLevel="0" collapsed="false">
      <c r="A229" s="0" t="s">
        <v>392</v>
      </c>
      <c r="B229" s="0" t="s">
        <v>113</v>
      </c>
      <c r="C229" s="0" t="s">
        <v>26</v>
      </c>
      <c r="D229" s="0" t="s">
        <v>23</v>
      </c>
      <c r="E229" s="0" t="n">
        <v>12617.03</v>
      </c>
      <c r="F229" s="0" t="n">
        <v>70</v>
      </c>
      <c r="G229" s="0" t="str">
        <f aca="false">IF(F229&lt;=30,"Current",IF(F229&lt;=60,"31 to 60 days",IF(F229&lt;=90,"61 to 90 days",IF(F229&lt;=120,"91 to 120 days","Over 120 days"))))</f>
        <v>61 to 90 days</v>
      </c>
      <c r="H229" s="0" t="n">
        <f aca="false">VLOOKUP(D229,Rates!$A$4:$B$7,2,FALSE())</f>
        <v>0.115</v>
      </c>
      <c r="I229" s="0" t="n">
        <f aca="false">VLOOKUP(F229,Rates!$D$4:$E$8,2)</f>
        <v>0.25</v>
      </c>
      <c r="J229" s="0" t="n">
        <f aca="false">ROUND(E229*I229,2)</f>
        <v>3154.26</v>
      </c>
      <c r="K229" s="1" t="n">
        <f aca="false">PV(H229/12,F229/30,0,-E229)</f>
        <v>12339.3438554929</v>
      </c>
      <c r="L229" s="0" t="n">
        <f aca="false">ROUND(E229-K229,2)</f>
        <v>277.69</v>
      </c>
      <c r="M229" s="0" t="n">
        <f aca="false">F229/E229</f>
        <v>0.00554805687233842</v>
      </c>
    </row>
    <row r="230" customFormat="false" ht="12.8" hidden="false" customHeight="false" outlineLevel="0" collapsed="false">
      <c r="A230" s="0" t="s">
        <v>393</v>
      </c>
      <c r="B230" s="0" t="s">
        <v>53</v>
      </c>
      <c r="C230" s="0" t="s">
        <v>19</v>
      </c>
      <c r="D230" s="0" t="s">
        <v>23</v>
      </c>
      <c r="E230" s="0" t="n">
        <v>15423.07</v>
      </c>
      <c r="F230" s="0" t="n">
        <v>58</v>
      </c>
      <c r="G230" s="0" t="str">
        <f aca="false">IF(F230&lt;=30,"Current",IF(F230&lt;=60,"31 to 60 days",IF(F230&lt;=90,"61 to 90 days",IF(F230&lt;=120,"91 to 120 days","Over 120 days"))))</f>
        <v>31 to 60 days</v>
      </c>
      <c r="H230" s="0" t="n">
        <f aca="false">VLOOKUP(D230,Rates!$A$4:$B$7,2,FALSE())</f>
        <v>0.115</v>
      </c>
      <c r="I230" s="0" t="n">
        <f aca="false">VLOOKUP(F230,Rates!$D$4:$E$8,2)</f>
        <v>0.1</v>
      </c>
      <c r="J230" s="0" t="n">
        <f aca="false">ROUND(E230*I230,2)</f>
        <v>1542.31</v>
      </c>
      <c r="K230" s="1" t="n">
        <f aca="false">PV(H230/12,F230/30,0,-E230)</f>
        <v>15141.2813585105</v>
      </c>
      <c r="L230" s="0" t="n">
        <f aca="false">ROUND(E230-K230,2)</f>
        <v>281.79</v>
      </c>
      <c r="M230" s="0" t="n">
        <f aca="false">F230/E230</f>
        <v>0.00376060019179061</v>
      </c>
    </row>
    <row r="231" customFormat="false" ht="12.8" hidden="false" customHeight="false" outlineLevel="0" collapsed="false">
      <c r="A231" s="0" t="s">
        <v>394</v>
      </c>
      <c r="B231" s="0" t="s">
        <v>51</v>
      </c>
      <c r="C231" s="0" t="s">
        <v>36</v>
      </c>
      <c r="D231" s="0" t="s">
        <v>20</v>
      </c>
      <c r="E231" s="0" t="n">
        <v>40262.76</v>
      </c>
      <c r="F231" s="0" t="n">
        <v>203</v>
      </c>
      <c r="G231" s="0" t="str">
        <f aca="false">IF(F231&lt;=30,"Current",IF(F231&lt;=60,"31 to 60 days",IF(F231&lt;=90,"61 to 90 days",IF(F231&lt;=120,"91 to 120 days","Over 120 days"))))</f>
        <v>Over 120 days</v>
      </c>
      <c r="H231" s="0" t="n">
        <f aca="false">VLOOKUP(D231,Rates!$A$4:$B$7,2,FALSE())</f>
        <v>0.05</v>
      </c>
      <c r="I231" s="0" t="n">
        <f aca="false">VLOOKUP(F231,Rates!$D$4:$E$8,2)</f>
        <v>0.85</v>
      </c>
      <c r="J231" s="0" t="n">
        <f aca="false">ROUND(E231*I231,2)</f>
        <v>34223.35</v>
      </c>
      <c r="K231" s="1" t="n">
        <f aca="false">PV(H231/12,F231/30,0,-E231)</f>
        <v>39145.7204009036</v>
      </c>
      <c r="L231" s="0" t="n">
        <f aca="false">ROUND(E231-K231,2)</f>
        <v>1117.04</v>
      </c>
      <c r="M231" s="0" t="n">
        <f aca="false">F231/E231</f>
        <v>0.00504187989099605</v>
      </c>
    </row>
    <row r="232" customFormat="false" ht="12.8" hidden="false" customHeight="false" outlineLevel="0" collapsed="false">
      <c r="A232" s="0" t="s">
        <v>395</v>
      </c>
      <c r="B232" s="0" t="s">
        <v>28</v>
      </c>
      <c r="C232" s="0" t="s">
        <v>15</v>
      </c>
      <c r="D232" s="0" t="s">
        <v>20</v>
      </c>
      <c r="E232" s="0" t="n">
        <v>8847.79</v>
      </c>
      <c r="F232" s="0" t="n">
        <v>192</v>
      </c>
      <c r="G232" s="0" t="str">
        <f aca="false">IF(F232&lt;=30,"Current",IF(F232&lt;=60,"31 to 60 days",IF(F232&lt;=90,"61 to 90 days",IF(F232&lt;=120,"91 to 120 days","Over 120 days"))))</f>
        <v>Over 120 days</v>
      </c>
      <c r="H232" s="0" t="n">
        <f aca="false">VLOOKUP(D232,Rates!$A$4:$B$7,2,FALSE())</f>
        <v>0.05</v>
      </c>
      <c r="I232" s="0" t="n">
        <f aca="false">VLOOKUP(F232,Rates!$D$4:$E$8,2)</f>
        <v>0.85</v>
      </c>
      <c r="J232" s="0" t="n">
        <f aca="false">ROUND(E232*I232,2)</f>
        <v>7520.62</v>
      </c>
      <c r="K232" s="1" t="n">
        <f aca="false">PV(H232/12,F232/30,0,-E232)</f>
        <v>8615.44433344105</v>
      </c>
      <c r="L232" s="0" t="n">
        <f aca="false">ROUND(E232-K232,2)</f>
        <v>232.35</v>
      </c>
      <c r="M232" s="0" t="n">
        <f aca="false">F232/E232</f>
        <v>0.0217003342077513</v>
      </c>
    </row>
    <row r="233" customFormat="false" ht="12.8" hidden="false" customHeight="false" outlineLevel="0" collapsed="false">
      <c r="A233" s="0" t="s">
        <v>396</v>
      </c>
      <c r="B233" s="0" t="s">
        <v>51</v>
      </c>
      <c r="C233" s="0" t="s">
        <v>36</v>
      </c>
      <c r="D233" s="0" t="s">
        <v>20</v>
      </c>
      <c r="E233" s="0" t="n">
        <v>18452.7</v>
      </c>
      <c r="F233" s="0" t="n">
        <v>13</v>
      </c>
      <c r="G233" s="0" t="str">
        <f aca="false">IF(F233&lt;=30,"Current",IF(F233&lt;=60,"31 to 60 days",IF(F233&lt;=90,"61 to 90 days",IF(F233&lt;=120,"91 to 120 days","Over 120 days"))))</f>
        <v>Current</v>
      </c>
      <c r="H233" s="0" t="n">
        <f aca="false">VLOOKUP(D233,Rates!$A$4:$B$7,2,FALSE())</f>
        <v>0.05</v>
      </c>
      <c r="I233" s="0" t="n">
        <f aca="false">VLOOKUP(F233,Rates!$D$4:$E$8,2)</f>
        <v>0.02</v>
      </c>
      <c r="J233" s="0" t="n">
        <f aca="false">ROUND(E233*I233,2)</f>
        <v>369.05</v>
      </c>
      <c r="K233" s="1" t="n">
        <f aca="false">PV(H233/12,F233/30,0,-E233)</f>
        <v>18419.4817793445</v>
      </c>
      <c r="L233" s="0" t="n">
        <f aca="false">ROUND(E233-K233,2)</f>
        <v>33.22</v>
      </c>
      <c r="M233" s="0" t="n">
        <f aca="false">F233/E233</f>
        <v>0.000704503947931739</v>
      </c>
    </row>
    <row r="234" customFormat="false" ht="12.8" hidden="false" customHeight="false" outlineLevel="0" collapsed="false">
      <c r="A234" s="0" t="s">
        <v>397</v>
      </c>
      <c r="B234" s="0" t="s">
        <v>398</v>
      </c>
      <c r="C234" s="0" t="s">
        <v>36</v>
      </c>
      <c r="D234" s="0" t="s">
        <v>16</v>
      </c>
      <c r="E234" s="0" t="n">
        <v>6987.11</v>
      </c>
      <c r="F234" s="0" t="n">
        <v>179</v>
      </c>
      <c r="G234" s="0" t="str">
        <f aca="false">IF(F234&lt;=30,"Current",IF(F234&lt;=60,"31 to 60 days",IF(F234&lt;=90,"61 to 90 days",IF(F234&lt;=120,"91 to 120 days","Over 120 days"))))</f>
        <v>Over 120 days</v>
      </c>
      <c r="H234" s="0" t="n">
        <f aca="false">VLOOKUP(D234,Rates!$A$4:$B$7,2,FALSE())</f>
        <v>0.085</v>
      </c>
      <c r="I234" s="0" t="n">
        <f aca="false">VLOOKUP(F234,Rates!$D$4:$E$8,2)</f>
        <v>0.85</v>
      </c>
      <c r="J234" s="0" t="n">
        <f aca="false">ROUND(E234*I234,2)</f>
        <v>5939.04</v>
      </c>
      <c r="K234" s="1" t="n">
        <f aca="false">PV(H234/12,F234/30,0,-E234)</f>
        <v>6698.95882841761</v>
      </c>
      <c r="L234" s="0" t="n">
        <f aca="false">ROUND(E234-K234,2)</f>
        <v>288.15</v>
      </c>
      <c r="M234" s="0" t="n">
        <f aca="false">F234/E234</f>
        <v>0.0256186033996889</v>
      </c>
    </row>
    <row r="235" customFormat="false" ht="12.8" hidden="false" customHeight="false" outlineLevel="0" collapsed="false">
      <c r="A235" s="0" t="s">
        <v>399</v>
      </c>
      <c r="B235" s="0" t="s">
        <v>400</v>
      </c>
      <c r="C235" s="0" t="s">
        <v>26</v>
      </c>
      <c r="D235" s="0" t="s">
        <v>16</v>
      </c>
      <c r="E235" s="0" t="n">
        <v>35497.15</v>
      </c>
      <c r="F235" s="0" t="n">
        <v>116</v>
      </c>
      <c r="G235" s="0" t="str">
        <f aca="false">IF(F235&lt;=30,"Current",IF(F235&lt;=60,"31 to 60 days",IF(F235&lt;=90,"61 to 90 days",IF(F235&lt;=120,"91 to 120 days","Over 120 days"))))</f>
        <v>91 to 120 days</v>
      </c>
      <c r="H235" s="0" t="n">
        <f aca="false">VLOOKUP(D235,Rates!$A$4:$B$7,2,FALSE())</f>
        <v>0.085</v>
      </c>
      <c r="I235" s="0" t="n">
        <f aca="false">VLOOKUP(F235,Rates!$D$4:$E$8,2)</f>
        <v>0.5</v>
      </c>
      <c r="J235" s="0" t="n">
        <f aca="false">ROUND(E235*I235,2)</f>
        <v>17748.58</v>
      </c>
      <c r="K235" s="1" t="n">
        <f aca="false">PV(H235/12,F235/30,0,-E235)</f>
        <v>34541.4505940309</v>
      </c>
      <c r="L235" s="0" t="n">
        <f aca="false">ROUND(E235-K235,2)</f>
        <v>955.7</v>
      </c>
      <c r="M235" s="0" t="n">
        <f aca="false">F235/E235</f>
        <v>0.00326786798376771</v>
      </c>
    </row>
    <row r="236" customFormat="false" ht="12.8" hidden="false" customHeight="false" outlineLevel="0" collapsed="false">
      <c r="A236" s="0" t="s">
        <v>401</v>
      </c>
      <c r="B236" s="0" t="s">
        <v>30</v>
      </c>
      <c r="C236" s="0" t="s">
        <v>31</v>
      </c>
      <c r="D236" s="0" t="s">
        <v>20</v>
      </c>
      <c r="E236" s="0" t="n">
        <v>29880.77</v>
      </c>
      <c r="F236" s="0" t="n">
        <v>314</v>
      </c>
      <c r="G236" s="0" t="str">
        <f aca="false">IF(F236&lt;=30,"Current",IF(F236&lt;=60,"31 to 60 days",IF(F236&lt;=90,"61 to 90 days",IF(F236&lt;=120,"91 to 120 days","Over 120 days"))))</f>
        <v>Over 120 days</v>
      </c>
      <c r="H236" s="0" t="n">
        <f aca="false">VLOOKUP(D236,Rates!$A$4:$B$7,2,FALSE())</f>
        <v>0.05</v>
      </c>
      <c r="I236" s="0" t="n">
        <f aca="false">VLOOKUP(F236,Rates!$D$4:$E$8,2)</f>
        <v>0.85</v>
      </c>
      <c r="J236" s="0" t="n">
        <f aca="false">ROUND(E236*I236,2)</f>
        <v>25398.65</v>
      </c>
      <c r="K236" s="1" t="n">
        <f aca="false">PV(H236/12,F236/30,0,-E236)</f>
        <v>28608.2352864465</v>
      </c>
      <c r="L236" s="0" t="n">
        <f aca="false">ROUND(E236-K236,2)</f>
        <v>1272.53</v>
      </c>
      <c r="M236" s="0" t="n">
        <f aca="false">F236/E236</f>
        <v>0.0105084306729713</v>
      </c>
    </row>
    <row r="237" customFormat="false" ht="12.8" hidden="false" customHeight="false" outlineLevel="0" collapsed="false">
      <c r="A237" s="0" t="s">
        <v>402</v>
      </c>
      <c r="B237" s="0" t="s">
        <v>330</v>
      </c>
      <c r="C237" s="0" t="s">
        <v>15</v>
      </c>
      <c r="D237" s="0" t="s">
        <v>23</v>
      </c>
      <c r="E237" s="0" t="n">
        <v>0</v>
      </c>
      <c r="F237" s="0" t="n">
        <v>96</v>
      </c>
      <c r="G237" s="0" t="str">
        <f aca="false">IF(F237&lt;=30,"Current",IF(F237&lt;=60,"31 to 60 days",IF(F237&lt;=90,"61 to 90 days",IF(F237&lt;=120,"91 to 120 days","Over 120 days"))))</f>
        <v>91 to 120 days</v>
      </c>
      <c r="H237" s="0" t="n">
        <f aca="false">VLOOKUP(D237,Rates!$A$4:$B$7,2,FALSE())</f>
        <v>0.115</v>
      </c>
      <c r="I237" s="0" t="n">
        <f aca="false">VLOOKUP(F237,Rates!$D$4:$E$8,2)</f>
        <v>0.5</v>
      </c>
      <c r="J237" s="0" t="n">
        <f aca="false">ROUND(E237*I237,2)</f>
        <v>0</v>
      </c>
      <c r="K237" s="1" t="n">
        <f aca="false">PV(H237/12,F237/30,0,-E237)</f>
        <v>-0</v>
      </c>
      <c r="L237" s="0" t="n">
        <f aca="false">ROUND(E237-K237,2)</f>
        <v>0</v>
      </c>
      <c r="M237" s="0" t="e">
        <f aca="false">F237/E237</f>
        <v>#DIV/0!</v>
      </c>
    </row>
    <row r="238" customFormat="false" ht="12.8" hidden="false" customHeight="false" outlineLevel="0" collapsed="false">
      <c r="A238" s="0" t="s">
        <v>403</v>
      </c>
      <c r="B238" s="0" t="s">
        <v>25</v>
      </c>
      <c r="C238" s="0" t="s">
        <v>26</v>
      </c>
      <c r="D238" s="0" t="s">
        <v>23</v>
      </c>
      <c r="E238" s="0" t="n">
        <v>21877.7</v>
      </c>
      <c r="F238" s="0" t="n">
        <v>205</v>
      </c>
      <c r="G238" s="0" t="str">
        <f aca="false">IF(F238&lt;=30,"Current",IF(F238&lt;=60,"31 to 60 days",IF(F238&lt;=90,"61 to 90 days",IF(F238&lt;=120,"91 to 120 days","Over 120 days"))))</f>
        <v>Over 120 days</v>
      </c>
      <c r="H238" s="0" t="n">
        <f aca="false">VLOOKUP(D238,Rates!$A$4:$B$7,2,FALSE())</f>
        <v>0.115</v>
      </c>
      <c r="I238" s="0" t="n">
        <f aca="false">VLOOKUP(F238,Rates!$D$4:$E$8,2)</f>
        <v>0.85</v>
      </c>
      <c r="J238" s="0" t="n">
        <f aca="false">ROUND(E238*I238,2)</f>
        <v>18596.05</v>
      </c>
      <c r="K238" s="1" t="n">
        <f aca="false">PV(H238/12,F238/30,0,-E238)</f>
        <v>20497.3075654585</v>
      </c>
      <c r="L238" s="0" t="n">
        <f aca="false">ROUND(E238-K238,2)</f>
        <v>1380.39</v>
      </c>
      <c r="M238" s="0" t="n">
        <f aca="false">F238/E238</f>
        <v>0.00937027201214022</v>
      </c>
    </row>
    <row r="239" customFormat="false" ht="12.8" hidden="false" customHeight="false" outlineLevel="0" collapsed="false">
      <c r="A239" s="0" t="s">
        <v>404</v>
      </c>
      <c r="B239" s="0" t="s">
        <v>405</v>
      </c>
      <c r="C239" s="0" t="s">
        <v>15</v>
      </c>
      <c r="D239" s="0" t="s">
        <v>49</v>
      </c>
      <c r="E239" s="0" t="n">
        <v>35187.11</v>
      </c>
      <c r="F239" s="0" t="n">
        <v>258</v>
      </c>
      <c r="G239" s="0" t="str">
        <f aca="false">IF(F239&lt;=30,"Current",IF(F239&lt;=60,"31 to 60 days",IF(F239&lt;=90,"61 to 90 days",IF(F239&lt;=120,"91 to 120 days","Over 120 days"))))</f>
        <v>Over 120 days</v>
      </c>
      <c r="H239" s="0" t="n">
        <f aca="false">VLOOKUP(D239,Rates!$A$4:$B$7,2,FALSE())</f>
        <v>0.02</v>
      </c>
      <c r="I239" s="0" t="n">
        <f aca="false">VLOOKUP(F239,Rates!$D$4:$E$8,2)</f>
        <v>0.85</v>
      </c>
      <c r="J239" s="0" t="n">
        <f aca="false">ROUND(E239*I239,2)</f>
        <v>29909.04</v>
      </c>
      <c r="K239" s="1" t="n">
        <f aca="false">PV(H239/12,F239/30,0,-E239)</f>
        <v>34686.7725658863</v>
      </c>
      <c r="L239" s="0" t="n">
        <f aca="false">ROUND(E239-K239,2)</f>
        <v>500.34</v>
      </c>
      <c r="M239" s="0" t="n">
        <f aca="false">F239/E239</f>
        <v>0.00733223046735012</v>
      </c>
    </row>
    <row r="240" customFormat="false" ht="12.8" hidden="false" customHeight="false" outlineLevel="0" collapsed="false">
      <c r="A240" s="0" t="s">
        <v>406</v>
      </c>
      <c r="B240" s="0" t="s">
        <v>33</v>
      </c>
      <c r="C240" s="0" t="s">
        <v>26</v>
      </c>
      <c r="D240" s="0" t="s">
        <v>20</v>
      </c>
      <c r="E240" s="0" t="n">
        <v>22586.25</v>
      </c>
      <c r="F240" s="0" t="n">
        <v>399</v>
      </c>
      <c r="G240" s="0" t="str">
        <f aca="false">IF(F240&lt;=30,"Current",IF(F240&lt;=60,"31 to 60 days",IF(F240&lt;=90,"61 to 90 days",IF(F240&lt;=120,"91 to 120 days","Over 120 days"))))</f>
        <v>Over 120 days</v>
      </c>
      <c r="H240" s="0" t="n">
        <f aca="false">VLOOKUP(D240,Rates!$A$4:$B$7,2,FALSE())</f>
        <v>0.05</v>
      </c>
      <c r="I240" s="0" t="n">
        <f aca="false">VLOOKUP(F240,Rates!$D$4:$E$8,2)</f>
        <v>0.85</v>
      </c>
      <c r="J240" s="0" t="n">
        <f aca="false">ROUND(E240*I240,2)</f>
        <v>19198.31</v>
      </c>
      <c r="K240" s="1" t="n">
        <f aca="false">PV(H240/12,F240/30,0,-E240)</f>
        <v>21371.1050656213</v>
      </c>
      <c r="L240" s="0" t="n">
        <f aca="false">ROUND(E240-K240,2)</f>
        <v>1215.14</v>
      </c>
      <c r="M240" s="0" t="n">
        <f aca="false">F240/E240</f>
        <v>0.0176656151419558</v>
      </c>
    </row>
    <row r="241" customFormat="false" ht="12.8" hidden="false" customHeight="false" outlineLevel="0" collapsed="false">
      <c r="A241" s="0" t="s">
        <v>407</v>
      </c>
      <c r="B241" s="0" t="s">
        <v>22</v>
      </c>
      <c r="C241" s="0" t="s">
        <v>15</v>
      </c>
      <c r="D241" s="0" t="s">
        <v>23</v>
      </c>
      <c r="E241" s="0" t="n">
        <v>11655.72</v>
      </c>
      <c r="F241" s="0" t="n">
        <v>336</v>
      </c>
      <c r="G241" s="0" t="str">
        <f aca="false">IF(F241&lt;=30,"Current",IF(F241&lt;=60,"31 to 60 days",IF(F241&lt;=90,"61 to 90 days",IF(F241&lt;=120,"91 to 120 days","Over 120 days"))))</f>
        <v>Over 120 days</v>
      </c>
      <c r="H241" s="0" t="n">
        <f aca="false">VLOOKUP(D241,Rates!$A$4:$B$7,2,FALSE())</f>
        <v>0.115</v>
      </c>
      <c r="I241" s="0" t="n">
        <f aca="false">VLOOKUP(F241,Rates!$D$4:$E$8,2)</f>
        <v>0.85</v>
      </c>
      <c r="J241" s="0" t="n">
        <f aca="false">ROUND(E241*I241,2)</f>
        <v>9907.36</v>
      </c>
      <c r="K241" s="1" t="n">
        <f aca="false">PV(H241/12,F241/30,0,-E241)</f>
        <v>10474.8249710395</v>
      </c>
      <c r="L241" s="0" t="n">
        <f aca="false">ROUND(E241-K241,2)</f>
        <v>1180.9</v>
      </c>
      <c r="M241" s="0" t="n">
        <f aca="false">F241/E241</f>
        <v>0.0288270480073303</v>
      </c>
    </row>
    <row r="242" customFormat="false" ht="12.8" hidden="false" customHeight="false" outlineLevel="0" collapsed="false">
      <c r="A242" s="0" t="s">
        <v>408</v>
      </c>
      <c r="B242" s="0" t="s">
        <v>194</v>
      </c>
      <c r="C242" s="0" t="s">
        <v>15</v>
      </c>
      <c r="D242" s="0" t="s">
        <v>23</v>
      </c>
      <c r="E242" s="0" t="n">
        <v>20518.53</v>
      </c>
      <c r="F242" s="0" t="n">
        <v>393</v>
      </c>
      <c r="G242" s="0" t="str">
        <f aca="false">IF(F242&lt;=30,"Current",IF(F242&lt;=60,"31 to 60 days",IF(F242&lt;=90,"61 to 90 days",IF(F242&lt;=120,"91 to 120 days","Over 120 days"))))</f>
        <v>Over 120 days</v>
      </c>
      <c r="H242" s="0" t="n">
        <f aca="false">VLOOKUP(D242,Rates!$A$4:$B$7,2,FALSE())</f>
        <v>0.115</v>
      </c>
      <c r="I242" s="0" t="n">
        <f aca="false">VLOOKUP(F242,Rates!$D$4:$E$8,2)</f>
        <v>0.85</v>
      </c>
      <c r="J242" s="0" t="n">
        <f aca="false">ROUND(E242*I242,2)</f>
        <v>17440.75</v>
      </c>
      <c r="K242" s="1" t="n">
        <f aca="false">PV(H242/12,F242/30,0,-E242)</f>
        <v>18108.5545124171</v>
      </c>
      <c r="L242" s="0" t="n">
        <f aca="false">ROUND(E242-K242,2)</f>
        <v>2409.98</v>
      </c>
      <c r="M242" s="0" t="n">
        <f aca="false">F242/E242</f>
        <v>0.019153418885271</v>
      </c>
    </row>
    <row r="243" customFormat="false" ht="12.8" hidden="false" customHeight="false" outlineLevel="0" collapsed="false">
      <c r="A243" s="0" t="s">
        <v>409</v>
      </c>
      <c r="B243" s="0" t="s">
        <v>186</v>
      </c>
      <c r="C243" s="0" t="s">
        <v>31</v>
      </c>
      <c r="D243" s="0" t="s">
        <v>23</v>
      </c>
      <c r="E243" s="0" t="n">
        <v>34260.63</v>
      </c>
      <c r="F243" s="0" t="n">
        <v>188</v>
      </c>
      <c r="G243" s="0" t="str">
        <f aca="false">IF(F243&lt;=30,"Current",IF(F243&lt;=60,"31 to 60 days",IF(F243&lt;=90,"61 to 90 days",IF(F243&lt;=120,"91 to 120 days","Over 120 days"))))</f>
        <v>Over 120 days</v>
      </c>
      <c r="H243" s="0" t="n">
        <f aca="false">VLOOKUP(D243,Rates!$A$4:$B$7,2,FALSE())</f>
        <v>0.115</v>
      </c>
      <c r="I243" s="0" t="n">
        <f aca="false">VLOOKUP(F243,Rates!$D$4:$E$8,2)</f>
        <v>0.85</v>
      </c>
      <c r="J243" s="0" t="n">
        <f aca="false">ROUND(E243*I243,2)</f>
        <v>29121.54</v>
      </c>
      <c r="K243" s="1" t="n">
        <f aca="false">PV(H243/12,F243/30,0,-E243)</f>
        <v>32272.8805716781</v>
      </c>
      <c r="L243" s="0" t="n">
        <f aca="false">ROUND(E243-K243,2)</f>
        <v>1987.75</v>
      </c>
      <c r="M243" s="0" t="n">
        <f aca="false">F243/E243</f>
        <v>0.00548734801432431</v>
      </c>
    </row>
    <row r="244" customFormat="false" ht="12.8" hidden="false" customHeight="false" outlineLevel="0" collapsed="false">
      <c r="A244" s="0" t="s">
        <v>410</v>
      </c>
      <c r="B244" s="0" t="s">
        <v>53</v>
      </c>
      <c r="C244" s="0" t="s">
        <v>19</v>
      </c>
      <c r="D244" s="0" t="s">
        <v>23</v>
      </c>
      <c r="E244" s="0" t="n">
        <v>37554.47</v>
      </c>
      <c r="F244" s="0" t="n">
        <v>120</v>
      </c>
      <c r="G244" s="0" t="str">
        <f aca="false">IF(F244&lt;=30,"Current",IF(F244&lt;=60,"31 to 60 days",IF(F244&lt;=90,"61 to 90 days",IF(F244&lt;=120,"91 to 120 days","Over 120 days"))))</f>
        <v>91 to 120 days</v>
      </c>
      <c r="H244" s="0" t="n">
        <f aca="false">VLOOKUP(D244,Rates!$A$4:$B$7,2,FALSE())</f>
        <v>0.115</v>
      </c>
      <c r="I244" s="0" t="n">
        <f aca="false">VLOOKUP(F244,Rates!$D$4:$E$8,2)</f>
        <v>0.5</v>
      </c>
      <c r="J244" s="0" t="n">
        <f aca="false">ROUND(E244*I244,2)</f>
        <v>18777.24</v>
      </c>
      <c r="K244" s="1" t="n">
        <f aca="false">PV(H244/12,F244/30,0,-E244)</f>
        <v>36148.7219710404</v>
      </c>
      <c r="L244" s="0" t="n">
        <f aca="false">ROUND(E244-K244,2)</f>
        <v>1405.75</v>
      </c>
      <c r="M244" s="0" t="n">
        <f aca="false">F244/E244</f>
        <v>0.00319535863507061</v>
      </c>
    </row>
    <row r="245" customFormat="false" ht="12.8" hidden="false" customHeight="false" outlineLevel="0" collapsed="false">
      <c r="A245" s="0" t="s">
        <v>411</v>
      </c>
      <c r="B245" s="0" t="s">
        <v>247</v>
      </c>
      <c r="C245" s="0" t="s">
        <v>26</v>
      </c>
      <c r="D245" s="0" t="s">
        <v>23</v>
      </c>
      <c r="E245" s="0" t="n">
        <v>20969.17</v>
      </c>
      <c r="F245" s="0" t="n">
        <v>305</v>
      </c>
      <c r="G245" s="0" t="str">
        <f aca="false">IF(F245&lt;=30,"Current",IF(F245&lt;=60,"31 to 60 days",IF(F245&lt;=90,"61 to 90 days",IF(F245&lt;=120,"91 to 120 days","Over 120 days"))))</f>
        <v>Over 120 days</v>
      </c>
      <c r="H245" s="0" t="n">
        <f aca="false">VLOOKUP(D245,Rates!$A$4:$B$7,2,FALSE())</f>
        <v>0.115</v>
      </c>
      <c r="I245" s="0" t="n">
        <f aca="false">VLOOKUP(F245,Rates!$D$4:$E$8,2)</f>
        <v>0.85</v>
      </c>
      <c r="J245" s="0" t="n">
        <f aca="false">ROUND(E245*I245,2)</f>
        <v>17823.79</v>
      </c>
      <c r="K245" s="1" t="n">
        <f aca="false">PV(H245/12,F245/30,0,-E245)</f>
        <v>19031.3306288999</v>
      </c>
      <c r="L245" s="0" t="n">
        <f aca="false">ROUND(E245-K245,2)</f>
        <v>1937.84</v>
      </c>
      <c r="M245" s="0" t="n">
        <f aca="false">F245/E245</f>
        <v>0.0145451632086535</v>
      </c>
    </row>
    <row r="246" customFormat="false" ht="12.8" hidden="false" customHeight="false" outlineLevel="0" collapsed="false">
      <c r="A246" s="0" t="s">
        <v>412</v>
      </c>
      <c r="B246" s="0" t="s">
        <v>413</v>
      </c>
      <c r="C246" s="0" t="s">
        <v>36</v>
      </c>
      <c r="D246" s="0" t="s">
        <v>23</v>
      </c>
      <c r="E246" s="0" t="n">
        <v>21038.11</v>
      </c>
      <c r="F246" s="0" t="n">
        <v>271</v>
      </c>
      <c r="G246" s="0" t="str">
        <f aca="false">IF(F246&lt;=30,"Current",IF(F246&lt;=60,"31 to 60 days",IF(F246&lt;=90,"61 to 90 days",IF(F246&lt;=120,"91 to 120 days","Over 120 days"))))</f>
        <v>Over 120 days</v>
      </c>
      <c r="H246" s="0" t="n">
        <f aca="false">VLOOKUP(D246,Rates!$A$4:$B$7,2,FALSE())</f>
        <v>0.115</v>
      </c>
      <c r="I246" s="0" t="n">
        <f aca="false">VLOOKUP(F246,Rates!$D$4:$E$8,2)</f>
        <v>0.85</v>
      </c>
      <c r="J246" s="0" t="n">
        <f aca="false">ROUND(E246*I246,2)</f>
        <v>17882.39</v>
      </c>
      <c r="K246" s="1" t="n">
        <f aca="false">PV(H246/12,F246/30,0,-E246)</f>
        <v>19301.4127194358</v>
      </c>
      <c r="L246" s="0" t="n">
        <f aca="false">ROUND(E246-K246,2)</f>
        <v>1736.7</v>
      </c>
      <c r="M246" s="0" t="n">
        <f aca="false">F246/E246</f>
        <v>0.012881385257516</v>
      </c>
    </row>
    <row r="247" customFormat="false" ht="12.8" hidden="false" customHeight="false" outlineLevel="0" collapsed="false">
      <c r="A247" s="0" t="s">
        <v>414</v>
      </c>
      <c r="B247" s="0" t="s">
        <v>415</v>
      </c>
      <c r="C247" s="0" t="s">
        <v>31</v>
      </c>
      <c r="D247" s="0" t="s">
        <v>16</v>
      </c>
      <c r="E247" s="0" t="n">
        <v>3783.91</v>
      </c>
      <c r="F247" s="0" t="n">
        <v>134</v>
      </c>
      <c r="G247" s="0" t="str">
        <f aca="false">IF(F247&lt;=30,"Current",IF(F247&lt;=60,"31 to 60 days",IF(F247&lt;=90,"61 to 90 days",IF(F247&lt;=120,"91 to 120 days","Over 120 days"))))</f>
        <v>Over 120 days</v>
      </c>
      <c r="H247" s="0" t="n">
        <f aca="false">VLOOKUP(D247,Rates!$A$4:$B$7,2,FALSE())</f>
        <v>0.085</v>
      </c>
      <c r="I247" s="0" t="n">
        <f aca="false">VLOOKUP(F247,Rates!$D$4:$E$8,2)</f>
        <v>0.85</v>
      </c>
      <c r="J247" s="0" t="n">
        <f aca="false">ROUND(E247*I247,2)</f>
        <v>3216.32</v>
      </c>
      <c r="K247" s="1" t="n">
        <f aca="false">PV(H247/12,F247/30,0,-E247)</f>
        <v>3666.47425084251</v>
      </c>
      <c r="L247" s="0" t="n">
        <f aca="false">ROUND(E247-K247,2)</f>
        <v>117.44</v>
      </c>
      <c r="M247" s="0" t="n">
        <f aca="false">F247/E247</f>
        <v>0.0354131044343021</v>
      </c>
    </row>
    <row r="248" customFormat="false" ht="12.8" hidden="false" customHeight="false" outlineLevel="0" collapsed="false">
      <c r="A248" s="0" t="s">
        <v>416</v>
      </c>
      <c r="B248" s="0" t="s">
        <v>51</v>
      </c>
      <c r="C248" s="0" t="s">
        <v>36</v>
      </c>
      <c r="D248" s="0" t="s">
        <v>20</v>
      </c>
      <c r="E248" s="0" t="n">
        <v>17184.13</v>
      </c>
      <c r="F248" s="0" t="n">
        <v>86</v>
      </c>
      <c r="G248" s="0" t="str">
        <f aca="false">IF(F248&lt;=30,"Current",IF(F248&lt;=60,"31 to 60 days",IF(F248&lt;=90,"61 to 90 days",IF(F248&lt;=120,"91 to 120 days","Over 120 days"))))</f>
        <v>61 to 90 days</v>
      </c>
      <c r="H248" s="0" t="n">
        <f aca="false">VLOOKUP(D248,Rates!$A$4:$B$7,2,FALSE())</f>
        <v>0.05</v>
      </c>
      <c r="I248" s="0" t="n">
        <f aca="false">VLOOKUP(F248,Rates!$D$4:$E$8,2)</f>
        <v>0.25</v>
      </c>
      <c r="J248" s="0" t="n">
        <f aca="false">ROUND(E248*I248,2)</f>
        <v>4296.03</v>
      </c>
      <c r="K248" s="1" t="n">
        <f aca="false">PV(H248/12,F248/30,0,-E248)</f>
        <v>16980.5174478923</v>
      </c>
      <c r="L248" s="0" t="n">
        <f aca="false">ROUND(E248-K248,2)</f>
        <v>203.61</v>
      </c>
      <c r="M248" s="0" t="n">
        <f aca="false">F248/E248</f>
        <v>0.00500461763266456</v>
      </c>
    </row>
    <row r="249" customFormat="false" ht="12.8" hidden="false" customHeight="false" outlineLevel="0" collapsed="false">
      <c r="A249" s="0" t="s">
        <v>417</v>
      </c>
      <c r="B249" s="0" t="s">
        <v>418</v>
      </c>
      <c r="C249" s="0" t="s">
        <v>15</v>
      </c>
      <c r="D249" s="0" t="s">
        <v>49</v>
      </c>
      <c r="E249" s="0" t="n">
        <v>3140.6</v>
      </c>
      <c r="F249" s="0" t="n">
        <v>379</v>
      </c>
      <c r="G249" s="0" t="str">
        <f aca="false">IF(F249&lt;=30,"Current",IF(F249&lt;=60,"31 to 60 days",IF(F249&lt;=90,"61 to 90 days",IF(F249&lt;=120,"91 to 120 days","Over 120 days"))))</f>
        <v>Over 120 days</v>
      </c>
      <c r="H249" s="0" t="n">
        <f aca="false">VLOOKUP(D249,Rates!$A$4:$B$7,2,FALSE())</f>
        <v>0.02</v>
      </c>
      <c r="I249" s="0" t="n">
        <f aca="false">VLOOKUP(F249,Rates!$D$4:$E$8,2)</f>
        <v>0.85</v>
      </c>
      <c r="J249" s="0" t="n">
        <f aca="false">ROUND(E249*I249,2)</f>
        <v>2669.51</v>
      </c>
      <c r="K249" s="1" t="n">
        <f aca="false">PV(H249/12,F249/30,0,-E249)</f>
        <v>3075.21813126066</v>
      </c>
      <c r="L249" s="0" t="n">
        <f aca="false">ROUND(E249-K249,2)</f>
        <v>65.38</v>
      </c>
      <c r="M249" s="0" t="n">
        <f aca="false">F249/E249</f>
        <v>0.120677577532956</v>
      </c>
    </row>
    <row r="250" customFormat="false" ht="12.8" hidden="false" customHeight="false" outlineLevel="0" collapsed="false">
      <c r="A250" s="0" t="s">
        <v>419</v>
      </c>
      <c r="B250" s="0" t="s">
        <v>420</v>
      </c>
      <c r="C250" s="0" t="s">
        <v>31</v>
      </c>
      <c r="D250" s="0" t="s">
        <v>16</v>
      </c>
      <c r="E250" s="0" t="n">
        <v>12599.66</v>
      </c>
      <c r="F250" s="0" t="n">
        <v>63</v>
      </c>
      <c r="G250" s="0" t="str">
        <f aca="false">IF(F250&lt;=30,"Current",IF(F250&lt;=60,"31 to 60 days",IF(F250&lt;=90,"61 to 90 days",IF(F250&lt;=120,"91 to 120 days","Over 120 days"))))</f>
        <v>61 to 90 days</v>
      </c>
      <c r="H250" s="0" t="n">
        <f aca="false">VLOOKUP(D250,Rates!$A$4:$B$7,2,FALSE())</f>
        <v>0.085</v>
      </c>
      <c r="I250" s="0" t="n">
        <f aca="false">VLOOKUP(F250,Rates!$D$4:$E$8,2)</f>
        <v>0.25</v>
      </c>
      <c r="J250" s="0" t="n">
        <f aca="false">ROUND(E250*I250,2)</f>
        <v>3149.92</v>
      </c>
      <c r="K250" s="1" t="n">
        <f aca="false">PV(H250/12,F250/30,0,-E250)</f>
        <v>12414.2780308222</v>
      </c>
      <c r="L250" s="0" t="n">
        <f aca="false">ROUND(E250-K250,2)</f>
        <v>185.38</v>
      </c>
      <c r="M250" s="0" t="n">
        <f aca="false">F250/E250</f>
        <v>0.00500013492427574</v>
      </c>
    </row>
    <row r="251" customFormat="false" ht="12.8" hidden="false" customHeight="false" outlineLevel="0" collapsed="false">
      <c r="A251" s="0" t="s">
        <v>421</v>
      </c>
      <c r="B251" s="0" t="s">
        <v>422</v>
      </c>
      <c r="C251" s="0" t="s">
        <v>26</v>
      </c>
      <c r="D251" s="0" t="s">
        <v>49</v>
      </c>
      <c r="E251" s="0" t="n">
        <v>17209.34</v>
      </c>
      <c r="F251" s="0" t="n">
        <v>54</v>
      </c>
      <c r="G251" s="0" t="str">
        <f aca="false">IF(F251&lt;=30,"Current",IF(F251&lt;=60,"31 to 60 days",IF(F251&lt;=90,"61 to 90 days",IF(F251&lt;=120,"91 to 120 days","Over 120 days"))))</f>
        <v>31 to 60 days</v>
      </c>
      <c r="H251" s="0" t="n">
        <f aca="false">VLOOKUP(D251,Rates!$A$4:$B$7,2,FALSE())</f>
        <v>0.02</v>
      </c>
      <c r="I251" s="0" t="n">
        <f aca="false">VLOOKUP(F251,Rates!$D$4:$E$8,2)</f>
        <v>0.1</v>
      </c>
      <c r="J251" s="0" t="n">
        <f aca="false">ROUND(E251*I251,2)</f>
        <v>1720.93</v>
      </c>
      <c r="K251" s="1" t="n">
        <f aca="false">PV(H251/12,F251/30,0,-E251)</f>
        <v>17157.8321915718</v>
      </c>
      <c r="L251" s="0" t="n">
        <f aca="false">ROUND(E251-K251,2)</f>
        <v>51.51</v>
      </c>
      <c r="M251" s="0" t="n">
        <f aca="false">F251/E251</f>
        <v>0.0031378309685322</v>
      </c>
    </row>
    <row r="252" customFormat="false" ht="12.8" hidden="false" customHeight="false" outlineLevel="0" collapsed="false">
      <c r="A252" s="0" t="s">
        <v>423</v>
      </c>
      <c r="B252" s="0" t="s">
        <v>424</v>
      </c>
      <c r="C252" s="0" t="s">
        <v>19</v>
      </c>
      <c r="D252" s="0" t="s">
        <v>49</v>
      </c>
      <c r="E252" s="0" t="n">
        <v>29735.67</v>
      </c>
      <c r="F252" s="0" t="n">
        <v>307</v>
      </c>
      <c r="G252" s="0" t="str">
        <f aca="false">IF(F252&lt;=30,"Current",IF(F252&lt;=60,"31 to 60 days",IF(F252&lt;=90,"61 to 90 days",IF(F252&lt;=120,"91 to 120 days","Over 120 days"))))</f>
        <v>Over 120 days</v>
      </c>
      <c r="H252" s="0" t="n">
        <f aca="false">VLOOKUP(D252,Rates!$A$4:$B$7,2,FALSE())</f>
        <v>0.02</v>
      </c>
      <c r="I252" s="0" t="n">
        <f aca="false">VLOOKUP(F252,Rates!$D$4:$E$8,2)</f>
        <v>0.85</v>
      </c>
      <c r="J252" s="0" t="n">
        <f aca="false">ROUND(E252*I252,2)</f>
        <v>25275.32</v>
      </c>
      <c r="K252" s="1" t="n">
        <f aca="false">PV(H252/12,F252/30,0,-E252)</f>
        <v>29233.227105407</v>
      </c>
      <c r="L252" s="0" t="n">
        <f aca="false">ROUND(E252-K252,2)</f>
        <v>502.44</v>
      </c>
      <c r="M252" s="0" t="n">
        <f aca="false">F252/E252</f>
        <v>0.0103243007472171</v>
      </c>
    </row>
    <row r="253" customFormat="false" ht="12.8" hidden="false" customHeight="false" outlineLevel="0" collapsed="false">
      <c r="A253" s="0" t="s">
        <v>425</v>
      </c>
      <c r="B253" s="0" t="s">
        <v>326</v>
      </c>
      <c r="C253" s="0" t="s">
        <v>42</v>
      </c>
      <c r="D253" s="0" t="s">
        <v>23</v>
      </c>
      <c r="E253" s="0" t="n">
        <v>16687.37</v>
      </c>
      <c r="F253" s="0" t="n">
        <v>77</v>
      </c>
      <c r="G253" s="0" t="str">
        <f aca="false">IF(F253&lt;=30,"Current",IF(F253&lt;=60,"31 to 60 days",IF(F253&lt;=90,"61 to 90 days",IF(F253&lt;=120,"91 to 120 days","Over 120 days"))))</f>
        <v>61 to 90 days</v>
      </c>
      <c r="H253" s="0" t="n">
        <f aca="false">VLOOKUP(D253,Rates!$A$4:$B$7,2,FALSE())</f>
        <v>0.115</v>
      </c>
      <c r="I253" s="0" t="n">
        <f aca="false">VLOOKUP(F253,Rates!$D$4:$E$8,2)</f>
        <v>0.25</v>
      </c>
      <c r="J253" s="0" t="n">
        <f aca="false">ROUND(E253*I253,2)</f>
        <v>4171.84</v>
      </c>
      <c r="K253" s="1" t="n">
        <f aca="false">PV(H253/12,F253/30,0,-E253)</f>
        <v>16283.8209919592</v>
      </c>
      <c r="L253" s="0" t="n">
        <f aca="false">ROUND(E253-K253,2)</f>
        <v>403.55</v>
      </c>
      <c r="M253" s="0" t="n">
        <f aca="false">F253/E253</f>
        <v>0.0046142681560965</v>
      </c>
    </row>
    <row r="254" customFormat="false" ht="12.8" hidden="false" customHeight="false" outlineLevel="0" collapsed="false">
      <c r="A254" s="0" t="s">
        <v>426</v>
      </c>
      <c r="B254" s="0" t="s">
        <v>427</v>
      </c>
      <c r="C254" s="0" t="s">
        <v>31</v>
      </c>
      <c r="D254" s="0" t="s">
        <v>49</v>
      </c>
      <c r="E254" s="0" t="n">
        <v>21475.01</v>
      </c>
      <c r="F254" s="0" t="n">
        <v>284</v>
      </c>
      <c r="G254" s="0" t="str">
        <f aca="false">IF(F254&lt;=30,"Current",IF(F254&lt;=60,"31 to 60 days",IF(F254&lt;=90,"61 to 90 days",IF(F254&lt;=120,"91 to 120 days","Over 120 days"))))</f>
        <v>Over 120 days</v>
      </c>
      <c r="H254" s="0" t="n">
        <f aca="false">VLOOKUP(D254,Rates!$A$4:$B$7,2,FALSE())</f>
        <v>0.02</v>
      </c>
      <c r="I254" s="0" t="n">
        <f aca="false">VLOOKUP(F254,Rates!$D$4:$E$8,2)</f>
        <v>0.85</v>
      </c>
      <c r="J254" s="0" t="n">
        <f aca="false">ROUND(E254*I254,2)</f>
        <v>18253.76</v>
      </c>
      <c r="K254" s="1" t="n">
        <f aca="false">PV(H254/12,F254/30,0,-E254)</f>
        <v>21139.1186677869</v>
      </c>
      <c r="L254" s="0" t="n">
        <f aca="false">ROUND(E254-K254,2)</f>
        <v>335.89</v>
      </c>
      <c r="M254" s="0" t="n">
        <f aca="false">F254/E254</f>
        <v>0.013224673702131</v>
      </c>
    </row>
    <row r="255" customFormat="false" ht="12.8" hidden="false" customHeight="false" outlineLevel="0" collapsed="false">
      <c r="A255" s="0" t="s">
        <v>428</v>
      </c>
      <c r="B255" s="0" t="s">
        <v>429</v>
      </c>
      <c r="C255" s="0" t="s">
        <v>42</v>
      </c>
      <c r="D255" s="0" t="s">
        <v>16</v>
      </c>
      <c r="E255" s="0" t="n">
        <v>33175.64</v>
      </c>
      <c r="F255" s="0" t="n">
        <v>30</v>
      </c>
      <c r="G255" s="0" t="str">
        <f aca="false">IF(F255&lt;=30,"Current",IF(F255&lt;=60,"31 to 60 days",IF(F255&lt;=90,"61 to 90 days",IF(F255&lt;=120,"91 to 120 days","Over 120 days"))))</f>
        <v>Current</v>
      </c>
      <c r="H255" s="0" t="n">
        <f aca="false">VLOOKUP(D255,Rates!$A$4:$B$7,2,FALSE())</f>
        <v>0.085</v>
      </c>
      <c r="I255" s="0" t="n">
        <f aca="false">VLOOKUP(F255,Rates!$D$4:$E$8,2)</f>
        <v>0.02</v>
      </c>
      <c r="J255" s="0" t="n">
        <f aca="false">ROUND(E255*I255,2)</f>
        <v>663.51</v>
      </c>
      <c r="K255" s="1" t="n">
        <f aca="false">PV(H255/12,F255/30,0,-E255)</f>
        <v>32942.2987174183</v>
      </c>
      <c r="L255" s="0" t="n">
        <f aca="false">ROUND(E255-K255,2)</f>
        <v>233.34</v>
      </c>
      <c r="M255" s="0" t="n">
        <f aca="false">F255/E255</f>
        <v>0.000904277958164485</v>
      </c>
    </row>
    <row r="256" customFormat="false" ht="12.8" hidden="false" customHeight="false" outlineLevel="0" collapsed="false">
      <c r="A256" s="0" t="s">
        <v>430</v>
      </c>
      <c r="B256" s="0" t="s">
        <v>431</v>
      </c>
      <c r="C256" s="0" t="s">
        <v>19</v>
      </c>
      <c r="D256" s="0" t="s">
        <v>16</v>
      </c>
      <c r="E256" s="0" t="n">
        <v>24137.89</v>
      </c>
      <c r="F256" s="0" t="n">
        <v>37</v>
      </c>
      <c r="G256" s="0" t="str">
        <f aca="false">IF(F256&lt;=30,"Current",IF(F256&lt;=60,"31 to 60 days",IF(F256&lt;=90,"61 to 90 days",IF(F256&lt;=120,"91 to 120 days","Over 120 days"))))</f>
        <v>31 to 60 days</v>
      </c>
      <c r="H256" s="0" t="n">
        <f aca="false">VLOOKUP(D256,Rates!$A$4:$B$7,2,FALSE())</f>
        <v>0.085</v>
      </c>
      <c r="I256" s="0" t="n">
        <f aca="false">VLOOKUP(F256,Rates!$D$4:$E$8,2)</f>
        <v>0.1</v>
      </c>
      <c r="J256" s="0" t="n">
        <f aca="false">ROUND(E256*I256,2)</f>
        <v>2413.79</v>
      </c>
      <c r="K256" s="1" t="n">
        <f aca="false">PV(H256/12,F256/30,0,-E256)</f>
        <v>23928.6740056117</v>
      </c>
      <c r="L256" s="0" t="n">
        <f aca="false">ROUND(E256-K256,2)</f>
        <v>209.22</v>
      </c>
      <c r="M256" s="0" t="n">
        <f aca="false">F256/E256</f>
        <v>0.00153285974871872</v>
      </c>
    </row>
    <row r="257" customFormat="false" ht="12.8" hidden="false" customHeight="false" outlineLevel="0" collapsed="false">
      <c r="A257" s="0" t="s">
        <v>432</v>
      </c>
      <c r="B257" s="0" t="s">
        <v>216</v>
      </c>
      <c r="C257" s="0" t="s">
        <v>15</v>
      </c>
      <c r="D257" s="0" t="s">
        <v>23</v>
      </c>
      <c r="E257" s="0" t="n">
        <v>13896.47</v>
      </c>
      <c r="F257" s="0" t="n">
        <v>352</v>
      </c>
      <c r="G257" s="0" t="str">
        <f aca="false">IF(F257&lt;=30,"Current",IF(F257&lt;=60,"31 to 60 days",IF(F257&lt;=90,"61 to 90 days",IF(F257&lt;=120,"91 to 120 days","Over 120 days"))))</f>
        <v>Over 120 days</v>
      </c>
      <c r="H257" s="0" t="n">
        <f aca="false">VLOOKUP(D257,Rates!$A$4:$B$7,2,FALSE())</f>
        <v>0.115</v>
      </c>
      <c r="I257" s="0" t="n">
        <f aca="false">VLOOKUP(F257,Rates!$D$4:$E$8,2)</f>
        <v>0.85</v>
      </c>
      <c r="J257" s="0" t="n">
        <f aca="false">ROUND(E257*I257,2)</f>
        <v>11812</v>
      </c>
      <c r="K257" s="1" t="n">
        <f aca="false">PV(H257/12,F257/30,0,-E257)</f>
        <v>12425.1890249822</v>
      </c>
      <c r="L257" s="0" t="n">
        <f aca="false">ROUND(E257-K257,2)</f>
        <v>1471.28</v>
      </c>
      <c r="M257" s="0" t="n">
        <f aca="false">F257/E257</f>
        <v>0.025330173777945</v>
      </c>
    </row>
    <row r="258" customFormat="false" ht="12.8" hidden="false" customHeight="false" outlineLevel="0" collapsed="false">
      <c r="A258" s="0" t="s">
        <v>433</v>
      </c>
      <c r="B258" s="0" t="s">
        <v>30</v>
      </c>
      <c r="C258" s="0" t="s">
        <v>31</v>
      </c>
      <c r="D258" s="0" t="s">
        <v>20</v>
      </c>
      <c r="E258" s="0" t="n">
        <v>39413.27</v>
      </c>
      <c r="F258" s="0" t="n">
        <v>84</v>
      </c>
      <c r="G258" s="0" t="str">
        <f aca="false">IF(F258&lt;=30,"Current",IF(F258&lt;=60,"31 to 60 days",IF(F258&lt;=90,"61 to 90 days",IF(F258&lt;=120,"91 to 120 days","Over 120 days"))))</f>
        <v>61 to 90 days</v>
      </c>
      <c r="H258" s="0" t="n">
        <f aca="false">VLOOKUP(D258,Rates!$A$4:$B$7,2,FALSE())</f>
        <v>0.05</v>
      </c>
      <c r="I258" s="0" t="n">
        <f aca="false">VLOOKUP(F258,Rates!$D$4:$E$8,2)</f>
        <v>0.25</v>
      </c>
      <c r="J258" s="0" t="n">
        <f aca="false">ROUND(E258*I258,2)</f>
        <v>9853.32</v>
      </c>
      <c r="K258" s="1" t="n">
        <f aca="false">PV(H258/12,F258/30,0,-E258)</f>
        <v>38957.0646475153</v>
      </c>
      <c r="L258" s="0" t="n">
        <f aca="false">ROUND(E258-K258,2)</f>
        <v>456.21</v>
      </c>
      <c r="M258" s="0" t="n">
        <f aca="false">F258/E258</f>
        <v>0.00213126188210215</v>
      </c>
    </row>
    <row r="259" customFormat="false" ht="12.8" hidden="false" customHeight="false" outlineLevel="0" collapsed="false">
      <c r="A259" s="0" t="s">
        <v>434</v>
      </c>
      <c r="B259" s="0" t="s">
        <v>330</v>
      </c>
      <c r="C259" s="0" t="s">
        <v>15</v>
      </c>
      <c r="D259" s="0" t="s">
        <v>23</v>
      </c>
      <c r="E259" s="0" t="n">
        <v>37426.91</v>
      </c>
      <c r="F259" s="0" t="n">
        <v>297</v>
      </c>
      <c r="G259" s="0" t="str">
        <f aca="false">IF(F259&lt;=30,"Current",IF(F259&lt;=60,"31 to 60 days",IF(F259&lt;=90,"61 to 90 days",IF(F259&lt;=120,"91 to 120 days","Over 120 days"))))</f>
        <v>Over 120 days</v>
      </c>
      <c r="H259" s="0" t="n">
        <f aca="false">VLOOKUP(D259,Rates!$A$4:$B$7,2,FALSE())</f>
        <v>0.115</v>
      </c>
      <c r="I259" s="0" t="n">
        <f aca="false">VLOOKUP(F259,Rates!$D$4:$E$8,2)</f>
        <v>0.85</v>
      </c>
      <c r="J259" s="0" t="n">
        <f aca="false">ROUND(E259*I259,2)</f>
        <v>31812.87</v>
      </c>
      <c r="K259" s="1" t="n">
        <f aca="false">PV(H259/12,F259/30,0,-E259)</f>
        <v>34054.6535043108</v>
      </c>
      <c r="L259" s="0" t="n">
        <f aca="false">ROUND(E259-K259,2)</f>
        <v>3372.26</v>
      </c>
      <c r="M259" s="0" t="n">
        <f aca="false">F259/E259</f>
        <v>0.00793546675373414</v>
      </c>
    </row>
    <row r="260" customFormat="false" ht="12.8" hidden="false" customHeight="false" outlineLevel="0" collapsed="false">
      <c r="A260" s="0" t="s">
        <v>435</v>
      </c>
      <c r="B260" s="0" t="s">
        <v>436</v>
      </c>
      <c r="C260" s="0" t="s">
        <v>26</v>
      </c>
      <c r="D260" s="0" t="s">
        <v>49</v>
      </c>
      <c r="E260" s="0" t="n">
        <v>35003.61</v>
      </c>
      <c r="F260" s="0" t="n">
        <v>376</v>
      </c>
      <c r="G260" s="0" t="str">
        <f aca="false">IF(F260&lt;=30,"Current",IF(F260&lt;=60,"31 to 60 days",IF(F260&lt;=90,"61 to 90 days",IF(F260&lt;=120,"91 to 120 days","Over 120 days"))))</f>
        <v>Over 120 days</v>
      </c>
      <c r="H260" s="0" t="n">
        <f aca="false">VLOOKUP(D260,Rates!$A$4:$B$7,2,FALSE())</f>
        <v>0.02</v>
      </c>
      <c r="I260" s="0" t="n">
        <f aca="false">VLOOKUP(F260,Rates!$D$4:$E$8,2)</f>
        <v>0.85</v>
      </c>
      <c r="J260" s="0" t="n">
        <f aca="false">ROUND(E260*I260,2)</f>
        <v>29753.07</v>
      </c>
      <c r="K260" s="1" t="n">
        <f aca="false">PV(H260/12,F260/30,0,-E260)</f>
        <v>34280.6034875452</v>
      </c>
      <c r="L260" s="0" t="n">
        <f aca="false">ROUND(E260-K260,2)</f>
        <v>723.01</v>
      </c>
      <c r="M260" s="0" t="n">
        <f aca="false">F260/E260</f>
        <v>0.0107417492081531</v>
      </c>
    </row>
    <row r="261" customFormat="false" ht="12.8" hidden="false" customHeight="false" outlineLevel="0" collapsed="false">
      <c r="A261" s="0" t="s">
        <v>437</v>
      </c>
      <c r="B261" s="0" t="s">
        <v>438</v>
      </c>
      <c r="C261" s="0" t="s">
        <v>42</v>
      </c>
      <c r="D261" s="0" t="s">
        <v>16</v>
      </c>
      <c r="E261" s="0" t="n">
        <v>4724.92</v>
      </c>
      <c r="F261" s="0" t="n">
        <v>86</v>
      </c>
      <c r="G261" s="0" t="str">
        <f aca="false">IF(F261&lt;=30,"Current",IF(F261&lt;=60,"31 to 60 days",IF(F261&lt;=90,"61 to 90 days",IF(F261&lt;=120,"91 to 120 days","Over 120 days"))))</f>
        <v>61 to 90 days</v>
      </c>
      <c r="H261" s="0" t="n">
        <f aca="false">VLOOKUP(D261,Rates!$A$4:$B$7,2,FALSE())</f>
        <v>0.085</v>
      </c>
      <c r="I261" s="0" t="n">
        <f aca="false">VLOOKUP(F261,Rates!$D$4:$E$8,2)</f>
        <v>0.25</v>
      </c>
      <c r="J261" s="0" t="n">
        <f aca="false">ROUND(E261*I261,2)</f>
        <v>1181.23</v>
      </c>
      <c r="K261" s="1" t="n">
        <f aca="false">PV(H261/12,F261/30,0,-E261)</f>
        <v>4630.27680649937</v>
      </c>
      <c r="L261" s="0" t="n">
        <f aca="false">ROUND(E261-K261,2)</f>
        <v>94.64</v>
      </c>
      <c r="M261" s="0" t="n">
        <f aca="false">F261/E261</f>
        <v>0.0182013663723407</v>
      </c>
    </row>
    <row r="262" customFormat="false" ht="12.8" hidden="false" customHeight="false" outlineLevel="0" collapsed="false">
      <c r="A262" s="0" t="s">
        <v>439</v>
      </c>
      <c r="B262" s="0" t="s">
        <v>51</v>
      </c>
      <c r="C262" s="0" t="s">
        <v>36</v>
      </c>
      <c r="D262" s="0" t="s">
        <v>20</v>
      </c>
      <c r="E262" s="0" t="n">
        <v>6383.85</v>
      </c>
      <c r="F262" s="0" t="n">
        <v>73</v>
      </c>
      <c r="G262" s="0" t="str">
        <f aca="false">IF(F262&lt;=30,"Current",IF(F262&lt;=60,"31 to 60 days",IF(F262&lt;=90,"61 to 90 days",IF(F262&lt;=120,"91 to 120 days","Over 120 days"))))</f>
        <v>61 to 90 days</v>
      </c>
      <c r="H262" s="0" t="n">
        <f aca="false">VLOOKUP(D262,Rates!$A$4:$B$7,2,FALSE())</f>
        <v>0.05</v>
      </c>
      <c r="I262" s="0" t="n">
        <f aca="false">VLOOKUP(F262,Rates!$D$4:$E$8,2)</f>
        <v>0.25</v>
      </c>
      <c r="J262" s="0" t="n">
        <f aca="false">ROUND(E262*I262,2)</f>
        <v>1595.96</v>
      </c>
      <c r="K262" s="1" t="n">
        <f aca="false">PV(H262/12,F262/30,0,-E262)</f>
        <v>6319.58498413779</v>
      </c>
      <c r="L262" s="0" t="n">
        <f aca="false">ROUND(E262-K262,2)</f>
        <v>64.27</v>
      </c>
      <c r="M262" s="0" t="n">
        <f aca="false">F262/E262</f>
        <v>0.0114351057747284</v>
      </c>
    </row>
    <row r="263" customFormat="false" ht="12.8" hidden="false" customHeight="false" outlineLevel="0" collapsed="false">
      <c r="A263" s="0" t="s">
        <v>440</v>
      </c>
      <c r="B263" s="0" t="s">
        <v>441</v>
      </c>
      <c r="C263" s="0" t="s">
        <v>15</v>
      </c>
      <c r="D263" s="0" t="s">
        <v>23</v>
      </c>
      <c r="E263" s="0" t="n">
        <v>15402.64</v>
      </c>
      <c r="F263" s="0" t="n">
        <v>330</v>
      </c>
      <c r="G263" s="0" t="str">
        <f aca="false">IF(F263&lt;=30,"Current",IF(F263&lt;=60,"31 to 60 days",IF(F263&lt;=90,"61 to 90 days",IF(F263&lt;=120,"91 to 120 days","Over 120 days"))))</f>
        <v>Over 120 days</v>
      </c>
      <c r="H263" s="0" t="n">
        <f aca="false">VLOOKUP(D263,Rates!$A$4:$B$7,2,FALSE())</f>
        <v>0.115</v>
      </c>
      <c r="I263" s="0" t="n">
        <f aca="false">VLOOKUP(F263,Rates!$D$4:$E$8,2)</f>
        <v>0.85</v>
      </c>
      <c r="J263" s="0" t="n">
        <f aca="false">ROUND(E263*I263,2)</f>
        <v>13092.24</v>
      </c>
      <c r="K263" s="1" t="n">
        <f aca="false">PV(H263/12,F263/30,0,-E263)</f>
        <v>13868.5567585479</v>
      </c>
      <c r="L263" s="0" t="n">
        <f aca="false">ROUND(E263-K263,2)</f>
        <v>1534.08</v>
      </c>
      <c r="M263" s="0" t="n">
        <f aca="false">F263/E263</f>
        <v>0.0214248985888133</v>
      </c>
    </row>
    <row r="264" customFormat="false" ht="12.8" hidden="false" customHeight="false" outlineLevel="0" collapsed="false">
      <c r="A264" s="0" t="s">
        <v>442</v>
      </c>
      <c r="B264" s="0" t="s">
        <v>22</v>
      </c>
      <c r="C264" s="0" t="s">
        <v>15</v>
      </c>
      <c r="D264" s="0" t="s">
        <v>23</v>
      </c>
      <c r="E264" s="0" t="n">
        <v>8765.51</v>
      </c>
      <c r="F264" s="0" t="n">
        <v>260</v>
      </c>
      <c r="G264" s="0" t="str">
        <f aca="false">IF(F264&lt;=30,"Current",IF(F264&lt;=60,"31 to 60 days",IF(F264&lt;=90,"61 to 90 days",IF(F264&lt;=120,"91 to 120 days","Over 120 days"))))</f>
        <v>Over 120 days</v>
      </c>
      <c r="H264" s="0" t="n">
        <f aca="false">VLOOKUP(D264,Rates!$A$4:$B$7,2,FALSE())</f>
        <v>0.115</v>
      </c>
      <c r="I264" s="0" t="n">
        <f aca="false">VLOOKUP(F264,Rates!$D$4:$E$8,2)</f>
        <v>0.85</v>
      </c>
      <c r="J264" s="0" t="n">
        <f aca="false">ROUND(E264*I264,2)</f>
        <v>7450.68</v>
      </c>
      <c r="K264" s="1" t="n">
        <f aca="false">PV(H264/12,F264/30,0,-E264)</f>
        <v>8070.08969748283</v>
      </c>
      <c r="L264" s="0" t="n">
        <f aca="false">ROUND(E264-K264,2)</f>
        <v>695.42</v>
      </c>
      <c r="M264" s="0" t="n">
        <f aca="false">F264/E264</f>
        <v>0.0296617082177763</v>
      </c>
    </row>
    <row r="265" customFormat="false" ht="12.8" hidden="false" customHeight="false" outlineLevel="0" collapsed="false">
      <c r="A265" s="0" t="s">
        <v>443</v>
      </c>
      <c r="B265" s="0" t="s">
        <v>269</v>
      </c>
      <c r="C265" s="0" t="s">
        <v>42</v>
      </c>
      <c r="D265" s="0" t="s">
        <v>23</v>
      </c>
      <c r="E265" s="0" t="n">
        <v>25868.03</v>
      </c>
      <c r="F265" s="0" t="n">
        <v>101</v>
      </c>
      <c r="G265" s="0" t="str">
        <f aca="false">IF(F265&lt;=30,"Current",IF(F265&lt;=60,"31 to 60 days",IF(F265&lt;=90,"61 to 90 days",IF(F265&lt;=120,"91 to 120 days","Over 120 days"))))</f>
        <v>91 to 120 days</v>
      </c>
      <c r="H265" s="0" t="n">
        <f aca="false">VLOOKUP(D265,Rates!$A$4:$B$7,2,FALSE())</f>
        <v>0.115</v>
      </c>
      <c r="I265" s="0" t="n">
        <f aca="false">VLOOKUP(F265,Rates!$D$4:$E$8,2)</f>
        <v>0.5</v>
      </c>
      <c r="J265" s="0" t="n">
        <f aca="false">ROUND(E265*I265,2)</f>
        <v>12934.02</v>
      </c>
      <c r="K265" s="1" t="n">
        <f aca="false">PV(H265/12,F265/30,0,-E265)</f>
        <v>25050.5947951596</v>
      </c>
      <c r="L265" s="0" t="n">
        <f aca="false">ROUND(E265-K265,2)</f>
        <v>817.44</v>
      </c>
      <c r="M265" s="0" t="n">
        <f aca="false">F265/E265</f>
        <v>0.00390443338746708</v>
      </c>
    </row>
    <row r="266" customFormat="false" ht="12.8" hidden="false" customHeight="false" outlineLevel="0" collapsed="false">
      <c r="A266" s="0" t="s">
        <v>444</v>
      </c>
      <c r="B266" s="0" t="s">
        <v>30</v>
      </c>
      <c r="C266" s="0" t="s">
        <v>31</v>
      </c>
      <c r="D266" s="0" t="s">
        <v>20</v>
      </c>
      <c r="E266" s="0" t="n">
        <v>16426.11</v>
      </c>
      <c r="F266" s="0" t="n">
        <v>304</v>
      </c>
      <c r="G266" s="0" t="str">
        <f aca="false">IF(F266&lt;=30,"Current",IF(F266&lt;=60,"31 to 60 days",IF(F266&lt;=90,"61 to 90 days",IF(F266&lt;=120,"91 to 120 days","Over 120 days"))))</f>
        <v>Over 120 days</v>
      </c>
      <c r="H266" s="0" t="n">
        <f aca="false">VLOOKUP(D266,Rates!$A$4:$B$7,2,FALSE())</f>
        <v>0.05</v>
      </c>
      <c r="I266" s="0" t="n">
        <f aca="false">VLOOKUP(F266,Rates!$D$4:$E$8,2)</f>
        <v>0.85</v>
      </c>
      <c r="J266" s="0" t="n">
        <f aca="false">ROUND(E266*I266,2)</f>
        <v>13962.19</v>
      </c>
      <c r="K266" s="1" t="n">
        <f aca="false">PV(H266/12,F266/30,0,-E266)</f>
        <v>15748.3821467801</v>
      </c>
      <c r="L266" s="0" t="n">
        <f aca="false">ROUND(E266-K266,2)</f>
        <v>677.73</v>
      </c>
      <c r="M266" s="0" t="n">
        <f aca="false">F266/E266</f>
        <v>0.0185071206755586</v>
      </c>
    </row>
    <row r="267" customFormat="false" ht="12.8" hidden="false" customHeight="false" outlineLevel="0" collapsed="false">
      <c r="A267" s="0" t="s">
        <v>445</v>
      </c>
      <c r="B267" s="0" t="s">
        <v>446</v>
      </c>
      <c r="C267" s="0" t="s">
        <v>19</v>
      </c>
      <c r="D267" s="0" t="s">
        <v>16</v>
      </c>
      <c r="E267" s="0" t="n">
        <v>21575.66</v>
      </c>
      <c r="F267" s="0" t="n">
        <v>221</v>
      </c>
      <c r="G267" s="0" t="str">
        <f aca="false">IF(F267&lt;=30,"Current",IF(F267&lt;=60,"31 to 60 days",IF(F267&lt;=90,"61 to 90 days",IF(F267&lt;=120,"91 to 120 days","Over 120 days"))))</f>
        <v>Over 120 days</v>
      </c>
      <c r="H267" s="0" t="n">
        <f aca="false">VLOOKUP(D267,Rates!$A$4:$B$7,2,FALSE())</f>
        <v>0.085</v>
      </c>
      <c r="I267" s="0" t="n">
        <f aca="false">VLOOKUP(F267,Rates!$D$4:$E$8,2)</f>
        <v>0.85</v>
      </c>
      <c r="J267" s="0" t="n">
        <f aca="false">ROUND(E267*I267,2)</f>
        <v>18339.31</v>
      </c>
      <c r="K267" s="1" t="n">
        <f aca="false">PV(H267/12,F267/30,0,-E267)</f>
        <v>20482.4661408717</v>
      </c>
      <c r="L267" s="0" t="n">
        <f aca="false">ROUND(E267-K267,2)</f>
        <v>1093.19</v>
      </c>
      <c r="M267" s="0" t="n">
        <f aca="false">F267/E267</f>
        <v>0.0102430238518775</v>
      </c>
    </row>
    <row r="268" customFormat="false" ht="12.8" hidden="false" customHeight="false" outlineLevel="0" collapsed="false">
      <c r="A268" s="0" t="s">
        <v>447</v>
      </c>
      <c r="B268" s="0" t="s">
        <v>111</v>
      </c>
      <c r="C268" s="0" t="s">
        <v>19</v>
      </c>
      <c r="D268" s="0" t="s">
        <v>23</v>
      </c>
      <c r="E268" s="0" t="n">
        <v>22249.8</v>
      </c>
      <c r="F268" s="0" t="n">
        <v>398</v>
      </c>
      <c r="G268" s="0" t="str">
        <f aca="false">IF(F268&lt;=30,"Current",IF(F268&lt;=60,"31 to 60 days",IF(F268&lt;=90,"61 to 90 days",IF(F268&lt;=120,"91 to 120 days","Over 120 days"))))</f>
        <v>Over 120 days</v>
      </c>
      <c r="H268" s="0" t="n">
        <f aca="false">VLOOKUP(D268,Rates!$A$4:$B$7,2,FALSE())</f>
        <v>0.115</v>
      </c>
      <c r="I268" s="0" t="n">
        <f aca="false">VLOOKUP(F268,Rates!$D$4:$E$8,2)</f>
        <v>0.85</v>
      </c>
      <c r="J268" s="0" t="n">
        <f aca="false">ROUND(E268*I268,2)</f>
        <v>18912.33</v>
      </c>
      <c r="K268" s="1" t="n">
        <f aca="false">PV(H268/12,F268/30,0,-E268)</f>
        <v>19605.2909002795</v>
      </c>
      <c r="L268" s="0" t="n">
        <f aca="false">ROUND(E268-K268,2)</f>
        <v>2644.51</v>
      </c>
      <c r="M268" s="0" t="n">
        <f aca="false">F268/E268</f>
        <v>0.0178878012386628</v>
      </c>
    </row>
    <row r="269" customFormat="false" ht="12.8" hidden="false" customHeight="false" outlineLevel="0" collapsed="false">
      <c r="A269" s="0" t="s">
        <v>448</v>
      </c>
      <c r="B269" s="0" t="s">
        <v>449</v>
      </c>
      <c r="C269" s="0" t="s">
        <v>26</v>
      </c>
      <c r="D269" s="0" t="s">
        <v>16</v>
      </c>
      <c r="E269" s="0" t="n">
        <v>7144.58</v>
      </c>
      <c r="F269" s="0" t="n">
        <v>261</v>
      </c>
      <c r="G269" s="0" t="str">
        <f aca="false">IF(F269&lt;=30,"Current",IF(F269&lt;=60,"31 to 60 days",IF(F269&lt;=90,"61 to 90 days",IF(F269&lt;=120,"91 to 120 days","Over 120 days"))))</f>
        <v>Over 120 days</v>
      </c>
      <c r="H269" s="0" t="n">
        <f aca="false">VLOOKUP(D269,Rates!$A$4:$B$7,2,FALSE())</f>
        <v>0.085</v>
      </c>
      <c r="I269" s="0" t="n">
        <f aca="false">VLOOKUP(F269,Rates!$D$4:$E$8,2)</f>
        <v>0.85</v>
      </c>
      <c r="J269" s="0" t="n">
        <f aca="false">ROUND(E269*I269,2)</f>
        <v>6072.89</v>
      </c>
      <c r="K269" s="1" t="n">
        <f aca="false">PV(H269/12,F269/30,0,-E269)</f>
        <v>6719.04651817653</v>
      </c>
      <c r="L269" s="0" t="n">
        <f aca="false">ROUND(E269-K269,2)</f>
        <v>425.53</v>
      </c>
      <c r="M269" s="0" t="n">
        <f aca="false">F269/E269</f>
        <v>0.036531188677291</v>
      </c>
    </row>
    <row r="270" customFormat="false" ht="12.8" hidden="false" customHeight="false" outlineLevel="0" collapsed="false">
      <c r="A270" s="0" t="s">
        <v>450</v>
      </c>
      <c r="B270" s="0" t="s">
        <v>97</v>
      </c>
      <c r="C270" s="0" t="s">
        <v>42</v>
      </c>
      <c r="D270" s="0" t="s">
        <v>20</v>
      </c>
      <c r="E270" s="0" t="n">
        <v>43408.83</v>
      </c>
      <c r="F270" s="0" t="n">
        <v>346</v>
      </c>
      <c r="G270" s="0" t="str">
        <f aca="false">IF(F270&lt;=30,"Current",IF(F270&lt;=60,"31 to 60 days",IF(F270&lt;=90,"61 to 90 days",IF(F270&lt;=120,"91 to 120 days","Over 120 days"))))</f>
        <v>Over 120 days</v>
      </c>
      <c r="H270" s="0" t="n">
        <f aca="false">VLOOKUP(D270,Rates!$A$4:$B$7,2,FALSE())</f>
        <v>0.05</v>
      </c>
      <c r="I270" s="0" t="n">
        <f aca="false">VLOOKUP(F270,Rates!$D$4:$E$8,2)</f>
        <v>0.85</v>
      </c>
      <c r="J270" s="0" t="n">
        <f aca="false">ROUND(E270*I270,2)</f>
        <v>36897.51</v>
      </c>
      <c r="K270" s="1" t="n">
        <f aca="false">PV(H270/12,F270/30,0,-E270)</f>
        <v>41376.2547526416</v>
      </c>
      <c r="L270" s="0" t="n">
        <f aca="false">ROUND(E270-K270,2)</f>
        <v>2032.58</v>
      </c>
      <c r="M270" s="0" t="n">
        <f aca="false">F270/E270</f>
        <v>0.00797072853610659</v>
      </c>
    </row>
    <row r="271" customFormat="false" ht="12.8" hidden="false" customHeight="false" outlineLevel="0" collapsed="false">
      <c r="A271" s="0" t="s">
        <v>451</v>
      </c>
      <c r="B271" s="0" t="s">
        <v>452</v>
      </c>
      <c r="C271" s="0" t="s">
        <v>15</v>
      </c>
      <c r="D271" s="0" t="s">
        <v>16</v>
      </c>
      <c r="E271" s="0" t="n">
        <v>29759.36</v>
      </c>
      <c r="F271" s="0" t="n">
        <v>6</v>
      </c>
      <c r="G271" s="0" t="str">
        <f aca="false">IF(F271&lt;=30,"Current",IF(F271&lt;=60,"31 to 60 days",IF(F271&lt;=90,"61 to 90 days",IF(F271&lt;=120,"91 to 120 days","Over 120 days"))))</f>
        <v>Current</v>
      </c>
      <c r="H271" s="0" t="n">
        <f aca="false">VLOOKUP(D271,Rates!$A$4:$B$7,2,FALSE())</f>
        <v>0.085</v>
      </c>
      <c r="I271" s="0" t="n">
        <f aca="false">VLOOKUP(F271,Rates!$D$4:$E$8,2)</f>
        <v>0.02</v>
      </c>
      <c r="J271" s="0" t="n">
        <f aca="false">ROUND(E271*I271,2)</f>
        <v>595.19</v>
      </c>
      <c r="K271" s="1" t="n">
        <f aca="false">PV(H271/12,F271/30,0,-E271)</f>
        <v>29717.3791573357</v>
      </c>
      <c r="L271" s="0" t="n">
        <f aca="false">ROUND(E271-K271,2)</f>
        <v>41.98</v>
      </c>
      <c r="M271" s="0" t="n">
        <f aca="false">F271/E271</f>
        <v>0.00020161723908041</v>
      </c>
    </row>
    <row r="272" customFormat="false" ht="12.8" hidden="false" customHeight="false" outlineLevel="0" collapsed="false">
      <c r="A272" s="0" t="s">
        <v>453</v>
      </c>
      <c r="B272" s="0" t="s">
        <v>138</v>
      </c>
      <c r="C272" s="0" t="s">
        <v>15</v>
      </c>
      <c r="D272" s="0" t="s">
        <v>23</v>
      </c>
      <c r="E272" s="0" t="n">
        <v>17634.42</v>
      </c>
      <c r="F272" s="0" t="n">
        <v>279</v>
      </c>
      <c r="G272" s="0" t="str">
        <f aca="false">IF(F272&lt;=30,"Current",IF(F272&lt;=60,"31 to 60 days",IF(F272&lt;=90,"61 to 90 days",IF(F272&lt;=120,"91 to 120 days","Over 120 days"))))</f>
        <v>Over 120 days</v>
      </c>
      <c r="H272" s="0" t="n">
        <f aca="false">VLOOKUP(D272,Rates!$A$4:$B$7,2,FALSE())</f>
        <v>0.115</v>
      </c>
      <c r="I272" s="0" t="n">
        <f aca="false">VLOOKUP(F272,Rates!$D$4:$E$8,2)</f>
        <v>0.85</v>
      </c>
      <c r="J272" s="0" t="n">
        <f aca="false">ROUND(E272*I272,2)</f>
        <v>14989.26</v>
      </c>
      <c r="K272" s="1" t="n">
        <f aca="false">PV(H272/12,F272/30,0,-E272)</f>
        <v>16137.6011205535</v>
      </c>
      <c r="L272" s="0" t="n">
        <f aca="false">ROUND(E272-K272,2)</f>
        <v>1496.82</v>
      </c>
      <c r="M272" s="0" t="n">
        <f aca="false">F272/E272</f>
        <v>0.0158213312374323</v>
      </c>
    </row>
    <row r="273" customFormat="false" ht="12.8" hidden="false" customHeight="false" outlineLevel="0" collapsed="false">
      <c r="A273" s="0" t="s">
        <v>454</v>
      </c>
      <c r="B273" s="0" t="s">
        <v>455</v>
      </c>
      <c r="C273" s="0" t="s">
        <v>36</v>
      </c>
      <c r="D273" s="0" t="s">
        <v>49</v>
      </c>
      <c r="E273" s="0" t="n">
        <v>34100.12</v>
      </c>
      <c r="F273" s="0" t="n">
        <v>259</v>
      </c>
      <c r="G273" s="0" t="str">
        <f aca="false">IF(F273&lt;=30,"Current",IF(F273&lt;=60,"31 to 60 days",IF(F273&lt;=90,"61 to 90 days",IF(F273&lt;=120,"91 to 120 days","Over 120 days"))))</f>
        <v>Over 120 days</v>
      </c>
      <c r="H273" s="0" t="n">
        <f aca="false">VLOOKUP(D273,Rates!$A$4:$B$7,2,FALSE())</f>
        <v>0.02</v>
      </c>
      <c r="I273" s="0" t="n">
        <f aca="false">VLOOKUP(F273,Rates!$D$4:$E$8,2)</f>
        <v>0.85</v>
      </c>
      <c r="J273" s="0" t="n">
        <f aca="false">ROUND(E273*I273,2)</f>
        <v>28985.1</v>
      </c>
      <c r="K273" s="1" t="n">
        <f aca="false">PV(H273/12,F273/30,0,-E273)</f>
        <v>33613.3729378866</v>
      </c>
      <c r="L273" s="0" t="n">
        <f aca="false">ROUND(E273-K273,2)</f>
        <v>486.75</v>
      </c>
      <c r="M273" s="0" t="n">
        <f aca="false">F273/E273</f>
        <v>0.00759528118962631</v>
      </c>
    </row>
    <row r="274" customFormat="false" ht="12.8" hidden="false" customHeight="false" outlineLevel="0" collapsed="false">
      <c r="A274" s="0" t="s">
        <v>456</v>
      </c>
      <c r="B274" s="0" t="s">
        <v>457</v>
      </c>
      <c r="C274" s="0" t="s">
        <v>26</v>
      </c>
      <c r="D274" s="0" t="s">
        <v>49</v>
      </c>
      <c r="E274" s="0" t="n">
        <v>3700.79</v>
      </c>
      <c r="F274" s="0" t="n">
        <v>370</v>
      </c>
      <c r="G274" s="0" t="str">
        <f aca="false">IF(F274&lt;=30,"Current",IF(F274&lt;=60,"31 to 60 days",IF(F274&lt;=90,"61 to 90 days",IF(F274&lt;=120,"91 to 120 days","Over 120 days"))))</f>
        <v>Over 120 days</v>
      </c>
      <c r="H274" s="0" t="n">
        <f aca="false">VLOOKUP(D274,Rates!$A$4:$B$7,2,FALSE())</f>
        <v>0.02</v>
      </c>
      <c r="I274" s="0" t="n">
        <f aca="false">VLOOKUP(F274,Rates!$D$4:$E$8,2)</f>
        <v>0.85</v>
      </c>
      <c r="J274" s="0" t="n">
        <f aca="false">ROUND(E274*I274,2)</f>
        <v>3145.67</v>
      </c>
      <c r="K274" s="1" t="n">
        <f aca="false">PV(H274/12,F274/30,0,-E274)</f>
        <v>3625.55675985229</v>
      </c>
      <c r="L274" s="0" t="n">
        <f aca="false">ROUND(E274-K274,2)</f>
        <v>75.23</v>
      </c>
      <c r="M274" s="0" t="n">
        <f aca="false">F274/E274</f>
        <v>0.0999786532064775</v>
      </c>
    </row>
    <row r="275" customFormat="false" ht="12.8" hidden="false" customHeight="false" outlineLevel="0" collapsed="false">
      <c r="A275" s="0" t="s">
        <v>458</v>
      </c>
      <c r="B275" s="0" t="s">
        <v>459</v>
      </c>
      <c r="C275" s="0" t="s">
        <v>31</v>
      </c>
      <c r="D275" s="0" t="s">
        <v>16</v>
      </c>
      <c r="E275" s="0" t="n">
        <v>37590.24</v>
      </c>
      <c r="F275" s="0" t="n">
        <v>58</v>
      </c>
      <c r="G275" s="0" t="str">
        <f aca="false">IF(F275&lt;=30,"Current",IF(F275&lt;=60,"31 to 60 days",IF(F275&lt;=90,"61 to 90 days",IF(F275&lt;=120,"91 to 120 days","Over 120 days"))))</f>
        <v>31 to 60 days</v>
      </c>
      <c r="H275" s="0" t="n">
        <f aca="false">VLOOKUP(D275,Rates!$A$4:$B$7,2,FALSE())</f>
        <v>0.085</v>
      </c>
      <c r="I275" s="0" t="n">
        <f aca="false">VLOOKUP(F275,Rates!$D$4:$E$8,2)</f>
        <v>0.1</v>
      </c>
      <c r="J275" s="0" t="n">
        <f aca="false">ROUND(E275*I275,2)</f>
        <v>3759.02</v>
      </c>
      <c r="K275" s="1" t="n">
        <f aca="false">PV(H275/12,F275/30,0,-E275)</f>
        <v>37080.7612759525</v>
      </c>
      <c r="L275" s="0" t="n">
        <f aca="false">ROUND(E275-K275,2)</f>
        <v>509.48</v>
      </c>
      <c r="M275" s="0" t="n">
        <f aca="false">F275/E275</f>
        <v>0.00154295370287607</v>
      </c>
    </row>
    <row r="276" customFormat="false" ht="12.8" hidden="false" customHeight="false" outlineLevel="0" collapsed="false">
      <c r="A276" s="0" t="s">
        <v>460</v>
      </c>
      <c r="B276" s="0" t="s">
        <v>303</v>
      </c>
      <c r="C276" s="0" t="s">
        <v>31</v>
      </c>
      <c r="D276" s="0" t="s">
        <v>23</v>
      </c>
      <c r="E276" s="0" t="n">
        <v>1330.7</v>
      </c>
      <c r="F276" s="0" t="n">
        <v>43</v>
      </c>
      <c r="G276" s="0" t="str">
        <f aca="false">IF(F276&lt;=30,"Current",IF(F276&lt;=60,"31 to 60 days",IF(F276&lt;=90,"61 to 90 days",IF(F276&lt;=120,"91 to 120 days","Over 120 days"))))</f>
        <v>31 to 60 days</v>
      </c>
      <c r="H276" s="0" t="n">
        <f aca="false">VLOOKUP(D276,Rates!$A$4:$B$7,2,FALSE())</f>
        <v>0.115</v>
      </c>
      <c r="I276" s="0" t="n">
        <f aca="false">VLOOKUP(F276,Rates!$D$4:$E$8,2)</f>
        <v>0.1</v>
      </c>
      <c r="J276" s="0" t="n">
        <f aca="false">ROUND(E276*I276,2)</f>
        <v>133.07</v>
      </c>
      <c r="K276" s="1" t="n">
        <f aca="false">PV(H276/12,F276/30,0,-E276)</f>
        <v>1312.63216796039</v>
      </c>
      <c r="L276" s="0" t="n">
        <f aca="false">ROUND(E276-K276,2)</f>
        <v>18.07</v>
      </c>
      <c r="M276" s="0" t="n">
        <f aca="false">F276/E276</f>
        <v>0.0323138197940933</v>
      </c>
    </row>
    <row r="277" customFormat="false" ht="12.8" hidden="false" customHeight="false" outlineLevel="0" collapsed="false">
      <c r="A277" s="0" t="s">
        <v>461</v>
      </c>
      <c r="B277" s="0" t="s">
        <v>97</v>
      </c>
      <c r="C277" s="0" t="s">
        <v>42</v>
      </c>
      <c r="D277" s="0" t="s">
        <v>20</v>
      </c>
      <c r="E277" s="0" t="n">
        <v>42689.37</v>
      </c>
      <c r="F277" s="0" t="n">
        <v>106</v>
      </c>
      <c r="G277" s="0" t="str">
        <f aca="false">IF(F277&lt;=30,"Current",IF(F277&lt;=60,"31 to 60 days",IF(F277&lt;=90,"61 to 90 days",IF(F277&lt;=120,"91 to 120 days","Over 120 days"))))</f>
        <v>91 to 120 days</v>
      </c>
      <c r="H277" s="0" t="n">
        <f aca="false">VLOOKUP(D277,Rates!$A$4:$B$7,2,FALSE())</f>
        <v>0.05</v>
      </c>
      <c r="I277" s="0" t="n">
        <f aca="false">VLOOKUP(F277,Rates!$D$4:$E$8,2)</f>
        <v>0.5</v>
      </c>
      <c r="J277" s="0" t="n">
        <f aca="false">ROUND(E277*I277,2)</f>
        <v>21344.69</v>
      </c>
      <c r="K277" s="1" t="n">
        <f aca="false">PV(H277/12,F277/30,0,-E277)</f>
        <v>42066.777967175</v>
      </c>
      <c r="L277" s="0" t="n">
        <f aca="false">ROUND(E277-K277,2)</f>
        <v>622.59</v>
      </c>
      <c r="M277" s="0" t="n">
        <f aca="false">F277/E277</f>
        <v>0.00248305374382428</v>
      </c>
    </row>
    <row r="278" customFormat="false" ht="12.8" hidden="false" customHeight="false" outlineLevel="0" collapsed="false">
      <c r="A278" s="0" t="s">
        <v>462</v>
      </c>
      <c r="B278" s="0" t="s">
        <v>463</v>
      </c>
      <c r="C278" s="0" t="s">
        <v>31</v>
      </c>
      <c r="D278" s="0" t="s">
        <v>16</v>
      </c>
      <c r="E278" s="0" t="n">
        <v>12381.73</v>
      </c>
      <c r="F278" s="0" t="n">
        <v>109</v>
      </c>
      <c r="G278" s="0" t="str">
        <f aca="false">IF(F278&lt;=30,"Current",IF(F278&lt;=60,"31 to 60 days",IF(F278&lt;=90,"61 to 90 days",IF(F278&lt;=120,"91 to 120 days","Over 120 days"))))</f>
        <v>91 to 120 days</v>
      </c>
      <c r="H278" s="0" t="n">
        <f aca="false">VLOOKUP(D278,Rates!$A$4:$B$7,2,FALSE())</f>
        <v>0.085</v>
      </c>
      <c r="I278" s="0" t="n">
        <f aca="false">VLOOKUP(F278,Rates!$D$4:$E$8,2)</f>
        <v>0.5</v>
      </c>
      <c r="J278" s="0" t="n">
        <f aca="false">ROUND(E278*I278,2)</f>
        <v>6190.87</v>
      </c>
      <c r="K278" s="1" t="n">
        <f aca="false">PV(H278/12,F278/30,0,-E278)</f>
        <v>12068.2327599356</v>
      </c>
      <c r="L278" s="0" t="n">
        <f aca="false">ROUND(E278-K278,2)</f>
        <v>313.5</v>
      </c>
      <c r="M278" s="0" t="n">
        <f aca="false">F278/E278</f>
        <v>0.00880329323931309</v>
      </c>
    </row>
    <row r="279" customFormat="false" ht="12.8" hidden="false" customHeight="false" outlineLevel="0" collapsed="false">
      <c r="A279" s="0" t="s">
        <v>464</v>
      </c>
      <c r="B279" s="0" t="s">
        <v>465</v>
      </c>
      <c r="C279" s="0" t="s">
        <v>19</v>
      </c>
      <c r="D279" s="0" t="s">
        <v>49</v>
      </c>
      <c r="E279" s="0" t="n">
        <v>19015.92</v>
      </c>
      <c r="F279" s="0" t="n">
        <v>370</v>
      </c>
      <c r="G279" s="0" t="str">
        <f aca="false">IF(F279&lt;=30,"Current",IF(F279&lt;=60,"31 to 60 days",IF(F279&lt;=90,"61 to 90 days",IF(F279&lt;=120,"91 to 120 days","Over 120 days"))))</f>
        <v>Over 120 days</v>
      </c>
      <c r="H279" s="0" t="n">
        <f aca="false">VLOOKUP(D279,Rates!$A$4:$B$7,2,FALSE())</f>
        <v>0.02</v>
      </c>
      <c r="I279" s="0" t="n">
        <f aca="false">VLOOKUP(F279,Rates!$D$4:$E$8,2)</f>
        <v>0.85</v>
      </c>
      <c r="J279" s="0" t="n">
        <f aca="false">ROUND(E279*I279,2)</f>
        <v>16163.53</v>
      </c>
      <c r="K279" s="1" t="n">
        <f aca="false">PV(H279/12,F279/30,0,-E279)</f>
        <v>18629.3459776995</v>
      </c>
      <c r="L279" s="0" t="n">
        <f aca="false">ROUND(E279-K279,2)</f>
        <v>386.57</v>
      </c>
      <c r="M279" s="0" t="n">
        <f aca="false">F279/E279</f>
        <v>0.019457380973416</v>
      </c>
    </row>
    <row r="280" customFormat="false" ht="12.8" hidden="false" customHeight="false" outlineLevel="0" collapsed="false">
      <c r="A280" s="0" t="s">
        <v>466</v>
      </c>
      <c r="B280" s="0" t="s">
        <v>155</v>
      </c>
      <c r="C280" s="0" t="s">
        <v>31</v>
      </c>
      <c r="D280" s="0" t="s">
        <v>49</v>
      </c>
      <c r="E280" s="0" t="n">
        <v>31529.56</v>
      </c>
      <c r="F280" s="0" t="n">
        <v>333</v>
      </c>
      <c r="G280" s="0" t="str">
        <f aca="false">IF(F280&lt;=30,"Current",IF(F280&lt;=60,"31 to 60 days",IF(F280&lt;=90,"61 to 90 days",IF(F280&lt;=120,"91 to 120 days","Over 120 days"))))</f>
        <v>Over 120 days</v>
      </c>
      <c r="H280" s="0" t="n">
        <f aca="false">VLOOKUP(D280,Rates!$A$4:$B$7,2,FALSE())</f>
        <v>0.02</v>
      </c>
      <c r="I280" s="0" t="n">
        <f aca="false">VLOOKUP(F280,Rates!$D$4:$E$8,2)</f>
        <v>0.85</v>
      </c>
      <c r="J280" s="0" t="n">
        <f aca="false">ROUND(E280*I280,2)</f>
        <v>26800.13</v>
      </c>
      <c r="K280" s="1" t="n">
        <f aca="false">PV(H280/12,F280/30,0,-E280)</f>
        <v>30952.1021620818</v>
      </c>
      <c r="L280" s="0" t="n">
        <f aca="false">ROUND(E280-K280,2)</f>
        <v>577.46</v>
      </c>
      <c r="M280" s="0" t="n">
        <f aca="false">F280/E280</f>
        <v>0.0105615175092834</v>
      </c>
    </row>
    <row r="281" customFormat="false" ht="12.8" hidden="false" customHeight="false" outlineLevel="0" collapsed="false">
      <c r="A281" s="0" t="s">
        <v>467</v>
      </c>
      <c r="B281" s="0" t="s">
        <v>468</v>
      </c>
      <c r="C281" s="0" t="s">
        <v>19</v>
      </c>
      <c r="D281" s="0" t="s">
        <v>16</v>
      </c>
      <c r="E281" s="0" t="n">
        <v>18937.21</v>
      </c>
      <c r="F281" s="0" t="n">
        <v>354</v>
      </c>
      <c r="G281" s="0" t="str">
        <f aca="false">IF(F281&lt;=30,"Current",IF(F281&lt;=60,"31 to 60 days",IF(F281&lt;=90,"61 to 90 days",IF(F281&lt;=120,"91 to 120 days","Over 120 days"))))</f>
        <v>Over 120 days</v>
      </c>
      <c r="H281" s="0" t="n">
        <f aca="false">VLOOKUP(D281,Rates!$A$4:$B$7,2,FALSE())</f>
        <v>0.085</v>
      </c>
      <c r="I281" s="0" t="n">
        <f aca="false">VLOOKUP(F281,Rates!$D$4:$E$8,2)</f>
        <v>0.85</v>
      </c>
      <c r="J281" s="0" t="n">
        <f aca="false">ROUND(E281*I281,2)</f>
        <v>16096.63</v>
      </c>
      <c r="K281" s="1" t="n">
        <f aca="false">PV(H281/12,F281/30,0,-E281)</f>
        <v>17423.8519644869</v>
      </c>
      <c r="L281" s="0" t="n">
        <f aca="false">ROUND(E281-K281,2)</f>
        <v>1513.36</v>
      </c>
      <c r="M281" s="0" t="n">
        <f aca="false">F281/E281</f>
        <v>0.0186933555682173</v>
      </c>
    </row>
    <row r="282" customFormat="false" ht="12.8" hidden="false" customHeight="false" outlineLevel="0" collapsed="false">
      <c r="A282" s="0" t="s">
        <v>469</v>
      </c>
      <c r="B282" s="0" t="s">
        <v>470</v>
      </c>
      <c r="C282" s="0" t="s">
        <v>26</v>
      </c>
      <c r="D282" s="0" t="s">
        <v>49</v>
      </c>
      <c r="E282" s="0" t="n">
        <v>27100.59</v>
      </c>
      <c r="F282" s="0" t="n">
        <v>171</v>
      </c>
      <c r="G282" s="0" t="str">
        <f aca="false">IF(F282&lt;=30,"Current",IF(F282&lt;=60,"31 to 60 days",IF(F282&lt;=90,"61 to 90 days",IF(F282&lt;=120,"91 to 120 days","Over 120 days"))))</f>
        <v>Over 120 days</v>
      </c>
      <c r="H282" s="0" t="n">
        <f aca="false">VLOOKUP(D282,Rates!$A$4:$B$7,2,FALSE())</f>
        <v>0.02</v>
      </c>
      <c r="I282" s="0" t="n">
        <f aca="false">VLOOKUP(F282,Rates!$D$4:$E$8,2)</f>
        <v>0.85</v>
      </c>
      <c r="J282" s="0" t="n">
        <f aca="false">ROUND(E282*I282,2)</f>
        <v>23035.5</v>
      </c>
      <c r="K282" s="1" t="n">
        <f aca="false">PV(H282/12,F282/30,0,-E282)</f>
        <v>26844.5657285436</v>
      </c>
      <c r="L282" s="0" t="n">
        <f aca="false">ROUND(E282-K282,2)</f>
        <v>256.02</v>
      </c>
      <c r="M282" s="0" t="n">
        <f aca="false">F282/E282</f>
        <v>0.00630982572704137</v>
      </c>
    </row>
    <row r="283" customFormat="false" ht="12.8" hidden="false" customHeight="false" outlineLevel="0" collapsed="false">
      <c r="A283" s="0" t="s">
        <v>471</v>
      </c>
      <c r="B283" s="0" t="s">
        <v>86</v>
      </c>
      <c r="C283" s="0" t="s">
        <v>36</v>
      </c>
      <c r="D283" s="0" t="s">
        <v>16</v>
      </c>
      <c r="E283" s="0" t="n">
        <v>6379.87</v>
      </c>
      <c r="F283" s="0" t="n">
        <v>252</v>
      </c>
      <c r="G283" s="0" t="str">
        <f aca="false">IF(F283&lt;=30,"Current",IF(F283&lt;=60,"31 to 60 days",IF(F283&lt;=90,"61 to 90 days",IF(F283&lt;=120,"91 to 120 days","Over 120 days"))))</f>
        <v>Over 120 days</v>
      </c>
      <c r="H283" s="0" t="n">
        <f aca="false">VLOOKUP(D283,Rates!$A$4:$B$7,2,FALSE())</f>
        <v>0.085</v>
      </c>
      <c r="I283" s="0" t="n">
        <f aca="false">VLOOKUP(F283,Rates!$D$4:$E$8,2)</f>
        <v>0.85</v>
      </c>
      <c r="J283" s="0" t="n">
        <f aca="false">ROUND(E283*I283,2)</f>
        <v>5422.89</v>
      </c>
      <c r="K283" s="1" t="n">
        <f aca="false">PV(H283/12,F283/30,0,-E283)</f>
        <v>6012.60116029245</v>
      </c>
      <c r="L283" s="0" t="n">
        <f aca="false">ROUND(E283-K283,2)</f>
        <v>367.27</v>
      </c>
      <c r="M283" s="0" t="n">
        <f aca="false">F283/E283</f>
        <v>0.0394992374452771</v>
      </c>
    </row>
    <row r="284" customFormat="false" ht="12.8" hidden="false" customHeight="false" outlineLevel="0" collapsed="false">
      <c r="A284" s="0" t="s">
        <v>472</v>
      </c>
      <c r="B284" s="0" t="s">
        <v>473</v>
      </c>
      <c r="C284" s="0" t="s">
        <v>31</v>
      </c>
      <c r="D284" s="0" t="s">
        <v>49</v>
      </c>
      <c r="E284" s="0" t="n">
        <v>0</v>
      </c>
      <c r="F284" s="0" t="n">
        <v>380</v>
      </c>
      <c r="G284" s="0" t="str">
        <f aca="false">IF(F284&lt;=30,"Current",IF(F284&lt;=60,"31 to 60 days",IF(F284&lt;=90,"61 to 90 days",IF(F284&lt;=120,"91 to 120 days","Over 120 days"))))</f>
        <v>Over 120 days</v>
      </c>
      <c r="H284" s="0" t="n">
        <f aca="false">VLOOKUP(D284,Rates!$A$4:$B$7,2,FALSE())</f>
        <v>0.02</v>
      </c>
      <c r="I284" s="0" t="n">
        <f aca="false">VLOOKUP(F284,Rates!$D$4:$E$8,2)</f>
        <v>0.85</v>
      </c>
      <c r="J284" s="0" t="n">
        <f aca="false">ROUND(E284*I284,2)</f>
        <v>0</v>
      </c>
      <c r="K284" s="1" t="n">
        <f aca="false">PV(H284/12,F284/30,0,-E284)</f>
        <v>-0</v>
      </c>
      <c r="L284" s="0" t="n">
        <f aca="false">ROUND(E284-K284,2)</f>
        <v>0</v>
      </c>
      <c r="M284" s="0" t="e">
        <f aca="false">F284/E284</f>
        <v>#DIV/0!</v>
      </c>
    </row>
    <row r="285" customFormat="false" ht="12.8" hidden="false" customHeight="false" outlineLevel="0" collapsed="false">
      <c r="A285" s="0" t="s">
        <v>474</v>
      </c>
      <c r="B285" s="0" t="s">
        <v>475</v>
      </c>
      <c r="C285" s="0" t="s">
        <v>31</v>
      </c>
      <c r="D285" s="0" t="s">
        <v>23</v>
      </c>
      <c r="E285" s="0" t="n">
        <v>43910.81</v>
      </c>
      <c r="F285" s="0" t="n">
        <v>159</v>
      </c>
      <c r="G285" s="0" t="str">
        <f aca="false">IF(F285&lt;=30,"Current",IF(F285&lt;=60,"31 to 60 days",IF(F285&lt;=90,"61 to 90 days",IF(F285&lt;=120,"91 to 120 days","Over 120 days"))))</f>
        <v>Over 120 days</v>
      </c>
      <c r="H285" s="0" t="n">
        <f aca="false">VLOOKUP(D285,Rates!$A$4:$B$7,2,FALSE())</f>
        <v>0.115</v>
      </c>
      <c r="I285" s="0" t="n">
        <f aca="false">VLOOKUP(F285,Rates!$D$4:$E$8,2)</f>
        <v>0.85</v>
      </c>
      <c r="J285" s="0" t="n">
        <f aca="false">ROUND(E285*I285,2)</f>
        <v>37324.19</v>
      </c>
      <c r="K285" s="1" t="n">
        <f aca="false">PV(H285/12,F285/30,0,-E285)</f>
        <v>41746.294692576</v>
      </c>
      <c r="L285" s="0" t="n">
        <f aca="false">ROUND(E285-K285,2)</f>
        <v>2164.52</v>
      </c>
      <c r="M285" s="0" t="n">
        <f aca="false">F285/E285</f>
        <v>0.00362097624707902</v>
      </c>
    </row>
    <row r="286" customFormat="false" ht="12.8" hidden="false" customHeight="false" outlineLevel="0" collapsed="false">
      <c r="A286" s="0" t="s">
        <v>476</v>
      </c>
      <c r="B286" s="0" t="s">
        <v>51</v>
      </c>
      <c r="C286" s="0" t="s">
        <v>36</v>
      </c>
      <c r="D286" s="0" t="s">
        <v>20</v>
      </c>
      <c r="E286" s="0" t="n">
        <v>36391.29</v>
      </c>
      <c r="F286" s="0" t="n">
        <v>80</v>
      </c>
      <c r="G286" s="0" t="str">
        <f aca="false">IF(F286&lt;=30,"Current",IF(F286&lt;=60,"31 to 60 days",IF(F286&lt;=90,"61 to 90 days",IF(F286&lt;=120,"91 to 120 days","Over 120 days"))))</f>
        <v>61 to 90 days</v>
      </c>
      <c r="H286" s="0" t="n">
        <f aca="false">VLOOKUP(D286,Rates!$A$4:$B$7,2,FALSE())</f>
        <v>0.05</v>
      </c>
      <c r="I286" s="0" t="n">
        <f aca="false">VLOOKUP(F286,Rates!$D$4:$E$8,2)</f>
        <v>0.25</v>
      </c>
      <c r="J286" s="0" t="n">
        <f aca="false">ROUND(E286*I286,2)</f>
        <v>9097.82</v>
      </c>
      <c r="K286" s="1" t="n">
        <f aca="false">PV(H286/12,F286/30,0,-E286)</f>
        <v>35990.0111979653</v>
      </c>
      <c r="L286" s="0" t="n">
        <f aca="false">ROUND(E286-K286,2)</f>
        <v>401.28</v>
      </c>
      <c r="M286" s="0" t="n">
        <f aca="false">F286/E286</f>
        <v>0.00219832822634207</v>
      </c>
    </row>
    <row r="287" customFormat="false" ht="12.8" hidden="false" customHeight="false" outlineLevel="0" collapsed="false">
      <c r="A287" s="0" t="s">
        <v>477</v>
      </c>
      <c r="B287" s="0" t="s">
        <v>478</v>
      </c>
      <c r="C287" s="0" t="s">
        <v>36</v>
      </c>
      <c r="D287" s="0" t="s">
        <v>16</v>
      </c>
      <c r="E287" s="0" t="n">
        <v>21121.27</v>
      </c>
      <c r="F287" s="0" t="n">
        <v>236</v>
      </c>
      <c r="G287" s="0" t="str">
        <f aca="false">IF(F287&lt;=30,"Current",IF(F287&lt;=60,"31 to 60 days",IF(F287&lt;=90,"61 to 90 days",IF(F287&lt;=120,"91 to 120 days","Over 120 days"))))</f>
        <v>Over 120 days</v>
      </c>
      <c r="H287" s="0" t="n">
        <f aca="false">VLOOKUP(D287,Rates!$A$4:$B$7,2,FALSE())</f>
        <v>0.085</v>
      </c>
      <c r="I287" s="0" t="n">
        <f aca="false">VLOOKUP(F287,Rates!$D$4:$E$8,2)</f>
        <v>0.85</v>
      </c>
      <c r="J287" s="0" t="n">
        <f aca="false">ROUND(E287*I287,2)</f>
        <v>17953.08</v>
      </c>
      <c r="K287" s="1" t="n">
        <f aca="false">PV(H287/12,F287/30,0,-E287)</f>
        <v>19980.4598788574</v>
      </c>
      <c r="L287" s="0" t="n">
        <f aca="false">ROUND(E287-K287,2)</f>
        <v>1140.81</v>
      </c>
      <c r="M287" s="0" t="n">
        <f aca="false">F287/E287</f>
        <v>0.0111735705286661</v>
      </c>
    </row>
    <row r="288" customFormat="false" ht="12.8" hidden="false" customHeight="false" outlineLevel="0" collapsed="false">
      <c r="A288" s="0" t="s">
        <v>479</v>
      </c>
      <c r="B288" s="0" t="s">
        <v>480</v>
      </c>
      <c r="C288" s="0" t="s">
        <v>36</v>
      </c>
      <c r="D288" s="0" t="s">
        <v>23</v>
      </c>
      <c r="E288" s="0" t="n">
        <v>17003.94</v>
      </c>
      <c r="F288" s="0" t="n">
        <v>69</v>
      </c>
      <c r="G288" s="0" t="str">
        <f aca="false">IF(F288&lt;=30,"Current",IF(F288&lt;=60,"31 to 60 days",IF(F288&lt;=90,"61 to 90 days",IF(F288&lt;=120,"91 to 120 days","Over 120 days"))))</f>
        <v>61 to 90 days</v>
      </c>
      <c r="H288" s="0" t="n">
        <f aca="false">VLOOKUP(D288,Rates!$A$4:$B$7,2,FALSE())</f>
        <v>0.115</v>
      </c>
      <c r="I288" s="0" t="n">
        <f aca="false">VLOOKUP(F288,Rates!$D$4:$E$8,2)</f>
        <v>0.25</v>
      </c>
      <c r="J288" s="0" t="n">
        <f aca="false">ROUND(E288*I288,2)</f>
        <v>4250.99</v>
      </c>
      <c r="K288" s="1" t="n">
        <f aca="false">PV(H288/12,F288/30,0,-E288)</f>
        <v>16634.990886239</v>
      </c>
      <c r="L288" s="0" t="n">
        <f aca="false">ROUND(E288-K288,2)</f>
        <v>368.95</v>
      </c>
      <c r="M288" s="0" t="n">
        <f aca="false">F288/E288</f>
        <v>0.00405788305533894</v>
      </c>
    </row>
    <row r="289" customFormat="false" ht="12.8" hidden="false" customHeight="false" outlineLevel="0" collapsed="false">
      <c r="A289" s="0" t="s">
        <v>481</v>
      </c>
      <c r="B289" s="0" t="s">
        <v>482</v>
      </c>
      <c r="C289" s="0" t="s">
        <v>36</v>
      </c>
      <c r="D289" s="0" t="s">
        <v>49</v>
      </c>
      <c r="E289" s="0" t="n">
        <v>23053.69</v>
      </c>
      <c r="F289" s="0" t="n">
        <v>364</v>
      </c>
      <c r="G289" s="0" t="str">
        <f aca="false">IF(F289&lt;=30,"Current",IF(F289&lt;=60,"31 to 60 days",IF(F289&lt;=90,"61 to 90 days",IF(F289&lt;=120,"91 to 120 days","Over 120 days"))))</f>
        <v>Over 120 days</v>
      </c>
      <c r="H289" s="0" t="n">
        <f aca="false">VLOOKUP(D289,Rates!$A$4:$B$7,2,FALSE())</f>
        <v>0.02</v>
      </c>
      <c r="I289" s="0" t="n">
        <f aca="false">VLOOKUP(F289,Rates!$D$4:$E$8,2)</f>
        <v>0.85</v>
      </c>
      <c r="J289" s="0" t="n">
        <f aca="false">ROUND(E289*I289,2)</f>
        <v>19595.64</v>
      </c>
      <c r="K289" s="1" t="n">
        <f aca="false">PV(H289/12,F289/30,0,-E289)</f>
        <v>22592.5556122479</v>
      </c>
      <c r="L289" s="0" t="n">
        <f aca="false">ROUND(E289-K289,2)</f>
        <v>461.13</v>
      </c>
      <c r="M289" s="0" t="n">
        <f aca="false">F289/E289</f>
        <v>0.0157892294031888</v>
      </c>
    </row>
    <row r="290" customFormat="false" ht="12.8" hidden="false" customHeight="false" outlineLevel="0" collapsed="false">
      <c r="A290" s="0" t="s">
        <v>483</v>
      </c>
      <c r="B290" s="0" t="s">
        <v>484</v>
      </c>
      <c r="C290" s="0" t="s">
        <v>36</v>
      </c>
      <c r="D290" s="0" t="s">
        <v>16</v>
      </c>
      <c r="E290" s="0" t="n">
        <v>20530.51</v>
      </c>
      <c r="F290" s="0" t="n">
        <v>84</v>
      </c>
      <c r="G290" s="0" t="str">
        <f aca="false">IF(F290&lt;=30,"Current",IF(F290&lt;=60,"31 to 60 days",IF(F290&lt;=90,"61 to 90 days",IF(F290&lt;=120,"91 to 120 days","Over 120 days"))))</f>
        <v>61 to 90 days</v>
      </c>
      <c r="H290" s="0" t="n">
        <f aca="false">VLOOKUP(D290,Rates!$A$4:$B$7,2,FALSE())</f>
        <v>0.085</v>
      </c>
      <c r="I290" s="0" t="n">
        <f aca="false">VLOOKUP(F290,Rates!$D$4:$E$8,2)</f>
        <v>0.25</v>
      </c>
      <c r="J290" s="0" t="n">
        <f aca="false">ROUND(E290*I290,2)</f>
        <v>5132.63</v>
      </c>
      <c r="K290" s="1" t="n">
        <f aca="false">PV(H290/12,F290/30,0,-E290)</f>
        <v>20128.740153792</v>
      </c>
      <c r="L290" s="0" t="n">
        <f aca="false">ROUND(E290-K290,2)</f>
        <v>401.77</v>
      </c>
      <c r="M290" s="0" t="n">
        <f aca="false">F290/E290</f>
        <v>0.00409147166826348</v>
      </c>
    </row>
    <row r="291" customFormat="false" ht="12.8" hidden="false" customHeight="false" outlineLevel="0" collapsed="false">
      <c r="A291" s="0" t="s">
        <v>485</v>
      </c>
      <c r="B291" s="0" t="s">
        <v>55</v>
      </c>
      <c r="C291" s="0" t="s">
        <v>26</v>
      </c>
      <c r="D291" s="0" t="s">
        <v>23</v>
      </c>
      <c r="E291" s="0" t="n">
        <v>31472.26</v>
      </c>
      <c r="F291" s="0" t="n">
        <v>201</v>
      </c>
      <c r="G291" s="0" t="str">
        <f aca="false">IF(F291&lt;=30,"Current",IF(F291&lt;=60,"31 to 60 days",IF(F291&lt;=90,"61 to 90 days",IF(F291&lt;=120,"91 to 120 days","Over 120 days"))))</f>
        <v>Over 120 days</v>
      </c>
      <c r="H291" s="0" t="n">
        <f aca="false">VLOOKUP(D291,Rates!$A$4:$B$7,2,FALSE())</f>
        <v>0.115</v>
      </c>
      <c r="I291" s="0" t="n">
        <f aca="false">VLOOKUP(F291,Rates!$D$4:$E$8,2)</f>
        <v>0.85</v>
      </c>
      <c r="J291" s="0" t="n">
        <f aca="false">ROUND(E291*I291,2)</f>
        <v>26751.42</v>
      </c>
      <c r="K291" s="1" t="n">
        <f aca="false">PV(H291/12,F291/30,0,-E291)</f>
        <v>29524.0121342821</v>
      </c>
      <c r="L291" s="0" t="n">
        <f aca="false">ROUND(E291-K291,2)</f>
        <v>1948.25</v>
      </c>
      <c r="M291" s="0" t="n">
        <f aca="false">F291/E291</f>
        <v>0.00638657662335021</v>
      </c>
    </row>
    <row r="292" customFormat="false" ht="12.8" hidden="false" customHeight="false" outlineLevel="0" collapsed="false">
      <c r="A292" s="0" t="s">
        <v>486</v>
      </c>
      <c r="B292" s="0" t="s">
        <v>470</v>
      </c>
      <c r="C292" s="0" t="s">
        <v>26</v>
      </c>
      <c r="D292" s="0" t="s">
        <v>49</v>
      </c>
      <c r="E292" s="0" t="n">
        <v>34998.31</v>
      </c>
      <c r="F292" s="0" t="n">
        <v>124</v>
      </c>
      <c r="G292" s="0" t="str">
        <f aca="false">IF(F292&lt;=30,"Current",IF(F292&lt;=60,"31 to 60 days",IF(F292&lt;=90,"61 to 90 days",IF(F292&lt;=120,"91 to 120 days","Over 120 days"))))</f>
        <v>Over 120 days</v>
      </c>
      <c r="H292" s="0" t="n">
        <f aca="false">VLOOKUP(D292,Rates!$A$4:$B$7,2,FALSE())</f>
        <v>0.02</v>
      </c>
      <c r="I292" s="0" t="n">
        <f aca="false">VLOOKUP(F292,Rates!$D$4:$E$8,2)</f>
        <v>0.85</v>
      </c>
      <c r="J292" s="0" t="n">
        <f aca="false">ROUND(E292*I292,2)</f>
        <v>29748.56</v>
      </c>
      <c r="K292" s="1" t="n">
        <f aca="false">PV(H292/12,F292/30,0,-E292)</f>
        <v>34758.2383971808</v>
      </c>
      <c r="L292" s="0" t="n">
        <f aca="false">ROUND(E292-K292,2)</f>
        <v>240.07</v>
      </c>
      <c r="M292" s="0" t="n">
        <f aca="false">F292/E292</f>
        <v>0.0035430282205055</v>
      </c>
    </row>
    <row r="293" customFormat="false" ht="12.8" hidden="false" customHeight="false" outlineLevel="0" collapsed="false">
      <c r="A293" s="0" t="s">
        <v>487</v>
      </c>
      <c r="B293" s="0" t="s">
        <v>51</v>
      </c>
      <c r="C293" s="0" t="s">
        <v>36</v>
      </c>
      <c r="D293" s="0" t="s">
        <v>20</v>
      </c>
      <c r="E293" s="0" t="n">
        <v>28010.81</v>
      </c>
      <c r="F293" s="0" t="n">
        <v>389</v>
      </c>
      <c r="G293" s="0" t="str">
        <f aca="false">IF(F293&lt;=30,"Current",IF(F293&lt;=60,"31 to 60 days",IF(F293&lt;=90,"61 to 90 days",IF(F293&lt;=120,"91 to 120 days","Over 120 days"))))</f>
        <v>Over 120 days</v>
      </c>
      <c r="H293" s="0" t="n">
        <f aca="false">VLOOKUP(D293,Rates!$A$4:$B$7,2,FALSE())</f>
        <v>0.05</v>
      </c>
      <c r="I293" s="0" t="n">
        <f aca="false">VLOOKUP(F293,Rates!$D$4:$E$8,2)</f>
        <v>0.85</v>
      </c>
      <c r="J293" s="0" t="n">
        <f aca="false">ROUND(E293*I293,2)</f>
        <v>23809.19</v>
      </c>
      <c r="K293" s="1" t="n">
        <f aca="false">PV(H293/12,F293/30,0,-E293)</f>
        <v>26540.5824691284</v>
      </c>
      <c r="L293" s="0" t="n">
        <f aca="false">ROUND(E293-K293,2)</f>
        <v>1470.23</v>
      </c>
      <c r="M293" s="0" t="n">
        <f aca="false">F293/E293</f>
        <v>0.0138874955776002</v>
      </c>
    </row>
    <row r="294" customFormat="false" ht="12.8" hidden="false" customHeight="false" outlineLevel="0" collapsed="false">
      <c r="A294" s="0" t="s">
        <v>488</v>
      </c>
      <c r="B294" s="0" t="s">
        <v>30</v>
      </c>
      <c r="C294" s="0" t="s">
        <v>31</v>
      </c>
      <c r="D294" s="0" t="s">
        <v>20</v>
      </c>
      <c r="E294" s="0" t="n">
        <v>20457.55</v>
      </c>
      <c r="F294" s="0" t="n">
        <v>356</v>
      </c>
      <c r="G294" s="0" t="str">
        <f aca="false">IF(F294&lt;=30,"Current",IF(F294&lt;=60,"31 to 60 days",IF(F294&lt;=90,"61 to 90 days",IF(F294&lt;=120,"91 to 120 days","Over 120 days"))))</f>
        <v>Over 120 days</v>
      </c>
      <c r="H294" s="0" t="n">
        <f aca="false">VLOOKUP(D294,Rates!$A$4:$B$7,2,FALSE())</f>
        <v>0.05</v>
      </c>
      <c r="I294" s="0" t="n">
        <f aca="false">VLOOKUP(F294,Rates!$D$4:$E$8,2)</f>
        <v>0.85</v>
      </c>
      <c r="J294" s="0" t="n">
        <f aca="false">ROUND(E294*I294,2)</f>
        <v>17388.92</v>
      </c>
      <c r="K294" s="1" t="n">
        <f aca="false">PV(H294/12,F294/30,0,-E294)</f>
        <v>19472.6377346407</v>
      </c>
      <c r="L294" s="0" t="n">
        <f aca="false">ROUND(E294-K294,2)</f>
        <v>984.91</v>
      </c>
      <c r="M294" s="0" t="n">
        <f aca="false">F294/E294</f>
        <v>0.0174018883004074</v>
      </c>
    </row>
    <row r="295" customFormat="false" ht="12.8" hidden="false" customHeight="false" outlineLevel="0" collapsed="false">
      <c r="A295" s="0" t="s">
        <v>489</v>
      </c>
      <c r="B295" s="0" t="s">
        <v>490</v>
      </c>
      <c r="C295" s="0" t="s">
        <v>42</v>
      </c>
      <c r="D295" s="0" t="s">
        <v>23</v>
      </c>
      <c r="E295" s="0" t="n">
        <v>37251.47</v>
      </c>
      <c r="F295" s="0" t="n">
        <v>300</v>
      </c>
      <c r="G295" s="0" t="str">
        <f aca="false">IF(F295&lt;=30,"Current",IF(F295&lt;=60,"31 to 60 days",IF(F295&lt;=90,"61 to 90 days",IF(F295&lt;=120,"91 to 120 days","Over 120 days"))))</f>
        <v>Over 120 days</v>
      </c>
      <c r="H295" s="0" t="n">
        <f aca="false">VLOOKUP(D295,Rates!$A$4:$B$7,2,FALSE())</f>
        <v>0.115</v>
      </c>
      <c r="I295" s="0" t="n">
        <f aca="false">VLOOKUP(F295,Rates!$D$4:$E$8,2)</f>
        <v>0.85</v>
      </c>
      <c r="J295" s="0" t="n">
        <f aca="false">ROUND(E295*I295,2)</f>
        <v>31663.75</v>
      </c>
      <c r="K295" s="1" t="n">
        <f aca="false">PV(H295/12,F295/30,0,-E295)</f>
        <v>33862.7084215545</v>
      </c>
      <c r="L295" s="0" t="n">
        <f aca="false">ROUND(E295-K295,2)</f>
        <v>3388.76</v>
      </c>
      <c r="M295" s="0" t="n">
        <f aca="false">F295/E295</f>
        <v>0.00805337346418813</v>
      </c>
    </row>
    <row r="296" customFormat="false" ht="12.8" hidden="false" customHeight="false" outlineLevel="0" collapsed="false">
      <c r="A296" s="0" t="s">
        <v>491</v>
      </c>
      <c r="B296" s="0" t="s">
        <v>492</v>
      </c>
      <c r="C296" s="0" t="s">
        <v>15</v>
      </c>
      <c r="D296" s="0" t="s">
        <v>49</v>
      </c>
      <c r="E296" s="0" t="n">
        <v>30417.01</v>
      </c>
      <c r="F296" s="0" t="n">
        <v>328</v>
      </c>
      <c r="G296" s="0" t="str">
        <f aca="false">IF(F296&lt;=30,"Current",IF(F296&lt;=60,"31 to 60 days",IF(F296&lt;=90,"61 to 90 days",IF(F296&lt;=120,"91 to 120 days","Over 120 days"))))</f>
        <v>Over 120 days</v>
      </c>
      <c r="H296" s="0" t="n">
        <f aca="false">VLOOKUP(D296,Rates!$A$4:$B$7,2,FALSE())</f>
        <v>0.02</v>
      </c>
      <c r="I296" s="0" t="n">
        <f aca="false">VLOOKUP(F296,Rates!$D$4:$E$8,2)</f>
        <v>0.85</v>
      </c>
      <c r="J296" s="0" t="n">
        <f aca="false">ROUND(E296*I296,2)</f>
        <v>25854.46</v>
      </c>
      <c r="K296" s="1" t="n">
        <f aca="false">PV(H296/12,F296/30,0,-E296)</f>
        <v>29868.2169721</v>
      </c>
      <c r="L296" s="0" t="n">
        <f aca="false">ROUND(E296-K296,2)</f>
        <v>548.79</v>
      </c>
      <c r="M296" s="0" t="n">
        <f aca="false">F296/E296</f>
        <v>0.010783439923911</v>
      </c>
    </row>
    <row r="297" customFormat="false" ht="12.8" hidden="false" customHeight="false" outlineLevel="0" collapsed="false">
      <c r="A297" s="0" t="s">
        <v>493</v>
      </c>
      <c r="B297" s="0" t="s">
        <v>51</v>
      </c>
      <c r="C297" s="0" t="s">
        <v>36</v>
      </c>
      <c r="D297" s="0" t="s">
        <v>20</v>
      </c>
      <c r="E297" s="0" t="n">
        <v>12841.42</v>
      </c>
      <c r="F297" s="0" t="n">
        <v>189</v>
      </c>
      <c r="G297" s="0" t="str">
        <f aca="false">IF(F297&lt;=30,"Current",IF(F297&lt;=60,"31 to 60 days",IF(F297&lt;=90,"61 to 90 days",IF(F297&lt;=120,"91 to 120 days","Over 120 days"))))</f>
        <v>Over 120 days</v>
      </c>
      <c r="H297" s="0" t="n">
        <f aca="false">VLOOKUP(D297,Rates!$A$4:$B$7,2,FALSE())</f>
        <v>0.05</v>
      </c>
      <c r="I297" s="0" t="n">
        <f aca="false">VLOOKUP(F297,Rates!$D$4:$E$8,2)</f>
        <v>0.85</v>
      </c>
      <c r="J297" s="0" t="n">
        <f aca="false">ROUND(E297*I297,2)</f>
        <v>10915.21</v>
      </c>
      <c r="K297" s="1" t="n">
        <f aca="false">PV(H297/12,F297/30,0,-E297)</f>
        <v>12509.4007307089</v>
      </c>
      <c r="L297" s="0" t="n">
        <f aca="false">ROUND(E297-K297,2)</f>
        <v>332.02</v>
      </c>
      <c r="M297" s="0" t="n">
        <f aca="false">F297/E297</f>
        <v>0.014717998476804</v>
      </c>
    </row>
    <row r="298" customFormat="false" ht="12.8" hidden="false" customHeight="false" outlineLevel="0" collapsed="false">
      <c r="A298" s="0" t="s">
        <v>494</v>
      </c>
      <c r="B298" s="0" t="s">
        <v>51</v>
      </c>
      <c r="C298" s="0" t="s">
        <v>36</v>
      </c>
      <c r="D298" s="0" t="s">
        <v>20</v>
      </c>
      <c r="E298" s="0" t="n">
        <v>33645.81</v>
      </c>
      <c r="F298" s="0" t="n">
        <v>230</v>
      </c>
      <c r="G298" s="0" t="str">
        <f aca="false">IF(F298&lt;=30,"Current",IF(F298&lt;=60,"31 to 60 days",IF(F298&lt;=90,"61 to 90 days",IF(F298&lt;=120,"91 to 120 days","Over 120 days"))))</f>
        <v>Over 120 days</v>
      </c>
      <c r="H298" s="0" t="n">
        <f aca="false">VLOOKUP(D298,Rates!$A$4:$B$7,2,FALSE())</f>
        <v>0.05</v>
      </c>
      <c r="I298" s="0" t="n">
        <f aca="false">VLOOKUP(F298,Rates!$D$4:$E$8,2)</f>
        <v>0.85</v>
      </c>
      <c r="J298" s="0" t="n">
        <f aca="false">ROUND(E298*I298,2)</f>
        <v>28598.94</v>
      </c>
      <c r="K298" s="1" t="n">
        <f aca="false">PV(H298/12,F298/30,0,-E298)</f>
        <v>32590.1616661686</v>
      </c>
      <c r="L298" s="0" t="n">
        <f aca="false">ROUND(E298-K298,2)</f>
        <v>1055.65</v>
      </c>
      <c r="M298" s="0" t="n">
        <f aca="false">F298/E298</f>
        <v>0.00683591805339209</v>
      </c>
    </row>
    <row r="299" customFormat="false" ht="12.8" hidden="false" customHeight="false" outlineLevel="0" collapsed="false">
      <c r="A299" s="0" t="s">
        <v>495</v>
      </c>
      <c r="B299" s="0" t="s">
        <v>97</v>
      </c>
      <c r="C299" s="0" t="s">
        <v>42</v>
      </c>
      <c r="D299" s="0" t="s">
        <v>20</v>
      </c>
      <c r="E299" s="0" t="n">
        <v>38597.21</v>
      </c>
      <c r="F299" s="0" t="n">
        <v>14</v>
      </c>
      <c r="G299" s="0" t="str">
        <f aca="false">IF(F299&lt;=30,"Current",IF(F299&lt;=60,"31 to 60 days",IF(F299&lt;=90,"61 to 90 days",IF(F299&lt;=120,"91 to 120 days","Over 120 days"))))</f>
        <v>Current</v>
      </c>
      <c r="H299" s="0" t="n">
        <f aca="false">VLOOKUP(D299,Rates!$A$4:$B$7,2,FALSE())</f>
        <v>0.05</v>
      </c>
      <c r="I299" s="0" t="n">
        <f aca="false">VLOOKUP(F299,Rates!$D$4:$E$8,2)</f>
        <v>0.02</v>
      </c>
      <c r="J299" s="0" t="n">
        <f aca="false">ROUND(E299*I299,2)</f>
        <v>771.94</v>
      </c>
      <c r="K299" s="1" t="n">
        <f aca="false">PV(H299/12,F299/30,0,-E299)</f>
        <v>38522.3884064815</v>
      </c>
      <c r="L299" s="0" t="n">
        <f aca="false">ROUND(E299-K299,2)</f>
        <v>74.82</v>
      </c>
      <c r="M299" s="0" t="n">
        <f aca="false">F299/E299</f>
        <v>0.000362720517881992</v>
      </c>
    </row>
    <row r="300" customFormat="false" ht="12.8" hidden="false" customHeight="false" outlineLevel="0" collapsed="false">
      <c r="A300" s="0" t="s">
        <v>496</v>
      </c>
      <c r="B300" s="0" t="s">
        <v>28</v>
      </c>
      <c r="C300" s="0" t="s">
        <v>15</v>
      </c>
      <c r="D300" s="0" t="s">
        <v>20</v>
      </c>
      <c r="E300" s="0" t="n">
        <v>21154.02</v>
      </c>
      <c r="F300" s="0" t="n">
        <v>156</v>
      </c>
      <c r="G300" s="0" t="str">
        <f aca="false">IF(F300&lt;=30,"Current",IF(F300&lt;=60,"31 to 60 days",IF(F300&lt;=90,"61 to 90 days",IF(F300&lt;=120,"91 to 120 days","Over 120 days"))))</f>
        <v>Over 120 days</v>
      </c>
      <c r="H300" s="0" t="n">
        <f aca="false">VLOOKUP(D300,Rates!$A$4:$B$7,2,FALSE())</f>
        <v>0.05</v>
      </c>
      <c r="I300" s="0" t="n">
        <f aca="false">VLOOKUP(F300,Rates!$D$4:$E$8,2)</f>
        <v>0.85</v>
      </c>
      <c r="J300" s="0" t="n">
        <f aca="false">ROUND(E300*I300,2)</f>
        <v>17980.92</v>
      </c>
      <c r="K300" s="1" t="n">
        <f aca="false">PV(H300/12,F300/30,0,-E300)</f>
        <v>20701.5443874993</v>
      </c>
      <c r="L300" s="0" t="n">
        <f aca="false">ROUND(E300-K300,2)</f>
        <v>452.48</v>
      </c>
      <c r="M300" s="0" t="n">
        <f aca="false">F300/E300</f>
        <v>0.00737448484968814</v>
      </c>
    </row>
    <row r="301" customFormat="false" ht="12.8" hidden="false" customHeight="false" outlineLevel="0" collapsed="false">
      <c r="A301" s="0" t="s">
        <v>497</v>
      </c>
      <c r="B301" s="0" t="s">
        <v>498</v>
      </c>
      <c r="C301" s="0" t="s">
        <v>26</v>
      </c>
      <c r="D301" s="0" t="s">
        <v>49</v>
      </c>
      <c r="E301" s="0" t="n">
        <v>42548.28</v>
      </c>
      <c r="F301" s="0" t="n">
        <v>118</v>
      </c>
      <c r="G301" s="0" t="str">
        <f aca="false">IF(F301&lt;=30,"Current",IF(F301&lt;=60,"31 to 60 days",IF(F301&lt;=90,"61 to 90 days",IF(F301&lt;=120,"91 to 120 days","Over 120 days"))))</f>
        <v>91 to 120 days</v>
      </c>
      <c r="H301" s="0" t="n">
        <f aca="false">VLOOKUP(D301,Rates!$A$4:$B$7,2,FALSE())</f>
        <v>0.02</v>
      </c>
      <c r="I301" s="0" t="n">
        <f aca="false">VLOOKUP(F301,Rates!$D$4:$E$8,2)</f>
        <v>0.5</v>
      </c>
      <c r="J301" s="0" t="n">
        <f aca="false">ROUND(E301*I301,2)</f>
        <v>21274.14</v>
      </c>
      <c r="K301" s="1" t="n">
        <f aca="false">PV(H301/12,F301/30,0,-E301)</f>
        <v>42270.495320097</v>
      </c>
      <c r="L301" s="0" t="n">
        <f aca="false">ROUND(E301-K301,2)</f>
        <v>277.78</v>
      </c>
      <c r="M301" s="0" t="n">
        <f aca="false">F301/E301</f>
        <v>0.00277332009660555</v>
      </c>
    </row>
    <row r="302" customFormat="false" ht="12.8" hidden="false" customHeight="false" outlineLevel="0" collapsed="false">
      <c r="A302" s="0" t="s">
        <v>499</v>
      </c>
      <c r="B302" s="0" t="s">
        <v>500</v>
      </c>
      <c r="C302" s="0" t="s">
        <v>19</v>
      </c>
      <c r="D302" s="0" t="s">
        <v>16</v>
      </c>
      <c r="E302" s="0" t="n">
        <v>6970.56</v>
      </c>
      <c r="F302" s="0" t="n">
        <v>101</v>
      </c>
      <c r="G302" s="0" t="str">
        <f aca="false">IF(F302&lt;=30,"Current",IF(F302&lt;=60,"31 to 60 days",IF(F302&lt;=90,"61 to 90 days",IF(F302&lt;=120,"91 to 120 days","Over 120 days"))))</f>
        <v>91 to 120 days</v>
      </c>
      <c r="H302" s="0" t="n">
        <f aca="false">VLOOKUP(D302,Rates!$A$4:$B$7,2,FALSE())</f>
        <v>0.085</v>
      </c>
      <c r="I302" s="0" t="n">
        <f aca="false">VLOOKUP(F302,Rates!$D$4:$E$8,2)</f>
        <v>0.5</v>
      </c>
      <c r="J302" s="0" t="n">
        <f aca="false">ROUND(E302*I302,2)</f>
        <v>3485.28</v>
      </c>
      <c r="K302" s="1" t="n">
        <f aca="false">PV(H302/12,F302/30,0,-E302)</f>
        <v>6806.87006496958</v>
      </c>
      <c r="L302" s="0" t="n">
        <f aca="false">ROUND(E302-K302,2)</f>
        <v>163.69</v>
      </c>
      <c r="M302" s="0" t="n">
        <f aca="false">F302/E302</f>
        <v>0.01448951016848</v>
      </c>
    </row>
    <row r="303" customFormat="false" ht="12.8" hidden="false" customHeight="false" outlineLevel="0" collapsed="false">
      <c r="A303" s="0" t="s">
        <v>501</v>
      </c>
      <c r="B303" s="0" t="s">
        <v>502</v>
      </c>
      <c r="C303" s="0" t="s">
        <v>15</v>
      </c>
      <c r="D303" s="0" t="s">
        <v>49</v>
      </c>
      <c r="E303" s="0" t="n">
        <v>2011.4</v>
      </c>
      <c r="F303" s="0" t="n">
        <v>85</v>
      </c>
      <c r="G303" s="0" t="str">
        <f aca="false">IF(F303&lt;=30,"Current",IF(F303&lt;=60,"31 to 60 days",IF(F303&lt;=90,"61 to 90 days",IF(F303&lt;=120,"91 to 120 days","Over 120 days"))))</f>
        <v>61 to 90 days</v>
      </c>
      <c r="H303" s="0" t="n">
        <f aca="false">VLOOKUP(D303,Rates!$A$4:$B$7,2,FALSE())</f>
        <v>0.02</v>
      </c>
      <c r="I303" s="0" t="n">
        <f aca="false">VLOOKUP(F303,Rates!$D$4:$E$8,2)</f>
        <v>0.25</v>
      </c>
      <c r="J303" s="0" t="n">
        <f aca="false">ROUND(E303*I303,2)</f>
        <v>502.85</v>
      </c>
      <c r="K303" s="1" t="n">
        <f aca="false">PV(H303/12,F303/30,0,-E303)</f>
        <v>2001.93198266734</v>
      </c>
      <c r="L303" s="0" t="n">
        <f aca="false">ROUND(E303-K303,2)</f>
        <v>9.47</v>
      </c>
      <c r="M303" s="0" t="n">
        <f aca="false">F303/E303</f>
        <v>0.0422591229989062</v>
      </c>
    </row>
    <row r="304" customFormat="false" ht="12.8" hidden="false" customHeight="false" outlineLevel="0" collapsed="false">
      <c r="A304" s="0" t="s">
        <v>503</v>
      </c>
      <c r="B304" s="0" t="s">
        <v>504</v>
      </c>
      <c r="C304" s="0" t="s">
        <v>19</v>
      </c>
      <c r="D304" s="0" t="s">
        <v>16</v>
      </c>
      <c r="E304" s="0" t="n">
        <v>44339.08</v>
      </c>
      <c r="F304" s="0" t="n">
        <v>322</v>
      </c>
      <c r="G304" s="0" t="str">
        <f aca="false">IF(F304&lt;=30,"Current",IF(F304&lt;=60,"31 to 60 days",IF(F304&lt;=90,"61 to 90 days",IF(F304&lt;=120,"91 to 120 days","Over 120 days"))))</f>
        <v>Over 120 days</v>
      </c>
      <c r="H304" s="0" t="n">
        <f aca="false">VLOOKUP(D304,Rates!$A$4:$B$7,2,FALSE())</f>
        <v>0.085</v>
      </c>
      <c r="I304" s="0" t="n">
        <f aca="false">VLOOKUP(F304,Rates!$D$4:$E$8,2)</f>
        <v>0.85</v>
      </c>
      <c r="J304" s="0" t="n">
        <f aca="false">ROUND(E304*I304,2)</f>
        <v>37688.22</v>
      </c>
      <c r="K304" s="1" t="n">
        <f aca="false">PV(H304/12,F304/30,0,-E304)</f>
        <v>41104.0508580877</v>
      </c>
      <c r="L304" s="0" t="n">
        <f aca="false">ROUND(E304-K304,2)</f>
        <v>3235.03</v>
      </c>
      <c r="M304" s="0" t="n">
        <f aca="false">F304/E304</f>
        <v>0.00726221653674366</v>
      </c>
    </row>
    <row r="305" customFormat="false" ht="12.8" hidden="false" customHeight="false" outlineLevel="0" collapsed="false">
      <c r="A305" s="0" t="s">
        <v>505</v>
      </c>
      <c r="B305" s="0" t="s">
        <v>506</v>
      </c>
      <c r="C305" s="0" t="s">
        <v>19</v>
      </c>
      <c r="D305" s="0" t="s">
        <v>16</v>
      </c>
      <c r="E305" s="0" t="n">
        <v>40602.45</v>
      </c>
      <c r="F305" s="0" t="n">
        <v>173</v>
      </c>
      <c r="G305" s="0" t="str">
        <f aca="false">IF(F305&lt;=30,"Current",IF(F305&lt;=60,"31 to 60 days",IF(F305&lt;=90,"61 to 90 days",IF(F305&lt;=120,"91 to 120 days","Over 120 days"))))</f>
        <v>Over 120 days</v>
      </c>
      <c r="H305" s="0" t="n">
        <f aca="false">VLOOKUP(D305,Rates!$A$4:$B$7,2,FALSE())</f>
        <v>0.085</v>
      </c>
      <c r="I305" s="0" t="n">
        <f aca="false">VLOOKUP(F305,Rates!$D$4:$E$8,2)</f>
        <v>0.85</v>
      </c>
      <c r="J305" s="0" t="n">
        <f aca="false">ROUND(E305*I305,2)</f>
        <v>34512.08</v>
      </c>
      <c r="K305" s="1" t="n">
        <f aca="false">PV(H305/12,F305/30,0,-E305)</f>
        <v>38982.9813440198</v>
      </c>
      <c r="L305" s="0" t="n">
        <f aca="false">ROUND(E305-K305,2)</f>
        <v>1619.47</v>
      </c>
      <c r="M305" s="0" t="n">
        <f aca="false">F305/E305</f>
        <v>0.00426082662499431</v>
      </c>
    </row>
    <row r="306" customFormat="false" ht="12.8" hidden="false" customHeight="false" outlineLevel="0" collapsed="false">
      <c r="A306" s="0" t="s">
        <v>507</v>
      </c>
      <c r="B306" s="0" t="s">
        <v>51</v>
      </c>
      <c r="C306" s="0" t="s">
        <v>36</v>
      </c>
      <c r="D306" s="0" t="s">
        <v>20</v>
      </c>
      <c r="E306" s="0" t="n">
        <v>34237.2</v>
      </c>
      <c r="F306" s="0" t="n">
        <v>182</v>
      </c>
      <c r="G306" s="0" t="str">
        <f aca="false">IF(F306&lt;=30,"Current",IF(F306&lt;=60,"31 to 60 days",IF(F306&lt;=90,"61 to 90 days",IF(F306&lt;=120,"91 to 120 days","Over 120 days"))))</f>
        <v>Over 120 days</v>
      </c>
      <c r="H306" s="0" t="n">
        <f aca="false">VLOOKUP(D306,Rates!$A$4:$B$7,2,FALSE())</f>
        <v>0.05</v>
      </c>
      <c r="I306" s="0" t="n">
        <f aca="false">VLOOKUP(F306,Rates!$D$4:$E$8,2)</f>
        <v>0.85</v>
      </c>
      <c r="J306" s="0" t="n">
        <f aca="false">ROUND(E306*I306,2)</f>
        <v>29101.62</v>
      </c>
      <c r="K306" s="1" t="n">
        <f aca="false">PV(H306/12,F306/30,0,-E306)</f>
        <v>33384.359459848</v>
      </c>
      <c r="L306" s="0" t="n">
        <f aca="false">ROUND(E306-K306,2)</f>
        <v>852.84</v>
      </c>
      <c r="M306" s="0" t="n">
        <f aca="false">F306/E306</f>
        <v>0.00531585526853832</v>
      </c>
    </row>
    <row r="307" customFormat="false" ht="12.8" hidden="false" customHeight="false" outlineLevel="0" collapsed="false">
      <c r="A307" s="0" t="s">
        <v>508</v>
      </c>
      <c r="B307" s="0" t="s">
        <v>490</v>
      </c>
      <c r="C307" s="0" t="s">
        <v>42</v>
      </c>
      <c r="D307" s="0" t="s">
        <v>23</v>
      </c>
      <c r="E307" s="0" t="n">
        <v>31979.83</v>
      </c>
      <c r="F307" s="0" t="n">
        <v>118</v>
      </c>
      <c r="G307" s="0" t="str">
        <f aca="false">IF(F307&lt;=30,"Current",IF(F307&lt;=60,"31 to 60 days",IF(F307&lt;=90,"61 to 90 days",IF(F307&lt;=120,"91 to 120 days","Over 120 days"))))</f>
        <v>91 to 120 days</v>
      </c>
      <c r="H307" s="0" t="n">
        <f aca="false">VLOOKUP(D307,Rates!$A$4:$B$7,2,FALSE())</f>
        <v>0.115</v>
      </c>
      <c r="I307" s="0" t="n">
        <f aca="false">VLOOKUP(F307,Rates!$D$4:$E$8,2)</f>
        <v>0.5</v>
      </c>
      <c r="J307" s="0" t="n">
        <f aca="false">ROUND(E307*I307,2)</f>
        <v>15989.92</v>
      </c>
      <c r="K307" s="1" t="n">
        <f aca="false">PV(H307/12,F307/30,0,-E307)</f>
        <v>30802.3325918249</v>
      </c>
      <c r="L307" s="0" t="n">
        <f aca="false">ROUND(E307-K307,2)</f>
        <v>1177.5</v>
      </c>
      <c r="M307" s="0" t="n">
        <f aca="false">F307/E307</f>
        <v>0.00368982574328882</v>
      </c>
    </row>
    <row r="308" customFormat="false" ht="12.8" hidden="false" customHeight="false" outlineLevel="0" collapsed="false">
      <c r="A308" s="0" t="s">
        <v>509</v>
      </c>
      <c r="B308" s="0" t="s">
        <v>33</v>
      </c>
      <c r="C308" s="0" t="s">
        <v>26</v>
      </c>
      <c r="D308" s="0" t="s">
        <v>20</v>
      </c>
      <c r="E308" s="0" t="n">
        <v>21441.16</v>
      </c>
      <c r="F308" s="0" t="n">
        <v>319</v>
      </c>
      <c r="G308" s="0" t="str">
        <f aca="false">IF(F308&lt;=30,"Current",IF(F308&lt;=60,"31 to 60 days",IF(F308&lt;=90,"61 to 90 days",IF(F308&lt;=120,"91 to 120 days","Over 120 days"))))</f>
        <v>Over 120 days</v>
      </c>
      <c r="H308" s="0" t="n">
        <f aca="false">VLOOKUP(D308,Rates!$A$4:$B$7,2,FALSE())</f>
        <v>0.05</v>
      </c>
      <c r="I308" s="0" t="n">
        <f aca="false">VLOOKUP(F308,Rates!$D$4:$E$8,2)</f>
        <v>0.85</v>
      </c>
      <c r="J308" s="0" t="n">
        <f aca="false">ROUND(E308*I308,2)</f>
        <v>18224.99</v>
      </c>
      <c r="K308" s="1" t="n">
        <f aca="false">PV(H308/12,F308/30,0,-E308)</f>
        <v>20513.8225837412</v>
      </c>
      <c r="L308" s="0" t="n">
        <f aca="false">ROUND(E308-K308,2)</f>
        <v>927.34</v>
      </c>
      <c r="M308" s="0" t="n">
        <f aca="false">F308/E308</f>
        <v>0.0148779263808488</v>
      </c>
    </row>
    <row r="309" customFormat="false" ht="12.8" hidden="false" customHeight="false" outlineLevel="0" collapsed="false">
      <c r="A309" s="0" t="s">
        <v>510</v>
      </c>
      <c r="B309" s="0" t="s">
        <v>511</v>
      </c>
      <c r="C309" s="0" t="s">
        <v>36</v>
      </c>
      <c r="D309" s="0" t="s">
        <v>49</v>
      </c>
      <c r="E309" s="0" t="n">
        <v>6094.54</v>
      </c>
      <c r="F309" s="0" t="n">
        <v>342</v>
      </c>
      <c r="G309" s="0" t="str">
        <f aca="false">IF(F309&lt;=30,"Current",IF(F309&lt;=60,"31 to 60 days",IF(F309&lt;=90,"61 to 90 days",IF(F309&lt;=120,"91 to 120 days","Over 120 days"))))</f>
        <v>Over 120 days</v>
      </c>
      <c r="H309" s="0" t="n">
        <f aca="false">VLOOKUP(D309,Rates!$A$4:$B$7,2,FALSE())</f>
        <v>0.02</v>
      </c>
      <c r="I309" s="0" t="n">
        <f aca="false">VLOOKUP(F309,Rates!$D$4:$E$8,2)</f>
        <v>0.85</v>
      </c>
      <c r="J309" s="0" t="n">
        <f aca="false">ROUND(E309*I309,2)</f>
        <v>5180.36</v>
      </c>
      <c r="K309" s="1" t="n">
        <f aca="false">PV(H309/12,F309/30,0,-E309)</f>
        <v>5979.93144679211</v>
      </c>
      <c r="L309" s="0" t="n">
        <f aca="false">ROUND(E309-K309,2)</f>
        <v>114.61</v>
      </c>
      <c r="M309" s="0" t="n">
        <f aca="false">F309/E309</f>
        <v>0.0561158020129493</v>
      </c>
    </row>
    <row r="310" customFormat="false" ht="12.8" hidden="false" customHeight="false" outlineLevel="0" collapsed="false">
      <c r="A310" s="0" t="s">
        <v>512</v>
      </c>
      <c r="B310" s="0" t="s">
        <v>513</v>
      </c>
      <c r="C310" s="0" t="s">
        <v>36</v>
      </c>
      <c r="D310" s="0" t="s">
        <v>16</v>
      </c>
      <c r="E310" s="0" t="n">
        <v>9544.95</v>
      </c>
      <c r="F310" s="0" t="n">
        <v>41</v>
      </c>
      <c r="G310" s="0" t="str">
        <f aca="false">IF(F310&lt;=30,"Current",IF(F310&lt;=60,"31 to 60 days",IF(F310&lt;=90,"61 to 90 days",IF(F310&lt;=120,"91 to 120 days","Over 120 days"))))</f>
        <v>31 to 60 days</v>
      </c>
      <c r="H310" s="0" t="n">
        <f aca="false">VLOOKUP(D310,Rates!$A$4:$B$7,2,FALSE())</f>
        <v>0.085</v>
      </c>
      <c r="I310" s="0" t="n">
        <f aca="false">VLOOKUP(F310,Rates!$D$4:$E$8,2)</f>
        <v>0.1</v>
      </c>
      <c r="J310" s="0" t="n">
        <f aca="false">ROUND(E310*I310,2)</f>
        <v>954.5</v>
      </c>
      <c r="K310" s="1" t="n">
        <f aca="false">PV(H310/12,F310/30,0,-E310)</f>
        <v>9453.31796715398</v>
      </c>
      <c r="L310" s="0" t="n">
        <f aca="false">ROUND(E310-K310,2)</f>
        <v>91.63</v>
      </c>
      <c r="M310" s="0" t="n">
        <f aca="false">F310/E310</f>
        <v>0.0042954651412527</v>
      </c>
    </row>
    <row r="311" customFormat="false" ht="12.8" hidden="false" customHeight="false" outlineLevel="0" collapsed="false">
      <c r="A311" s="0" t="s">
        <v>514</v>
      </c>
      <c r="B311" s="0" t="s">
        <v>515</v>
      </c>
      <c r="C311" s="0" t="s">
        <v>19</v>
      </c>
      <c r="D311" s="0" t="s">
        <v>49</v>
      </c>
      <c r="E311" s="0" t="n">
        <v>921.9</v>
      </c>
      <c r="F311" s="0" t="n">
        <v>14</v>
      </c>
      <c r="G311" s="0" t="str">
        <f aca="false">IF(F311&lt;=30,"Current",IF(F311&lt;=60,"31 to 60 days",IF(F311&lt;=90,"61 to 90 days",IF(F311&lt;=120,"91 to 120 days","Over 120 days"))))</f>
        <v>Current</v>
      </c>
      <c r="H311" s="0" t="n">
        <f aca="false">VLOOKUP(D311,Rates!$A$4:$B$7,2,FALSE())</f>
        <v>0.02</v>
      </c>
      <c r="I311" s="0" t="n">
        <f aca="false">VLOOKUP(F311,Rates!$D$4:$E$8,2)</f>
        <v>0.02</v>
      </c>
      <c r="J311" s="0" t="n">
        <f aca="false">ROUND(E311*I311,2)</f>
        <v>18.44</v>
      </c>
      <c r="K311" s="1" t="n">
        <f aca="false">PV(H311/12,F311/30,0,-E311)</f>
        <v>921.183841841516</v>
      </c>
      <c r="L311" s="0" t="n">
        <f aca="false">ROUND(E311-K311,2)</f>
        <v>0.72</v>
      </c>
      <c r="M311" s="0" t="n">
        <f aca="false">F311/E311</f>
        <v>0.0151860288534548</v>
      </c>
    </row>
    <row r="312" customFormat="false" ht="12.8" hidden="false" customHeight="false" outlineLevel="0" collapsed="false">
      <c r="A312" s="0" t="s">
        <v>516</v>
      </c>
      <c r="B312" s="0" t="s">
        <v>517</v>
      </c>
      <c r="C312" s="0" t="s">
        <v>36</v>
      </c>
      <c r="D312" s="0" t="s">
        <v>16</v>
      </c>
      <c r="E312" s="0" t="n">
        <v>30696.72</v>
      </c>
      <c r="F312" s="0" t="n">
        <v>312</v>
      </c>
      <c r="G312" s="0" t="str">
        <f aca="false">IF(F312&lt;=30,"Current",IF(F312&lt;=60,"31 to 60 days",IF(F312&lt;=90,"61 to 90 days",IF(F312&lt;=120,"91 to 120 days","Over 120 days"))))</f>
        <v>Over 120 days</v>
      </c>
      <c r="H312" s="0" t="n">
        <f aca="false">VLOOKUP(D312,Rates!$A$4:$B$7,2,FALSE())</f>
        <v>0.085</v>
      </c>
      <c r="I312" s="0" t="n">
        <f aca="false">VLOOKUP(F312,Rates!$D$4:$E$8,2)</f>
        <v>0.85</v>
      </c>
      <c r="J312" s="0" t="n">
        <f aca="false">ROUND(E312*I312,2)</f>
        <v>26092.21</v>
      </c>
      <c r="K312" s="1" t="n">
        <f aca="false">PV(H312/12,F312/30,0,-E312)</f>
        <v>28524.0850275161</v>
      </c>
      <c r="L312" s="0" t="n">
        <f aca="false">ROUND(E312-K312,2)</f>
        <v>2172.63</v>
      </c>
      <c r="M312" s="0" t="n">
        <f aca="false">F312/E312</f>
        <v>0.0101639523701555</v>
      </c>
    </row>
    <row r="313" customFormat="false" ht="12.8" hidden="false" customHeight="false" outlineLevel="0" collapsed="false">
      <c r="A313" s="0" t="s">
        <v>518</v>
      </c>
      <c r="B313" s="0" t="s">
        <v>519</v>
      </c>
      <c r="C313" s="0" t="s">
        <v>31</v>
      </c>
      <c r="D313" s="0" t="s">
        <v>49</v>
      </c>
      <c r="E313" s="0" t="n">
        <v>21738.29</v>
      </c>
      <c r="F313" s="0" t="n">
        <v>306</v>
      </c>
      <c r="G313" s="0" t="str">
        <f aca="false">IF(F313&lt;=30,"Current",IF(F313&lt;=60,"31 to 60 days",IF(F313&lt;=90,"61 to 90 days",IF(F313&lt;=120,"91 to 120 days","Over 120 days"))))</f>
        <v>Over 120 days</v>
      </c>
      <c r="H313" s="0" t="n">
        <f aca="false">VLOOKUP(D313,Rates!$A$4:$B$7,2,FALSE())</f>
        <v>0.02</v>
      </c>
      <c r="I313" s="0" t="n">
        <f aca="false">VLOOKUP(F313,Rates!$D$4:$E$8,2)</f>
        <v>0.85</v>
      </c>
      <c r="J313" s="0" t="n">
        <f aca="false">ROUND(E313*I313,2)</f>
        <v>18477.55</v>
      </c>
      <c r="K313" s="1" t="n">
        <f aca="false">PV(H313/12,F313/30,0,-E313)</f>
        <v>21372.1649624656</v>
      </c>
      <c r="L313" s="0" t="n">
        <f aca="false">ROUND(E313-K313,2)</f>
        <v>366.13</v>
      </c>
      <c r="M313" s="0" t="n">
        <f aca="false">F313/E313</f>
        <v>0.0140765441991987</v>
      </c>
    </row>
    <row r="314" customFormat="false" ht="12.8" hidden="false" customHeight="false" outlineLevel="0" collapsed="false">
      <c r="A314" s="0" t="s">
        <v>520</v>
      </c>
      <c r="B314" s="0" t="s">
        <v>441</v>
      </c>
      <c r="C314" s="0" t="s">
        <v>15</v>
      </c>
      <c r="D314" s="0" t="s">
        <v>23</v>
      </c>
      <c r="E314" s="0" t="n">
        <v>44823.06</v>
      </c>
      <c r="F314" s="0" t="n">
        <v>350</v>
      </c>
      <c r="G314" s="0" t="str">
        <f aca="false">IF(F314&lt;=30,"Current",IF(F314&lt;=60,"31 to 60 days",IF(F314&lt;=90,"61 to 90 days",IF(F314&lt;=120,"91 to 120 days","Over 120 days"))))</f>
        <v>Over 120 days</v>
      </c>
      <c r="H314" s="0" t="n">
        <f aca="false">VLOOKUP(D314,Rates!$A$4:$B$7,2,FALSE())</f>
        <v>0.115</v>
      </c>
      <c r="I314" s="0" t="n">
        <f aca="false">VLOOKUP(F314,Rates!$D$4:$E$8,2)</f>
        <v>0.85</v>
      </c>
      <c r="J314" s="0" t="n">
        <f aca="false">ROUND(E314*I314,2)</f>
        <v>38099.6</v>
      </c>
      <c r="K314" s="1" t="n">
        <f aca="false">PV(H314/12,F314/30,0,-E314)</f>
        <v>40102.9348613058</v>
      </c>
      <c r="L314" s="0" t="n">
        <f aca="false">ROUND(E314-K314,2)</f>
        <v>4720.13</v>
      </c>
      <c r="M314" s="0" t="n">
        <f aca="false">F314/E314</f>
        <v>0.00780848072398449</v>
      </c>
    </row>
    <row r="315" customFormat="false" ht="12.8" hidden="false" customHeight="false" outlineLevel="0" collapsed="false">
      <c r="A315" s="0" t="s">
        <v>521</v>
      </c>
      <c r="B315" s="0" t="s">
        <v>28</v>
      </c>
      <c r="C315" s="0" t="s">
        <v>15</v>
      </c>
      <c r="D315" s="0" t="s">
        <v>20</v>
      </c>
      <c r="E315" s="0" t="n">
        <v>17985.9</v>
      </c>
      <c r="F315" s="0" t="n">
        <v>103</v>
      </c>
      <c r="G315" s="0" t="str">
        <f aca="false">IF(F315&lt;=30,"Current",IF(F315&lt;=60,"31 to 60 days",IF(F315&lt;=90,"61 to 90 days",IF(F315&lt;=120,"91 to 120 days","Over 120 days"))))</f>
        <v>91 to 120 days</v>
      </c>
      <c r="H315" s="0" t="n">
        <f aca="false">VLOOKUP(D315,Rates!$A$4:$B$7,2,FALSE())</f>
        <v>0.05</v>
      </c>
      <c r="I315" s="0" t="n">
        <f aca="false">VLOOKUP(F315,Rates!$D$4:$E$8,2)</f>
        <v>0.5</v>
      </c>
      <c r="J315" s="0" t="n">
        <f aca="false">ROUND(E315*I315,2)</f>
        <v>8992.95</v>
      </c>
      <c r="K315" s="1" t="n">
        <f aca="false">PV(H315/12,F315/30,0,-E315)</f>
        <v>17730.9603300945</v>
      </c>
      <c r="L315" s="0" t="n">
        <f aca="false">ROUND(E315-K315,2)</f>
        <v>254.94</v>
      </c>
      <c r="M315" s="0" t="n">
        <f aca="false">F315/E315</f>
        <v>0.00572670814360138</v>
      </c>
    </row>
    <row r="316" customFormat="false" ht="12.8" hidden="false" customHeight="false" outlineLevel="0" collapsed="false">
      <c r="A316" s="0" t="s">
        <v>522</v>
      </c>
      <c r="B316" s="0" t="s">
        <v>523</v>
      </c>
      <c r="C316" s="0" t="s">
        <v>42</v>
      </c>
      <c r="D316" s="0" t="s">
        <v>49</v>
      </c>
      <c r="E316" s="0" t="n">
        <v>7589.72</v>
      </c>
      <c r="F316" s="0" t="n">
        <v>100</v>
      </c>
      <c r="G316" s="0" t="str">
        <f aca="false">IF(F316&lt;=30,"Current",IF(F316&lt;=60,"31 to 60 days",IF(F316&lt;=90,"61 to 90 days",IF(F316&lt;=120,"91 to 120 days","Over 120 days"))))</f>
        <v>91 to 120 days</v>
      </c>
      <c r="H316" s="0" t="n">
        <f aca="false">VLOOKUP(D316,Rates!$A$4:$B$7,2,FALSE())</f>
        <v>0.02</v>
      </c>
      <c r="I316" s="0" t="n">
        <f aca="false">VLOOKUP(F316,Rates!$D$4:$E$8,2)</f>
        <v>0.5</v>
      </c>
      <c r="J316" s="0" t="n">
        <f aca="false">ROUND(E316*I316,2)</f>
        <v>3794.86</v>
      </c>
      <c r="K316" s="1" t="n">
        <f aca="false">PV(H316/12,F316/30,0,-E316)</f>
        <v>7547.70670182842</v>
      </c>
      <c r="L316" s="0" t="n">
        <f aca="false">ROUND(E316-K316,2)</f>
        <v>42.01</v>
      </c>
      <c r="M316" s="0" t="n">
        <f aca="false">F316/E316</f>
        <v>0.0131757166272274</v>
      </c>
    </row>
    <row r="317" customFormat="false" ht="12.8" hidden="false" customHeight="false" outlineLevel="0" collapsed="false">
      <c r="A317" s="0" t="s">
        <v>524</v>
      </c>
      <c r="B317" s="0" t="s">
        <v>475</v>
      </c>
      <c r="C317" s="0" t="s">
        <v>31</v>
      </c>
      <c r="D317" s="0" t="s">
        <v>23</v>
      </c>
      <c r="E317" s="0" t="n">
        <v>9103.47</v>
      </c>
      <c r="F317" s="0" t="n">
        <v>323</v>
      </c>
      <c r="G317" s="0" t="str">
        <f aca="false">IF(F317&lt;=30,"Current",IF(F317&lt;=60,"31 to 60 days",IF(F317&lt;=90,"61 to 90 days",IF(F317&lt;=120,"91 to 120 days","Over 120 days"))))</f>
        <v>Over 120 days</v>
      </c>
      <c r="H317" s="0" t="n">
        <f aca="false">VLOOKUP(D317,Rates!$A$4:$B$7,2,FALSE())</f>
        <v>0.115</v>
      </c>
      <c r="I317" s="0" t="n">
        <f aca="false">VLOOKUP(F317,Rates!$D$4:$E$8,2)</f>
        <v>0.85</v>
      </c>
      <c r="J317" s="0" t="n">
        <f aca="false">ROUND(E317*I317,2)</f>
        <v>7737.95</v>
      </c>
      <c r="K317" s="1" t="n">
        <f aca="false">PV(H317/12,F317/30,0,-E317)</f>
        <v>8215.03797905806</v>
      </c>
      <c r="L317" s="0" t="n">
        <f aca="false">ROUND(E317-K317,2)</f>
        <v>888.43</v>
      </c>
      <c r="M317" s="0" t="n">
        <f aca="false">F317/E317</f>
        <v>0.0354809759355499</v>
      </c>
    </row>
    <row r="318" customFormat="false" ht="12.8" hidden="false" customHeight="false" outlineLevel="0" collapsed="false">
      <c r="A318" s="0" t="s">
        <v>525</v>
      </c>
      <c r="B318" s="0" t="s">
        <v>526</v>
      </c>
      <c r="C318" s="0" t="s">
        <v>26</v>
      </c>
      <c r="D318" s="0" t="s">
        <v>23</v>
      </c>
      <c r="E318" s="0" t="n">
        <v>10435.62</v>
      </c>
      <c r="F318" s="0" t="n">
        <v>317</v>
      </c>
      <c r="G318" s="0" t="str">
        <f aca="false">IF(F318&lt;=30,"Current",IF(F318&lt;=60,"31 to 60 days",IF(F318&lt;=90,"61 to 90 days",IF(F318&lt;=120,"91 to 120 days","Over 120 days"))))</f>
        <v>Over 120 days</v>
      </c>
      <c r="H318" s="0" t="n">
        <f aca="false">VLOOKUP(D318,Rates!$A$4:$B$7,2,FALSE())</f>
        <v>0.115</v>
      </c>
      <c r="I318" s="0" t="n">
        <f aca="false">VLOOKUP(F318,Rates!$D$4:$E$8,2)</f>
        <v>0.85</v>
      </c>
      <c r="J318" s="0" t="n">
        <f aca="false">ROUND(E318*I318,2)</f>
        <v>8870.28</v>
      </c>
      <c r="K318" s="1" t="n">
        <f aca="false">PV(H318/12,F318/30,0,-E318)</f>
        <v>9435.16069226861</v>
      </c>
      <c r="L318" s="0" t="n">
        <f aca="false">ROUND(E318-K318,2)</f>
        <v>1000.46</v>
      </c>
      <c r="M318" s="0" t="n">
        <f aca="false">F318/E318</f>
        <v>0.0303767289341697</v>
      </c>
    </row>
    <row r="319" customFormat="false" ht="12.8" hidden="false" customHeight="false" outlineLevel="0" collapsed="false">
      <c r="A319" s="0" t="s">
        <v>527</v>
      </c>
      <c r="B319" s="0" t="s">
        <v>30</v>
      </c>
      <c r="C319" s="0" t="s">
        <v>31</v>
      </c>
      <c r="D319" s="0" t="s">
        <v>20</v>
      </c>
      <c r="E319" s="0" t="n">
        <v>31243.93</v>
      </c>
      <c r="F319" s="0" t="n">
        <v>363</v>
      </c>
      <c r="G319" s="0" t="str">
        <f aca="false">IF(F319&lt;=30,"Current",IF(F319&lt;=60,"31 to 60 days",IF(F319&lt;=90,"61 to 90 days",IF(F319&lt;=120,"91 to 120 days","Over 120 days"))))</f>
        <v>Over 120 days</v>
      </c>
      <c r="H319" s="0" t="n">
        <f aca="false">VLOOKUP(D319,Rates!$A$4:$B$7,2,FALSE())</f>
        <v>0.05</v>
      </c>
      <c r="I319" s="0" t="n">
        <f aca="false">VLOOKUP(F319,Rates!$D$4:$E$8,2)</f>
        <v>0.85</v>
      </c>
      <c r="J319" s="0" t="n">
        <f aca="false">ROUND(E319*I319,2)</f>
        <v>26557.34</v>
      </c>
      <c r="K319" s="1" t="n">
        <f aca="false">PV(H319/12,F319/30,0,-E319)</f>
        <v>29710.8766077309</v>
      </c>
      <c r="L319" s="0" t="n">
        <f aca="false">ROUND(E319-K319,2)</f>
        <v>1533.05</v>
      </c>
      <c r="M319" s="0" t="n">
        <f aca="false">F319/E319</f>
        <v>0.0116182567301873</v>
      </c>
    </row>
    <row r="320" customFormat="false" ht="12.8" hidden="false" customHeight="false" outlineLevel="0" collapsed="false">
      <c r="A320" s="0" t="s">
        <v>528</v>
      </c>
      <c r="B320" s="0" t="s">
        <v>529</v>
      </c>
      <c r="C320" s="0" t="s">
        <v>15</v>
      </c>
      <c r="D320" s="0" t="s">
        <v>16</v>
      </c>
      <c r="E320" s="0" t="n">
        <v>1850.94</v>
      </c>
      <c r="F320" s="0" t="n">
        <v>278</v>
      </c>
      <c r="G320" s="0" t="str">
        <f aca="false">IF(F320&lt;=30,"Current",IF(F320&lt;=60,"31 to 60 days",IF(F320&lt;=90,"61 to 90 days",IF(F320&lt;=120,"91 to 120 days","Over 120 days"))))</f>
        <v>Over 120 days</v>
      </c>
      <c r="H320" s="0" t="n">
        <f aca="false">VLOOKUP(D320,Rates!$A$4:$B$7,2,FALSE())</f>
        <v>0.085</v>
      </c>
      <c r="I320" s="0" t="n">
        <f aca="false">VLOOKUP(F320,Rates!$D$4:$E$8,2)</f>
        <v>0.85</v>
      </c>
      <c r="J320" s="0" t="n">
        <f aca="false">ROUND(E320*I320,2)</f>
        <v>1573.3</v>
      </c>
      <c r="K320" s="1" t="n">
        <f aca="false">PV(H320/12,F320/30,0,-E320)</f>
        <v>1733.74898697576</v>
      </c>
      <c r="L320" s="0" t="n">
        <f aca="false">ROUND(E320-K320,2)</f>
        <v>117.19</v>
      </c>
      <c r="M320" s="0" t="n">
        <f aca="false">F320/E320</f>
        <v>0.15019395550369</v>
      </c>
    </row>
    <row r="321" customFormat="false" ht="12.8" hidden="false" customHeight="false" outlineLevel="0" collapsed="false">
      <c r="A321" s="0" t="s">
        <v>530</v>
      </c>
      <c r="B321" s="0" t="s">
        <v>97</v>
      </c>
      <c r="C321" s="0" t="s">
        <v>42</v>
      </c>
      <c r="D321" s="0" t="s">
        <v>20</v>
      </c>
      <c r="E321" s="0" t="n">
        <v>37000.56</v>
      </c>
      <c r="F321" s="0" t="n">
        <v>368</v>
      </c>
      <c r="G321" s="0" t="str">
        <f aca="false">IF(F321&lt;=30,"Current",IF(F321&lt;=60,"31 to 60 days",IF(F321&lt;=90,"61 to 90 days",IF(F321&lt;=120,"91 to 120 days","Over 120 days"))))</f>
        <v>Over 120 days</v>
      </c>
      <c r="H321" s="0" t="n">
        <f aca="false">VLOOKUP(D321,Rates!$A$4:$B$7,2,FALSE())</f>
        <v>0.05</v>
      </c>
      <c r="I321" s="0" t="n">
        <f aca="false">VLOOKUP(F321,Rates!$D$4:$E$8,2)</f>
        <v>0.85</v>
      </c>
      <c r="J321" s="0" t="n">
        <f aca="false">ROUND(E321*I321,2)</f>
        <v>31450.48</v>
      </c>
      <c r="K321" s="1" t="n">
        <f aca="false">PV(H321/12,F321/30,0,-E321)</f>
        <v>35160.6698169524</v>
      </c>
      <c r="L321" s="0" t="n">
        <f aca="false">ROUND(E321-K321,2)</f>
        <v>1839.89</v>
      </c>
      <c r="M321" s="0" t="n">
        <f aca="false">F321/E321</f>
        <v>0.00994579541498832</v>
      </c>
    </row>
    <row r="322" customFormat="false" ht="12.8" hidden="false" customHeight="false" outlineLevel="0" collapsed="false">
      <c r="A322" s="0" t="s">
        <v>531</v>
      </c>
      <c r="B322" s="0" t="s">
        <v>532</v>
      </c>
      <c r="C322" s="0" t="s">
        <v>42</v>
      </c>
      <c r="D322" s="0" t="s">
        <v>16</v>
      </c>
      <c r="E322" s="0" t="n">
        <v>41279.41</v>
      </c>
      <c r="F322" s="0" t="n">
        <v>280</v>
      </c>
      <c r="G322" s="0" t="str">
        <f aca="false">IF(F322&lt;=30,"Current",IF(F322&lt;=60,"31 to 60 days",IF(F322&lt;=90,"61 to 90 days",IF(F322&lt;=120,"91 to 120 days","Over 120 days"))))</f>
        <v>Over 120 days</v>
      </c>
      <c r="H322" s="0" t="n">
        <f aca="false">VLOOKUP(D322,Rates!$A$4:$B$7,2,FALSE())</f>
        <v>0.085</v>
      </c>
      <c r="I322" s="0" t="n">
        <f aca="false">VLOOKUP(F322,Rates!$D$4:$E$8,2)</f>
        <v>0.85</v>
      </c>
      <c r="J322" s="0" t="n">
        <f aca="false">ROUND(E322*I322,2)</f>
        <v>35087.5</v>
      </c>
      <c r="K322" s="1" t="n">
        <f aca="false">PV(H322/12,F322/30,0,-E322)</f>
        <v>38647.6418797802</v>
      </c>
      <c r="L322" s="0" t="n">
        <f aca="false">ROUND(E322-K322,2)</f>
        <v>2631.77</v>
      </c>
      <c r="M322" s="0" t="n">
        <f aca="false">F322/E322</f>
        <v>0.00678304268399185</v>
      </c>
    </row>
    <row r="323" customFormat="false" ht="12.8" hidden="false" customHeight="false" outlineLevel="0" collapsed="false">
      <c r="A323" s="0" t="s">
        <v>533</v>
      </c>
      <c r="B323" s="0" t="s">
        <v>534</v>
      </c>
      <c r="C323" s="0" t="s">
        <v>26</v>
      </c>
      <c r="D323" s="0" t="s">
        <v>23</v>
      </c>
      <c r="E323" s="0" t="n">
        <v>21424.6</v>
      </c>
      <c r="F323" s="0" t="n">
        <v>346</v>
      </c>
      <c r="G323" s="0" t="str">
        <f aca="false">IF(F323&lt;=30,"Current",IF(F323&lt;=60,"31 to 60 days",IF(F323&lt;=90,"61 to 90 days",IF(F323&lt;=120,"91 to 120 days","Over 120 days"))))</f>
        <v>Over 120 days</v>
      </c>
      <c r="H323" s="0" t="n">
        <f aca="false">VLOOKUP(D323,Rates!$A$4:$B$7,2,FALSE())</f>
        <v>0.115</v>
      </c>
      <c r="I323" s="0" t="n">
        <f aca="false">VLOOKUP(F323,Rates!$D$4:$E$8,2)</f>
        <v>0.85</v>
      </c>
      <c r="J323" s="0" t="n">
        <f aca="false">ROUND(E323*I323,2)</f>
        <v>18210.91</v>
      </c>
      <c r="K323" s="1" t="n">
        <f aca="false">PV(H323/12,F323/30,0,-E323)</f>
        <v>19192.8587457827</v>
      </c>
      <c r="L323" s="0" t="n">
        <f aca="false">ROUND(E323-K323,2)</f>
        <v>2231.74</v>
      </c>
      <c r="M323" s="0" t="n">
        <f aca="false">F323/E323</f>
        <v>0.0161496597369379</v>
      </c>
    </row>
    <row r="324" customFormat="false" ht="12.8" hidden="false" customHeight="false" outlineLevel="0" collapsed="false">
      <c r="A324" s="0" t="s">
        <v>535</v>
      </c>
      <c r="B324" s="0" t="s">
        <v>18</v>
      </c>
      <c r="C324" s="0" t="s">
        <v>19</v>
      </c>
      <c r="D324" s="0" t="s">
        <v>20</v>
      </c>
      <c r="E324" s="0" t="n">
        <v>37694.01</v>
      </c>
      <c r="F324" s="0" t="n">
        <v>387</v>
      </c>
      <c r="G324" s="0" t="str">
        <f aca="false">IF(F324&lt;=30,"Current",IF(F324&lt;=60,"31 to 60 days",IF(F324&lt;=90,"61 to 90 days",IF(F324&lt;=120,"91 to 120 days","Over 120 days"))))</f>
        <v>Over 120 days</v>
      </c>
      <c r="H324" s="0" t="n">
        <f aca="false">VLOOKUP(D324,Rates!$A$4:$B$7,2,FALSE())</f>
        <v>0.05</v>
      </c>
      <c r="I324" s="0" t="n">
        <f aca="false">VLOOKUP(F324,Rates!$D$4:$E$8,2)</f>
        <v>0.85</v>
      </c>
      <c r="J324" s="0" t="n">
        <f aca="false">ROUND(E324*I324,2)</f>
        <v>32039.91</v>
      </c>
      <c r="K324" s="1" t="n">
        <f aca="false">PV(H324/12,F324/30,0,-E324)</f>
        <v>35725.4337453926</v>
      </c>
      <c r="L324" s="0" t="n">
        <f aca="false">ROUND(E324-K324,2)</f>
        <v>1968.58</v>
      </c>
      <c r="M324" s="0" t="n">
        <f aca="false">F324/E324</f>
        <v>0.0102668832528033</v>
      </c>
    </row>
    <row r="325" customFormat="false" ht="12.8" hidden="false" customHeight="false" outlineLevel="0" collapsed="false">
      <c r="A325" s="0" t="s">
        <v>536</v>
      </c>
      <c r="B325" s="0" t="s">
        <v>82</v>
      </c>
      <c r="C325" s="0" t="s">
        <v>36</v>
      </c>
      <c r="D325" s="0" t="s">
        <v>23</v>
      </c>
      <c r="E325" s="0" t="n">
        <v>4010.46</v>
      </c>
      <c r="F325" s="0" t="n">
        <v>242</v>
      </c>
      <c r="G325" s="0" t="str">
        <f aca="false">IF(F325&lt;=30,"Current",IF(F325&lt;=60,"31 to 60 days",IF(F325&lt;=90,"61 to 90 days",IF(F325&lt;=120,"91 to 120 days","Over 120 days"))))</f>
        <v>Over 120 days</v>
      </c>
      <c r="H325" s="0" t="n">
        <f aca="false">VLOOKUP(D325,Rates!$A$4:$B$7,2,FALSE())</f>
        <v>0.115</v>
      </c>
      <c r="I325" s="0" t="n">
        <f aca="false">VLOOKUP(F325,Rates!$D$4:$E$8,2)</f>
        <v>0.85</v>
      </c>
      <c r="J325" s="0" t="n">
        <f aca="false">ROUND(E325*I325,2)</f>
        <v>3408.89</v>
      </c>
      <c r="K325" s="1" t="n">
        <f aca="false">PV(H325/12,F325/30,0,-E325)</f>
        <v>3713.47637114853</v>
      </c>
      <c r="L325" s="0" t="n">
        <f aca="false">ROUND(E325-K325,2)</f>
        <v>296.98</v>
      </c>
      <c r="M325" s="0" t="n">
        <f aca="false">F325/E325</f>
        <v>0.0603422051335757</v>
      </c>
    </row>
    <row r="326" customFormat="false" ht="12.8" hidden="false" customHeight="false" outlineLevel="0" collapsed="false">
      <c r="A326" s="0" t="s">
        <v>537</v>
      </c>
      <c r="B326" s="0" t="s">
        <v>97</v>
      </c>
      <c r="C326" s="0" t="s">
        <v>42</v>
      </c>
      <c r="D326" s="0" t="s">
        <v>20</v>
      </c>
      <c r="E326" s="0" t="n">
        <v>36861.75</v>
      </c>
      <c r="F326" s="0" t="n">
        <v>92</v>
      </c>
      <c r="G326" s="0" t="str">
        <f aca="false">IF(F326&lt;=30,"Current",IF(F326&lt;=60,"31 to 60 days",IF(F326&lt;=90,"61 to 90 days",IF(F326&lt;=120,"91 to 120 days","Over 120 days"))))</f>
        <v>91 to 120 days</v>
      </c>
      <c r="H326" s="0" t="n">
        <f aca="false">VLOOKUP(D326,Rates!$A$4:$B$7,2,FALSE())</f>
        <v>0.05</v>
      </c>
      <c r="I326" s="0" t="n">
        <f aca="false">VLOOKUP(F326,Rates!$D$4:$E$8,2)</f>
        <v>0.5</v>
      </c>
      <c r="J326" s="0" t="n">
        <f aca="false">ROUND(E326*I326,2)</f>
        <v>18430.88</v>
      </c>
      <c r="K326" s="1" t="n">
        <f aca="false">PV(H326/12,F326/30,0,-E326)</f>
        <v>36394.7013570181</v>
      </c>
      <c r="L326" s="0" t="n">
        <f aca="false">ROUND(E326-K326,2)</f>
        <v>467.05</v>
      </c>
      <c r="M326" s="0" t="n">
        <f aca="false">F326/E326</f>
        <v>0.00249581205450094</v>
      </c>
    </row>
    <row r="327" customFormat="false" ht="12.8" hidden="false" customHeight="false" outlineLevel="0" collapsed="false">
      <c r="A327" s="0" t="s">
        <v>538</v>
      </c>
      <c r="B327" s="0" t="s">
        <v>33</v>
      </c>
      <c r="C327" s="0" t="s">
        <v>26</v>
      </c>
      <c r="D327" s="0" t="s">
        <v>20</v>
      </c>
      <c r="E327" s="0" t="n">
        <v>24459.18</v>
      </c>
      <c r="F327" s="0" t="n">
        <v>207</v>
      </c>
      <c r="G327" s="0" t="str">
        <f aca="false">IF(F327&lt;=30,"Current",IF(F327&lt;=60,"31 to 60 days",IF(F327&lt;=90,"61 to 90 days",IF(F327&lt;=120,"91 to 120 days","Over 120 days"))))</f>
        <v>Over 120 days</v>
      </c>
      <c r="H327" s="0" t="n">
        <f aca="false">VLOOKUP(D327,Rates!$A$4:$B$7,2,FALSE())</f>
        <v>0.05</v>
      </c>
      <c r="I327" s="0" t="n">
        <f aca="false">VLOOKUP(F327,Rates!$D$4:$E$8,2)</f>
        <v>0.85</v>
      </c>
      <c r="J327" s="0" t="n">
        <f aca="false">ROUND(E327*I327,2)</f>
        <v>20790.3</v>
      </c>
      <c r="K327" s="1" t="n">
        <f aca="false">PV(H327/12,F327/30,0,-E327)</f>
        <v>23767.4104988757</v>
      </c>
      <c r="L327" s="0" t="n">
        <f aca="false">ROUND(E327-K327,2)</f>
        <v>691.77</v>
      </c>
      <c r="M327" s="0" t="n">
        <f aca="false">F327/E327</f>
        <v>0.00846308011961153</v>
      </c>
    </row>
    <row r="328" customFormat="false" ht="12.8" hidden="false" customHeight="false" outlineLevel="0" collapsed="false">
      <c r="A328" s="0" t="s">
        <v>539</v>
      </c>
      <c r="B328" s="0" t="s">
        <v>540</v>
      </c>
      <c r="C328" s="0" t="s">
        <v>42</v>
      </c>
      <c r="D328" s="0" t="s">
        <v>16</v>
      </c>
      <c r="E328" s="0" t="n">
        <v>24037.34</v>
      </c>
      <c r="F328" s="0" t="n">
        <v>185</v>
      </c>
      <c r="G328" s="0" t="str">
        <f aca="false">IF(F328&lt;=30,"Current",IF(F328&lt;=60,"31 to 60 days",IF(F328&lt;=90,"61 to 90 days",IF(F328&lt;=120,"91 to 120 days","Over 120 days"))))</f>
        <v>Over 120 days</v>
      </c>
      <c r="H328" s="0" t="n">
        <f aca="false">VLOOKUP(D328,Rates!$A$4:$B$7,2,FALSE())</f>
        <v>0.085</v>
      </c>
      <c r="I328" s="0" t="n">
        <f aca="false">VLOOKUP(F328,Rates!$D$4:$E$8,2)</f>
        <v>0.85</v>
      </c>
      <c r="J328" s="0" t="n">
        <f aca="false">ROUND(E328*I328,2)</f>
        <v>20431.74</v>
      </c>
      <c r="K328" s="1" t="n">
        <f aca="false">PV(H328/12,F328/30,0,-E328)</f>
        <v>23013.5201161389</v>
      </c>
      <c r="L328" s="0" t="n">
        <f aca="false">ROUND(E328-K328,2)</f>
        <v>1023.82</v>
      </c>
      <c r="M328" s="0" t="n">
        <f aca="false">F328/E328</f>
        <v>0.0076963590813293</v>
      </c>
    </row>
    <row r="329" customFormat="false" ht="12.8" hidden="false" customHeight="false" outlineLevel="0" collapsed="false">
      <c r="A329" s="0" t="s">
        <v>541</v>
      </c>
      <c r="B329" s="0" t="s">
        <v>28</v>
      </c>
      <c r="C329" s="0" t="s">
        <v>15</v>
      </c>
      <c r="D329" s="0" t="s">
        <v>20</v>
      </c>
      <c r="E329" s="0" t="n">
        <v>16672.83</v>
      </c>
      <c r="F329" s="0" t="n">
        <v>379</v>
      </c>
      <c r="G329" s="0" t="str">
        <f aca="false">IF(F329&lt;=30,"Current",IF(F329&lt;=60,"31 to 60 days",IF(F329&lt;=90,"61 to 90 days",IF(F329&lt;=120,"91 to 120 days","Over 120 days"))))</f>
        <v>Over 120 days</v>
      </c>
      <c r="H329" s="0" t="n">
        <f aca="false">VLOOKUP(D329,Rates!$A$4:$B$7,2,FALSE())</f>
        <v>0.05</v>
      </c>
      <c r="I329" s="0" t="n">
        <f aca="false">VLOOKUP(F329,Rates!$D$4:$E$8,2)</f>
        <v>0.85</v>
      </c>
      <c r="J329" s="0" t="n">
        <f aca="false">ROUND(E329*I329,2)</f>
        <v>14171.91</v>
      </c>
      <c r="K329" s="1" t="n">
        <f aca="false">PV(H329/12,F329/30,0,-E329)</f>
        <v>15819.6196577577</v>
      </c>
      <c r="L329" s="0" t="n">
        <f aca="false">ROUND(E329-K329,2)</f>
        <v>853.21</v>
      </c>
      <c r="M329" s="0" t="n">
        <f aca="false">F329/E329</f>
        <v>0.0227315938565918</v>
      </c>
    </row>
    <row r="330" customFormat="false" ht="12.8" hidden="false" customHeight="false" outlineLevel="0" collapsed="false">
      <c r="A330" s="0" t="s">
        <v>542</v>
      </c>
      <c r="B330" s="0" t="s">
        <v>51</v>
      </c>
      <c r="C330" s="0" t="s">
        <v>36</v>
      </c>
      <c r="D330" s="0" t="s">
        <v>20</v>
      </c>
      <c r="E330" s="0" t="n">
        <v>12721.68</v>
      </c>
      <c r="F330" s="0" t="n">
        <v>117</v>
      </c>
      <c r="G330" s="0" t="str">
        <f aca="false">IF(F330&lt;=30,"Current",IF(F330&lt;=60,"31 to 60 days",IF(F330&lt;=90,"61 to 90 days",IF(F330&lt;=120,"91 to 120 days","Over 120 days"))))</f>
        <v>91 to 120 days</v>
      </c>
      <c r="H330" s="0" t="n">
        <f aca="false">VLOOKUP(D330,Rates!$A$4:$B$7,2,FALSE())</f>
        <v>0.05</v>
      </c>
      <c r="I330" s="0" t="n">
        <f aca="false">VLOOKUP(F330,Rates!$D$4:$E$8,2)</f>
        <v>0.5</v>
      </c>
      <c r="J330" s="0" t="n">
        <f aca="false">ROUND(E330*I330,2)</f>
        <v>6360.84</v>
      </c>
      <c r="K330" s="1" t="n">
        <f aca="false">PV(H330/12,F330/30,0,-E330)</f>
        <v>12517.0458715946</v>
      </c>
      <c r="L330" s="0" t="n">
        <f aca="false">ROUND(E330-K330,2)</f>
        <v>204.63</v>
      </c>
      <c r="M330" s="0" t="n">
        <f aca="false">F330/E330</f>
        <v>0.00919689852283661</v>
      </c>
    </row>
    <row r="331" customFormat="false" ht="12.8" hidden="false" customHeight="false" outlineLevel="0" collapsed="false">
      <c r="A331" s="0" t="s">
        <v>543</v>
      </c>
      <c r="B331" s="0" t="s">
        <v>544</v>
      </c>
      <c r="C331" s="0" t="s">
        <v>42</v>
      </c>
      <c r="D331" s="0" t="s">
        <v>49</v>
      </c>
      <c r="E331" s="0" t="n">
        <v>0</v>
      </c>
      <c r="F331" s="0" t="n">
        <v>250</v>
      </c>
      <c r="G331" s="0" t="str">
        <f aca="false">IF(F331&lt;=30,"Current",IF(F331&lt;=60,"31 to 60 days",IF(F331&lt;=90,"61 to 90 days",IF(F331&lt;=120,"91 to 120 days","Over 120 days"))))</f>
        <v>Over 120 days</v>
      </c>
      <c r="H331" s="0" t="n">
        <f aca="false">VLOOKUP(D331,Rates!$A$4:$B$7,2,FALSE())</f>
        <v>0.02</v>
      </c>
      <c r="I331" s="0" t="n">
        <f aca="false">VLOOKUP(F331,Rates!$D$4:$E$8,2)</f>
        <v>0.85</v>
      </c>
      <c r="J331" s="0" t="n">
        <f aca="false">ROUND(E331*I331,2)</f>
        <v>0</v>
      </c>
      <c r="K331" s="1" t="n">
        <f aca="false">PV(H331/12,F331/30,0,-E331)</f>
        <v>-0</v>
      </c>
      <c r="L331" s="0" t="n">
        <f aca="false">ROUND(E331-K331,2)</f>
        <v>0</v>
      </c>
      <c r="M331" s="0" t="e">
        <f aca="false">F331/E331</f>
        <v>#DIV/0!</v>
      </c>
    </row>
    <row r="332" customFormat="false" ht="12.8" hidden="false" customHeight="false" outlineLevel="0" collapsed="false">
      <c r="A332" s="0" t="s">
        <v>545</v>
      </c>
      <c r="B332" s="0" t="s">
        <v>30</v>
      </c>
      <c r="C332" s="0" t="s">
        <v>31</v>
      </c>
      <c r="D332" s="0" t="s">
        <v>20</v>
      </c>
      <c r="E332" s="0" t="n">
        <v>23340.7</v>
      </c>
      <c r="F332" s="0" t="n">
        <v>342</v>
      </c>
      <c r="G332" s="0" t="str">
        <f aca="false">IF(F332&lt;=30,"Current",IF(F332&lt;=60,"31 to 60 days",IF(F332&lt;=90,"61 to 90 days",IF(F332&lt;=120,"91 to 120 days","Over 120 days"))))</f>
        <v>Over 120 days</v>
      </c>
      <c r="H332" s="0" t="n">
        <f aca="false">VLOOKUP(D332,Rates!$A$4:$B$7,2,FALSE())</f>
        <v>0.05</v>
      </c>
      <c r="I332" s="0" t="n">
        <f aca="false">VLOOKUP(F332,Rates!$D$4:$E$8,2)</f>
        <v>0.85</v>
      </c>
      <c r="J332" s="0" t="n">
        <f aca="false">ROUND(E332*I332,2)</f>
        <v>19839.6</v>
      </c>
      <c r="K332" s="1" t="n">
        <f aca="false">PV(H332/12,F332/30,0,-E332)</f>
        <v>22260.1325875779</v>
      </c>
      <c r="L332" s="0" t="n">
        <f aca="false">ROUND(E332-K332,2)</f>
        <v>1080.57</v>
      </c>
      <c r="M332" s="0" t="n">
        <f aca="false">F332/E332</f>
        <v>0.0146525168482522</v>
      </c>
    </row>
    <row r="333" customFormat="false" ht="12.8" hidden="false" customHeight="false" outlineLevel="0" collapsed="false">
      <c r="A333" s="0" t="s">
        <v>546</v>
      </c>
      <c r="B333" s="0" t="s">
        <v>547</v>
      </c>
      <c r="C333" s="0" t="s">
        <v>42</v>
      </c>
      <c r="D333" s="0" t="s">
        <v>16</v>
      </c>
      <c r="E333" s="0" t="n">
        <v>42512.82</v>
      </c>
      <c r="F333" s="0" t="n">
        <v>260</v>
      </c>
      <c r="G333" s="0" t="str">
        <f aca="false">IF(F333&lt;=30,"Current",IF(F333&lt;=60,"31 to 60 days",IF(F333&lt;=90,"61 to 90 days",IF(F333&lt;=120,"91 to 120 days","Over 120 days"))))</f>
        <v>Over 120 days</v>
      </c>
      <c r="H333" s="0" t="n">
        <f aca="false">VLOOKUP(D333,Rates!$A$4:$B$7,2,FALSE())</f>
        <v>0.085</v>
      </c>
      <c r="I333" s="0" t="n">
        <f aca="false">VLOOKUP(F333,Rates!$D$4:$E$8,2)</f>
        <v>0.85</v>
      </c>
      <c r="J333" s="0" t="n">
        <f aca="false">ROUND(E333*I333,2)</f>
        <v>36135.9</v>
      </c>
      <c r="K333" s="1" t="n">
        <f aca="false">PV(H333/12,F333/30,0,-E333)</f>
        <v>39990.1505010329</v>
      </c>
      <c r="L333" s="0" t="n">
        <f aca="false">ROUND(E333-K333,2)</f>
        <v>2522.67</v>
      </c>
      <c r="M333" s="0" t="n">
        <f aca="false">F333/E333</f>
        <v>0.00611580224506396</v>
      </c>
    </row>
    <row r="334" customFormat="false" ht="12.8" hidden="false" customHeight="false" outlineLevel="0" collapsed="false">
      <c r="A334" s="0" t="s">
        <v>548</v>
      </c>
      <c r="B334" s="0" t="s">
        <v>30</v>
      </c>
      <c r="C334" s="0" t="s">
        <v>31</v>
      </c>
      <c r="D334" s="0" t="s">
        <v>20</v>
      </c>
      <c r="E334" s="0" t="n">
        <v>23524.52</v>
      </c>
      <c r="F334" s="0" t="n">
        <v>206</v>
      </c>
      <c r="G334" s="0" t="str">
        <f aca="false">IF(F334&lt;=30,"Current",IF(F334&lt;=60,"31 to 60 days",IF(F334&lt;=90,"61 to 90 days",IF(F334&lt;=120,"91 to 120 days","Over 120 days"))))</f>
        <v>Over 120 days</v>
      </c>
      <c r="H334" s="0" t="n">
        <f aca="false">VLOOKUP(D334,Rates!$A$4:$B$7,2,FALSE())</f>
        <v>0.05</v>
      </c>
      <c r="I334" s="0" t="n">
        <f aca="false">VLOOKUP(F334,Rates!$D$4:$E$8,2)</f>
        <v>0.85</v>
      </c>
      <c r="J334" s="0" t="n">
        <f aca="false">ROUND(E334*I334,2)</f>
        <v>19995.84</v>
      </c>
      <c r="K334" s="1" t="n">
        <f aca="false">PV(H334/12,F334/30,0,-E334)</f>
        <v>22862.3536355</v>
      </c>
      <c r="L334" s="0" t="n">
        <f aca="false">ROUND(E334-K334,2)</f>
        <v>662.17</v>
      </c>
      <c r="M334" s="0" t="n">
        <f aca="false">F334/E334</f>
        <v>0.00875682054299089</v>
      </c>
    </row>
    <row r="335" customFormat="false" ht="12.8" hidden="false" customHeight="false" outlineLevel="0" collapsed="false">
      <c r="A335" s="0" t="s">
        <v>549</v>
      </c>
      <c r="B335" s="0" t="s">
        <v>550</v>
      </c>
      <c r="C335" s="0" t="s">
        <v>36</v>
      </c>
      <c r="D335" s="0" t="s">
        <v>23</v>
      </c>
      <c r="E335" s="0" t="n">
        <v>42265.57</v>
      </c>
      <c r="F335" s="0" t="n">
        <v>184</v>
      </c>
      <c r="G335" s="0" t="str">
        <f aca="false">IF(F335&lt;=30,"Current",IF(F335&lt;=60,"31 to 60 days",IF(F335&lt;=90,"61 to 90 days",IF(F335&lt;=120,"91 to 120 days","Over 120 days"))))</f>
        <v>Over 120 days</v>
      </c>
      <c r="H335" s="0" t="n">
        <f aca="false">VLOOKUP(D335,Rates!$A$4:$B$7,2,FALSE())</f>
        <v>0.115</v>
      </c>
      <c r="I335" s="0" t="n">
        <f aca="false">VLOOKUP(F335,Rates!$D$4:$E$8,2)</f>
        <v>0.85</v>
      </c>
      <c r="J335" s="0" t="n">
        <f aca="false">ROUND(E335*I335,2)</f>
        <v>35925.73</v>
      </c>
      <c r="K335" s="1" t="n">
        <f aca="false">PV(H335/12,F335/30,0,-E335)</f>
        <v>39864.0488267884</v>
      </c>
      <c r="L335" s="0" t="n">
        <f aca="false">ROUND(E335-K335,2)</f>
        <v>2401.52</v>
      </c>
      <c r="M335" s="0" t="n">
        <f aca="false">F335/E335</f>
        <v>0.00435342525843139</v>
      </c>
    </row>
    <row r="336" customFormat="false" ht="12.8" hidden="false" customHeight="false" outlineLevel="0" collapsed="false">
      <c r="A336" s="0" t="s">
        <v>551</v>
      </c>
      <c r="B336" s="0" t="s">
        <v>552</v>
      </c>
      <c r="C336" s="0" t="s">
        <v>42</v>
      </c>
      <c r="D336" s="0" t="s">
        <v>49</v>
      </c>
      <c r="E336" s="0" t="n">
        <v>19466.62</v>
      </c>
      <c r="F336" s="0" t="n">
        <v>50</v>
      </c>
      <c r="G336" s="0" t="str">
        <f aca="false">IF(F336&lt;=30,"Current",IF(F336&lt;=60,"31 to 60 days",IF(F336&lt;=90,"61 to 90 days",IF(F336&lt;=120,"91 to 120 days","Over 120 days"))))</f>
        <v>31 to 60 days</v>
      </c>
      <c r="H336" s="0" t="n">
        <f aca="false">VLOOKUP(D336,Rates!$A$4:$B$7,2,FALSE())</f>
        <v>0.02</v>
      </c>
      <c r="I336" s="0" t="n">
        <f aca="false">VLOOKUP(F336,Rates!$D$4:$E$8,2)</f>
        <v>0.1</v>
      </c>
      <c r="J336" s="0" t="n">
        <f aca="false">ROUND(E336*I336,2)</f>
        <v>1946.66</v>
      </c>
      <c r="K336" s="1" t="n">
        <f aca="false">PV(H336/12,F336/30,0,-E336)</f>
        <v>19412.6659755724</v>
      </c>
      <c r="L336" s="0" t="n">
        <f aca="false">ROUND(E336-K336,2)</f>
        <v>53.95</v>
      </c>
      <c r="M336" s="0" t="n">
        <f aca="false">F336/E336</f>
        <v>0.00256849930804629</v>
      </c>
    </row>
    <row r="337" customFormat="false" ht="12.8" hidden="false" customHeight="false" outlineLevel="0" collapsed="false">
      <c r="A337" s="0" t="s">
        <v>553</v>
      </c>
      <c r="B337" s="0" t="s">
        <v>554</v>
      </c>
      <c r="C337" s="0" t="s">
        <v>42</v>
      </c>
      <c r="D337" s="0" t="s">
        <v>49</v>
      </c>
      <c r="E337" s="0" t="n">
        <v>39678.11</v>
      </c>
      <c r="F337" s="0" t="n">
        <v>229</v>
      </c>
      <c r="G337" s="0" t="str">
        <f aca="false">IF(F337&lt;=30,"Current",IF(F337&lt;=60,"31 to 60 days",IF(F337&lt;=90,"61 to 90 days",IF(F337&lt;=120,"91 to 120 days","Over 120 days"))))</f>
        <v>Over 120 days</v>
      </c>
      <c r="H337" s="0" t="n">
        <f aca="false">VLOOKUP(D337,Rates!$A$4:$B$7,2,FALSE())</f>
        <v>0.02</v>
      </c>
      <c r="I337" s="0" t="n">
        <f aca="false">VLOOKUP(F337,Rates!$D$4:$E$8,2)</f>
        <v>0.85</v>
      </c>
      <c r="J337" s="0" t="n">
        <f aca="false">ROUND(E337*I337,2)</f>
        <v>33726.39</v>
      </c>
      <c r="K337" s="1" t="n">
        <f aca="false">PV(H337/12,F337/30,0,-E337)</f>
        <v>39176.9286270934</v>
      </c>
      <c r="L337" s="0" t="n">
        <f aca="false">ROUND(E337-K337,2)</f>
        <v>501.18</v>
      </c>
      <c r="M337" s="0" t="n">
        <f aca="false">F337/E337</f>
        <v>0.00577144425477927</v>
      </c>
    </row>
    <row r="338" customFormat="false" ht="12.8" hidden="false" customHeight="false" outlineLevel="0" collapsed="false">
      <c r="A338" s="0" t="s">
        <v>555</v>
      </c>
      <c r="B338" s="0" t="s">
        <v>97</v>
      </c>
      <c r="C338" s="0" t="s">
        <v>42</v>
      </c>
      <c r="D338" s="0" t="s">
        <v>20</v>
      </c>
      <c r="E338" s="0" t="n">
        <v>44257.74</v>
      </c>
      <c r="F338" s="0" t="n">
        <v>136</v>
      </c>
      <c r="G338" s="0" t="str">
        <f aca="false">IF(F338&lt;=30,"Current",IF(F338&lt;=60,"31 to 60 days",IF(F338&lt;=90,"61 to 90 days",IF(F338&lt;=120,"91 to 120 days","Over 120 days"))))</f>
        <v>Over 120 days</v>
      </c>
      <c r="H338" s="0" t="n">
        <f aca="false">VLOOKUP(D338,Rates!$A$4:$B$7,2,FALSE())</f>
        <v>0.05</v>
      </c>
      <c r="I338" s="0" t="n">
        <f aca="false">VLOOKUP(F338,Rates!$D$4:$E$8,2)</f>
        <v>0.85</v>
      </c>
      <c r="J338" s="0" t="n">
        <f aca="false">ROUND(E338*I338,2)</f>
        <v>37619.08</v>
      </c>
      <c r="K338" s="1" t="n">
        <f aca="false">PV(H338/12,F338/30,0,-E338)</f>
        <v>43431.3106875925</v>
      </c>
      <c r="L338" s="0" t="n">
        <f aca="false">ROUND(E338-K338,2)</f>
        <v>826.43</v>
      </c>
      <c r="M338" s="0" t="n">
        <f aca="false">F338/E338</f>
        <v>0.00307290882905453</v>
      </c>
    </row>
    <row r="339" customFormat="false" ht="12.8" hidden="false" customHeight="false" outlineLevel="0" collapsed="false">
      <c r="A339" s="0" t="s">
        <v>556</v>
      </c>
      <c r="B339" s="0" t="s">
        <v>97</v>
      </c>
      <c r="C339" s="0" t="s">
        <v>42</v>
      </c>
      <c r="D339" s="0" t="s">
        <v>20</v>
      </c>
      <c r="E339" s="0" t="n">
        <v>42584.25</v>
      </c>
      <c r="F339" s="0" t="n">
        <v>49</v>
      </c>
      <c r="G339" s="0" t="str">
        <f aca="false">IF(F339&lt;=30,"Current",IF(F339&lt;=60,"31 to 60 days",IF(F339&lt;=90,"61 to 90 days",IF(F339&lt;=120,"91 to 120 days","Over 120 days"))))</f>
        <v>31 to 60 days</v>
      </c>
      <c r="H339" s="0" t="n">
        <f aca="false">VLOOKUP(D339,Rates!$A$4:$B$7,2,FALSE())</f>
        <v>0.05</v>
      </c>
      <c r="I339" s="0" t="n">
        <f aca="false">VLOOKUP(F339,Rates!$D$4:$E$8,2)</f>
        <v>0.1</v>
      </c>
      <c r="J339" s="0" t="n">
        <f aca="false">ROUND(E339*I339,2)</f>
        <v>4258.43</v>
      </c>
      <c r="K339" s="1" t="n">
        <f aca="false">PV(H339/12,F339/30,0,-E339)</f>
        <v>42296.0224631367</v>
      </c>
      <c r="L339" s="0" t="n">
        <f aca="false">ROUND(E339-K339,2)</f>
        <v>288.23</v>
      </c>
      <c r="M339" s="0" t="n">
        <f aca="false">F339/E339</f>
        <v>0.00115066016191432</v>
      </c>
    </row>
    <row r="340" customFormat="false" ht="12.8" hidden="false" customHeight="false" outlineLevel="0" collapsed="false">
      <c r="A340" s="0" t="s">
        <v>557</v>
      </c>
      <c r="B340" s="0" t="s">
        <v>558</v>
      </c>
      <c r="C340" s="0" t="s">
        <v>19</v>
      </c>
      <c r="D340" s="0" t="s">
        <v>16</v>
      </c>
      <c r="E340" s="0" t="n">
        <v>33830.99</v>
      </c>
      <c r="F340" s="0" t="n">
        <v>345</v>
      </c>
      <c r="G340" s="0" t="str">
        <f aca="false">IF(F340&lt;=30,"Current",IF(F340&lt;=60,"31 to 60 days",IF(F340&lt;=90,"61 to 90 days",IF(F340&lt;=120,"91 to 120 days","Over 120 days"))))</f>
        <v>Over 120 days</v>
      </c>
      <c r="H340" s="0" t="n">
        <f aca="false">VLOOKUP(D340,Rates!$A$4:$B$7,2,FALSE())</f>
        <v>0.085</v>
      </c>
      <c r="I340" s="0" t="n">
        <f aca="false">VLOOKUP(F340,Rates!$D$4:$E$8,2)</f>
        <v>0.85</v>
      </c>
      <c r="J340" s="0" t="n">
        <f aca="false">ROUND(E340*I340,2)</f>
        <v>28756.34</v>
      </c>
      <c r="K340" s="1" t="n">
        <f aca="false">PV(H340/12,F340/30,0,-E340)</f>
        <v>31193.3850935891</v>
      </c>
      <c r="L340" s="0" t="n">
        <f aca="false">ROUND(E340-K340,2)</f>
        <v>2637.6</v>
      </c>
      <c r="M340" s="0" t="n">
        <f aca="false">F340/E340</f>
        <v>0.0101977506422366</v>
      </c>
    </row>
    <row r="341" customFormat="false" ht="12.8" hidden="false" customHeight="false" outlineLevel="0" collapsed="false">
      <c r="A341" s="0" t="s">
        <v>559</v>
      </c>
      <c r="B341" s="0" t="s">
        <v>560</v>
      </c>
      <c r="C341" s="0" t="s">
        <v>26</v>
      </c>
      <c r="D341" s="0" t="s">
        <v>49</v>
      </c>
      <c r="E341" s="0" t="n">
        <v>8641.19</v>
      </c>
      <c r="F341" s="0" t="n">
        <v>205</v>
      </c>
      <c r="G341" s="0" t="str">
        <f aca="false">IF(F341&lt;=30,"Current",IF(F341&lt;=60,"31 to 60 days",IF(F341&lt;=90,"61 to 90 days",IF(F341&lt;=120,"91 to 120 days","Over 120 days"))))</f>
        <v>Over 120 days</v>
      </c>
      <c r="H341" s="0" t="n">
        <f aca="false">VLOOKUP(D341,Rates!$A$4:$B$7,2,FALSE())</f>
        <v>0.02</v>
      </c>
      <c r="I341" s="0" t="n">
        <f aca="false">VLOOKUP(F341,Rates!$D$4:$E$8,2)</f>
        <v>0.85</v>
      </c>
      <c r="J341" s="0" t="n">
        <f aca="false">ROUND(E341*I341,2)</f>
        <v>7345.01</v>
      </c>
      <c r="K341" s="1" t="n">
        <f aca="false">PV(H341/12,F341/30,0,-E341)</f>
        <v>8543.41572927008</v>
      </c>
      <c r="L341" s="0" t="n">
        <f aca="false">ROUND(E341-K341,2)</f>
        <v>97.77</v>
      </c>
      <c r="M341" s="0" t="n">
        <f aca="false">F341/E341</f>
        <v>0.0237235843674309</v>
      </c>
    </row>
    <row r="342" customFormat="false" ht="12.8" hidden="false" customHeight="false" outlineLevel="0" collapsed="false">
      <c r="A342" s="0" t="s">
        <v>561</v>
      </c>
      <c r="B342" s="0" t="s">
        <v>562</v>
      </c>
      <c r="C342" s="0" t="s">
        <v>15</v>
      </c>
      <c r="D342" s="0" t="s">
        <v>49</v>
      </c>
      <c r="E342" s="0" t="n">
        <v>31397.97</v>
      </c>
      <c r="F342" s="0" t="n">
        <v>391</v>
      </c>
      <c r="G342" s="0" t="str">
        <f aca="false">IF(F342&lt;=30,"Current",IF(F342&lt;=60,"31 to 60 days",IF(F342&lt;=90,"61 to 90 days",IF(F342&lt;=120,"91 to 120 days","Over 120 days"))))</f>
        <v>Over 120 days</v>
      </c>
      <c r="H342" s="0" t="n">
        <f aca="false">VLOOKUP(D342,Rates!$A$4:$B$7,2,FALSE())</f>
        <v>0.02</v>
      </c>
      <c r="I342" s="0" t="n">
        <f aca="false">VLOOKUP(F342,Rates!$D$4:$E$8,2)</f>
        <v>0.85</v>
      </c>
      <c r="J342" s="0" t="n">
        <f aca="false">ROUND(E342*I342,2)</f>
        <v>26688.27</v>
      </c>
      <c r="K342" s="1" t="n">
        <f aca="false">PV(H342/12,F342/30,0,-E342)</f>
        <v>30723.8461514278</v>
      </c>
      <c r="L342" s="0" t="n">
        <f aca="false">ROUND(E342-K342,2)</f>
        <v>674.12</v>
      </c>
      <c r="M342" s="0" t="n">
        <f aca="false">F342/E342</f>
        <v>0.0124530343840701</v>
      </c>
    </row>
    <row r="343" customFormat="false" ht="12.8" hidden="false" customHeight="false" outlineLevel="0" collapsed="false">
      <c r="A343" s="0" t="s">
        <v>563</v>
      </c>
      <c r="B343" s="0" t="s">
        <v>344</v>
      </c>
      <c r="C343" s="0" t="s">
        <v>42</v>
      </c>
      <c r="D343" s="0" t="s">
        <v>16</v>
      </c>
      <c r="E343" s="0" t="n">
        <v>29038.85</v>
      </c>
      <c r="F343" s="0" t="n">
        <v>146</v>
      </c>
      <c r="G343" s="0" t="str">
        <f aca="false">IF(F343&lt;=30,"Current",IF(F343&lt;=60,"31 to 60 days",IF(F343&lt;=90,"61 to 90 days",IF(F343&lt;=120,"91 to 120 days","Over 120 days"))))</f>
        <v>Over 120 days</v>
      </c>
      <c r="H343" s="0" t="n">
        <f aca="false">VLOOKUP(D343,Rates!$A$4:$B$7,2,FALSE())</f>
        <v>0.085</v>
      </c>
      <c r="I343" s="0" t="n">
        <f aca="false">VLOOKUP(F343,Rates!$D$4:$E$8,2)</f>
        <v>0.85</v>
      </c>
      <c r="J343" s="0" t="n">
        <f aca="false">ROUND(E343*I343,2)</f>
        <v>24683.02</v>
      </c>
      <c r="K343" s="1" t="n">
        <f aca="false">PV(H343/12,F343/30,0,-E343)</f>
        <v>28058.2829870271</v>
      </c>
      <c r="L343" s="0" t="n">
        <f aca="false">ROUND(E343-K343,2)</f>
        <v>980.57</v>
      </c>
      <c r="M343" s="0" t="n">
        <f aca="false">F343/E343</f>
        <v>0.00502774731093001</v>
      </c>
    </row>
    <row r="344" customFormat="false" ht="12.8" hidden="false" customHeight="false" outlineLevel="0" collapsed="false">
      <c r="A344" s="0" t="s">
        <v>564</v>
      </c>
      <c r="B344" s="0" t="s">
        <v>51</v>
      </c>
      <c r="C344" s="0" t="s">
        <v>36</v>
      </c>
      <c r="D344" s="0" t="s">
        <v>20</v>
      </c>
      <c r="E344" s="0" t="n">
        <v>35204.86</v>
      </c>
      <c r="F344" s="0" t="n">
        <v>334</v>
      </c>
      <c r="G344" s="0" t="str">
        <f aca="false">IF(F344&lt;=30,"Current",IF(F344&lt;=60,"31 to 60 days",IF(F344&lt;=90,"61 to 90 days",IF(F344&lt;=120,"91 to 120 days","Over 120 days"))))</f>
        <v>Over 120 days</v>
      </c>
      <c r="H344" s="0" t="n">
        <f aca="false">VLOOKUP(D344,Rates!$A$4:$B$7,2,FALSE())</f>
        <v>0.05</v>
      </c>
      <c r="I344" s="0" t="n">
        <f aca="false">VLOOKUP(F344,Rates!$D$4:$E$8,2)</f>
        <v>0.85</v>
      </c>
      <c r="J344" s="0" t="n">
        <f aca="false">ROUND(E344*I344,2)</f>
        <v>29924.13</v>
      </c>
      <c r="K344" s="1" t="n">
        <f aca="false">PV(H344/12,F344/30,0,-E344)</f>
        <v>33612.2851049461</v>
      </c>
      <c r="L344" s="0" t="n">
        <f aca="false">ROUND(E344-K344,2)</f>
        <v>1592.57</v>
      </c>
      <c r="M344" s="0" t="n">
        <f aca="false">F344/E344</f>
        <v>0.00948732646572093</v>
      </c>
    </row>
    <row r="345" customFormat="false" ht="12.8" hidden="false" customHeight="false" outlineLevel="0" collapsed="false">
      <c r="A345" s="0" t="s">
        <v>565</v>
      </c>
      <c r="B345" s="0" t="s">
        <v>566</v>
      </c>
      <c r="C345" s="0" t="s">
        <v>31</v>
      </c>
      <c r="D345" s="0" t="s">
        <v>16</v>
      </c>
      <c r="E345" s="0" t="n">
        <v>9333.08</v>
      </c>
      <c r="F345" s="0" t="n">
        <v>270</v>
      </c>
      <c r="G345" s="0" t="str">
        <f aca="false">IF(F345&lt;=30,"Current",IF(F345&lt;=60,"31 to 60 days",IF(F345&lt;=90,"61 to 90 days",IF(F345&lt;=120,"91 to 120 days","Over 120 days"))))</f>
        <v>Over 120 days</v>
      </c>
      <c r="H345" s="0" t="n">
        <f aca="false">VLOOKUP(D345,Rates!$A$4:$B$7,2,FALSE())</f>
        <v>0.085</v>
      </c>
      <c r="I345" s="0" t="n">
        <f aca="false">VLOOKUP(F345,Rates!$D$4:$E$8,2)</f>
        <v>0.85</v>
      </c>
      <c r="J345" s="0" t="n">
        <f aca="false">ROUND(E345*I345,2)</f>
        <v>7933.12</v>
      </c>
      <c r="K345" s="1" t="n">
        <f aca="false">PV(H345/12,F345/30,0,-E345)</f>
        <v>8758.63261840106</v>
      </c>
      <c r="L345" s="0" t="n">
        <f aca="false">ROUND(E345-K345,2)</f>
        <v>574.45</v>
      </c>
      <c r="M345" s="0" t="n">
        <f aca="false">F345/E345</f>
        <v>0.0289293566539663</v>
      </c>
    </row>
    <row r="346" customFormat="false" ht="12.8" hidden="false" customHeight="false" outlineLevel="0" collapsed="false">
      <c r="A346" s="0" t="s">
        <v>567</v>
      </c>
      <c r="B346" s="0" t="s">
        <v>285</v>
      </c>
      <c r="C346" s="0" t="s">
        <v>36</v>
      </c>
      <c r="D346" s="0" t="s">
        <v>23</v>
      </c>
      <c r="E346" s="0" t="n">
        <v>7692.6</v>
      </c>
      <c r="F346" s="0" t="n">
        <v>359</v>
      </c>
      <c r="G346" s="0" t="str">
        <f aca="false">IF(F346&lt;=30,"Current",IF(F346&lt;=60,"31 to 60 days",IF(F346&lt;=90,"61 to 90 days",IF(F346&lt;=120,"91 to 120 days","Over 120 days"))))</f>
        <v>Over 120 days</v>
      </c>
      <c r="H346" s="0" t="n">
        <f aca="false">VLOOKUP(D346,Rates!$A$4:$B$7,2,FALSE())</f>
        <v>0.115</v>
      </c>
      <c r="I346" s="0" t="n">
        <f aca="false">VLOOKUP(F346,Rates!$D$4:$E$8,2)</f>
        <v>0.85</v>
      </c>
      <c r="J346" s="0" t="n">
        <f aca="false">ROUND(E346*I346,2)</f>
        <v>6538.71</v>
      </c>
      <c r="K346" s="1" t="n">
        <f aca="false">PV(H346/12,F346/30,0,-E346)</f>
        <v>6862.8602267851</v>
      </c>
      <c r="L346" s="0" t="n">
        <f aca="false">ROUND(E346-K346,2)</f>
        <v>829.74</v>
      </c>
      <c r="M346" s="0" t="n">
        <f aca="false">F346/E346</f>
        <v>0.0466682266073889</v>
      </c>
    </row>
    <row r="347" customFormat="false" ht="12.8" hidden="false" customHeight="false" outlineLevel="0" collapsed="false">
      <c r="A347" s="0" t="s">
        <v>568</v>
      </c>
      <c r="B347" s="0" t="s">
        <v>569</v>
      </c>
      <c r="C347" s="0" t="s">
        <v>15</v>
      </c>
      <c r="D347" s="0" t="s">
        <v>16</v>
      </c>
      <c r="E347" s="0" t="n">
        <v>15478.65</v>
      </c>
      <c r="F347" s="0" t="n">
        <v>336</v>
      </c>
      <c r="G347" s="0" t="str">
        <f aca="false">IF(F347&lt;=30,"Current",IF(F347&lt;=60,"31 to 60 days",IF(F347&lt;=90,"61 to 90 days",IF(F347&lt;=120,"91 to 120 days","Over 120 days"))))</f>
        <v>Over 120 days</v>
      </c>
      <c r="H347" s="0" t="n">
        <f aca="false">VLOOKUP(D347,Rates!$A$4:$B$7,2,FALSE())</f>
        <v>0.085</v>
      </c>
      <c r="I347" s="0" t="n">
        <f aca="false">VLOOKUP(F347,Rates!$D$4:$E$8,2)</f>
        <v>0.85</v>
      </c>
      <c r="J347" s="0" t="n">
        <f aca="false">ROUND(E347*I347,2)</f>
        <v>13156.85</v>
      </c>
      <c r="K347" s="1" t="n">
        <f aca="false">PV(H347/12,F347/30,0,-E347)</f>
        <v>14302.1228048605</v>
      </c>
      <c r="L347" s="0" t="n">
        <f aca="false">ROUND(E347-K347,2)</f>
        <v>1176.53</v>
      </c>
      <c r="M347" s="0" t="n">
        <f aca="false">F347/E347</f>
        <v>0.0217073194367726</v>
      </c>
    </row>
    <row r="348" customFormat="false" ht="12.8" hidden="false" customHeight="false" outlineLevel="0" collapsed="false">
      <c r="A348" s="0" t="s">
        <v>570</v>
      </c>
      <c r="B348" s="0" t="s">
        <v>413</v>
      </c>
      <c r="C348" s="0" t="s">
        <v>36</v>
      </c>
      <c r="D348" s="0" t="s">
        <v>23</v>
      </c>
      <c r="E348" s="0" t="n">
        <v>43945.13</v>
      </c>
      <c r="F348" s="0" t="n">
        <v>313</v>
      </c>
      <c r="G348" s="0" t="str">
        <f aca="false">IF(F348&lt;=30,"Current",IF(F348&lt;=60,"31 to 60 days",IF(F348&lt;=90,"61 to 90 days",IF(F348&lt;=120,"91 to 120 days","Over 120 days"))))</f>
        <v>Over 120 days</v>
      </c>
      <c r="H348" s="0" t="n">
        <f aca="false">VLOOKUP(D348,Rates!$A$4:$B$7,2,FALSE())</f>
        <v>0.115</v>
      </c>
      <c r="I348" s="0" t="n">
        <f aca="false">VLOOKUP(F348,Rates!$D$4:$E$8,2)</f>
        <v>0.85</v>
      </c>
      <c r="J348" s="0" t="n">
        <f aca="false">ROUND(E348*I348,2)</f>
        <v>37353.36</v>
      </c>
      <c r="K348" s="1" t="n">
        <f aca="false">PV(H348/12,F348/30,0,-E348)</f>
        <v>39782.6847135013</v>
      </c>
      <c r="L348" s="0" t="n">
        <f aca="false">ROUND(E348-K348,2)</f>
        <v>4162.45</v>
      </c>
      <c r="M348" s="0" t="n">
        <f aca="false">F348/E348</f>
        <v>0.0071225184679167</v>
      </c>
    </row>
    <row r="349" customFormat="false" ht="12.8" hidden="false" customHeight="false" outlineLevel="0" collapsed="false">
      <c r="A349" s="0" t="s">
        <v>571</v>
      </c>
      <c r="B349" s="0" t="s">
        <v>572</v>
      </c>
      <c r="C349" s="0" t="s">
        <v>15</v>
      </c>
      <c r="D349" s="0" t="s">
        <v>16</v>
      </c>
      <c r="E349" s="0" t="n">
        <v>7261.16</v>
      </c>
      <c r="F349" s="0" t="n">
        <v>93</v>
      </c>
      <c r="G349" s="0" t="str">
        <f aca="false">IF(F349&lt;=30,"Current",IF(F349&lt;=60,"31 to 60 days",IF(F349&lt;=90,"61 to 90 days",IF(F349&lt;=120,"91 to 120 days","Over 120 days"))))</f>
        <v>91 to 120 days</v>
      </c>
      <c r="H349" s="0" t="n">
        <f aca="false">VLOOKUP(D349,Rates!$A$4:$B$7,2,FALSE())</f>
        <v>0.085</v>
      </c>
      <c r="I349" s="0" t="n">
        <f aca="false">VLOOKUP(F349,Rates!$D$4:$E$8,2)</f>
        <v>0.5</v>
      </c>
      <c r="J349" s="0" t="n">
        <f aca="false">ROUND(E349*I349,2)</f>
        <v>3630.58</v>
      </c>
      <c r="K349" s="1" t="n">
        <f aca="false">PV(H349/12,F349/30,0,-E349)</f>
        <v>7104.00469189998</v>
      </c>
      <c r="L349" s="0" t="n">
        <f aca="false">ROUND(E349-K349,2)</f>
        <v>157.16</v>
      </c>
      <c r="M349" s="0" t="n">
        <f aca="false">F349/E349</f>
        <v>0.0128078709186962</v>
      </c>
    </row>
    <row r="350" customFormat="false" ht="12.8" hidden="false" customHeight="false" outlineLevel="0" collapsed="false">
      <c r="A350" s="0" t="s">
        <v>573</v>
      </c>
      <c r="B350" s="0" t="s">
        <v>30</v>
      </c>
      <c r="C350" s="0" t="s">
        <v>31</v>
      </c>
      <c r="D350" s="0" t="s">
        <v>20</v>
      </c>
      <c r="E350" s="0" t="n">
        <v>18637.89</v>
      </c>
      <c r="F350" s="0" t="n">
        <v>83</v>
      </c>
      <c r="G350" s="0" t="str">
        <f aca="false">IF(F350&lt;=30,"Current",IF(F350&lt;=60,"31 to 60 days",IF(F350&lt;=90,"61 to 90 days",IF(F350&lt;=120,"91 to 120 days","Over 120 days"))))</f>
        <v>61 to 90 days</v>
      </c>
      <c r="H350" s="0" t="n">
        <f aca="false">VLOOKUP(D350,Rates!$A$4:$B$7,2,FALSE())</f>
        <v>0.05</v>
      </c>
      <c r="I350" s="0" t="n">
        <f aca="false">VLOOKUP(F350,Rates!$D$4:$E$8,2)</f>
        <v>0.25</v>
      </c>
      <c r="J350" s="0" t="n">
        <f aca="false">ROUND(E350*I350,2)</f>
        <v>4659.47</v>
      </c>
      <c r="K350" s="1" t="n">
        <f aca="false">PV(H350/12,F350/30,0,-E350)</f>
        <v>18424.7114533436</v>
      </c>
      <c r="L350" s="0" t="n">
        <f aca="false">ROUND(E350-K350,2)</f>
        <v>213.18</v>
      </c>
      <c r="M350" s="0" t="n">
        <f aca="false">F350/E350</f>
        <v>0.00445329380096138</v>
      </c>
    </row>
    <row r="351" customFormat="false" ht="12.8" hidden="false" customHeight="false" outlineLevel="0" collapsed="false">
      <c r="A351" s="0" t="s">
        <v>574</v>
      </c>
      <c r="B351" s="0" t="s">
        <v>575</v>
      </c>
      <c r="C351" s="0" t="s">
        <v>36</v>
      </c>
      <c r="D351" s="0" t="s">
        <v>49</v>
      </c>
      <c r="E351" s="0" t="n">
        <v>37100.3</v>
      </c>
      <c r="F351" s="0" t="n">
        <v>52</v>
      </c>
      <c r="G351" s="0" t="str">
        <f aca="false">IF(F351&lt;=30,"Current",IF(F351&lt;=60,"31 to 60 days",IF(F351&lt;=90,"61 to 90 days",IF(F351&lt;=120,"91 to 120 days","Over 120 days"))))</f>
        <v>31 to 60 days</v>
      </c>
      <c r="H351" s="0" t="n">
        <f aca="false">VLOOKUP(D351,Rates!$A$4:$B$7,2,FALSE())</f>
        <v>0.02</v>
      </c>
      <c r="I351" s="0" t="n">
        <f aca="false">VLOOKUP(F351,Rates!$D$4:$E$8,2)</f>
        <v>0.1</v>
      </c>
      <c r="J351" s="0" t="n">
        <f aca="false">ROUND(E351*I351,2)</f>
        <v>3710.03</v>
      </c>
      <c r="K351" s="1" t="n">
        <f aca="false">PV(H351/12,F351/30,0,-E351)</f>
        <v>36993.3649793449</v>
      </c>
      <c r="L351" s="0" t="n">
        <f aca="false">ROUND(E351-K351,2)</f>
        <v>106.94</v>
      </c>
      <c r="M351" s="0" t="n">
        <f aca="false">F351/E351</f>
        <v>0.00140160591693329</v>
      </c>
    </row>
    <row r="352" customFormat="false" ht="12.8" hidden="false" customHeight="false" outlineLevel="0" collapsed="false">
      <c r="A352" s="0" t="s">
        <v>576</v>
      </c>
      <c r="B352" s="0" t="s">
        <v>51</v>
      </c>
      <c r="C352" s="0" t="s">
        <v>36</v>
      </c>
      <c r="D352" s="0" t="s">
        <v>20</v>
      </c>
      <c r="E352" s="0" t="n">
        <v>25004.01</v>
      </c>
      <c r="F352" s="0" t="n">
        <v>316</v>
      </c>
      <c r="G352" s="0" t="str">
        <f aca="false">IF(F352&lt;=30,"Current",IF(F352&lt;=60,"31 to 60 days",IF(F352&lt;=90,"61 to 90 days",IF(F352&lt;=120,"91 to 120 days","Over 120 days"))))</f>
        <v>Over 120 days</v>
      </c>
      <c r="H352" s="0" t="n">
        <f aca="false">VLOOKUP(D352,Rates!$A$4:$B$7,2,FALSE())</f>
        <v>0.05</v>
      </c>
      <c r="I352" s="0" t="n">
        <f aca="false">VLOOKUP(F352,Rates!$D$4:$E$8,2)</f>
        <v>0.85</v>
      </c>
      <c r="J352" s="0" t="n">
        <f aca="false">ROUND(E352*I352,2)</f>
        <v>21253.41</v>
      </c>
      <c r="K352" s="1" t="n">
        <f aca="false">PV(H352/12,F352/30,0,-E352)</f>
        <v>23932.5272176787</v>
      </c>
      <c r="L352" s="0" t="n">
        <f aca="false">ROUND(E352-K352,2)</f>
        <v>1071.48</v>
      </c>
      <c r="M352" s="0" t="n">
        <f aca="false">F352/E352</f>
        <v>0.0126379728691518</v>
      </c>
    </row>
    <row r="353" customFormat="false" ht="12.8" hidden="false" customHeight="false" outlineLevel="0" collapsed="false">
      <c r="A353" s="0" t="s">
        <v>577</v>
      </c>
      <c r="B353" s="0" t="s">
        <v>33</v>
      </c>
      <c r="C353" s="0" t="s">
        <v>26</v>
      </c>
      <c r="D353" s="0" t="s">
        <v>20</v>
      </c>
      <c r="E353" s="0" t="n">
        <v>18303.01</v>
      </c>
      <c r="F353" s="0" t="n">
        <v>176</v>
      </c>
      <c r="G353" s="0" t="str">
        <f aca="false">IF(F353&lt;=30,"Current",IF(F353&lt;=60,"31 to 60 days",IF(F353&lt;=90,"61 to 90 days",IF(F353&lt;=120,"91 to 120 days","Over 120 days"))))</f>
        <v>Over 120 days</v>
      </c>
      <c r="H353" s="0" t="n">
        <f aca="false">VLOOKUP(D353,Rates!$A$4:$B$7,2,FALSE())</f>
        <v>0.05</v>
      </c>
      <c r="I353" s="0" t="n">
        <f aca="false">VLOOKUP(F353,Rates!$D$4:$E$8,2)</f>
        <v>0.85</v>
      </c>
      <c r="J353" s="0" t="n">
        <f aca="false">ROUND(E353*I353,2)</f>
        <v>15557.56</v>
      </c>
      <c r="K353" s="1" t="n">
        <f aca="false">PV(H353/12,F353/30,0,-E353)</f>
        <v>17861.9342035807</v>
      </c>
      <c r="L353" s="0" t="n">
        <f aca="false">ROUND(E353-K353,2)</f>
        <v>441.08</v>
      </c>
      <c r="M353" s="0" t="n">
        <f aca="false">F353/E353</f>
        <v>0.00961590470638436</v>
      </c>
    </row>
    <row r="354" customFormat="false" ht="12.8" hidden="false" customHeight="false" outlineLevel="0" collapsed="false">
      <c r="A354" s="0" t="s">
        <v>578</v>
      </c>
      <c r="B354" s="0" t="s">
        <v>579</v>
      </c>
      <c r="C354" s="0" t="s">
        <v>36</v>
      </c>
      <c r="D354" s="0" t="s">
        <v>49</v>
      </c>
      <c r="E354" s="0" t="n">
        <v>27163.6</v>
      </c>
      <c r="F354" s="0" t="n">
        <v>84</v>
      </c>
      <c r="G354" s="0" t="str">
        <f aca="false">IF(F354&lt;=30,"Current",IF(F354&lt;=60,"31 to 60 days",IF(F354&lt;=90,"61 to 90 days",IF(F354&lt;=120,"91 to 120 days","Over 120 days"))))</f>
        <v>61 to 90 days</v>
      </c>
      <c r="H354" s="0" t="n">
        <f aca="false">VLOOKUP(D354,Rates!$A$4:$B$7,2,FALSE())</f>
        <v>0.02</v>
      </c>
      <c r="I354" s="0" t="n">
        <f aca="false">VLOOKUP(F354,Rates!$D$4:$E$8,2)</f>
        <v>0.25</v>
      </c>
      <c r="J354" s="0" t="n">
        <f aca="false">ROUND(E354*I354,2)</f>
        <v>6790.9</v>
      </c>
      <c r="K354" s="1" t="n">
        <f aca="false">PV(H354/12,F354/30,0,-E354)</f>
        <v>27037.2368831118</v>
      </c>
      <c r="L354" s="0" t="n">
        <f aca="false">ROUND(E354-K354,2)</f>
        <v>126.36</v>
      </c>
      <c r="M354" s="0" t="n">
        <f aca="false">F354/E354</f>
        <v>0.00309237361763537</v>
      </c>
    </row>
    <row r="355" customFormat="false" ht="12.8" hidden="false" customHeight="false" outlineLevel="0" collapsed="false">
      <c r="A355" s="0" t="s">
        <v>580</v>
      </c>
      <c r="B355" s="0" t="s">
        <v>97</v>
      </c>
      <c r="C355" s="0" t="s">
        <v>42</v>
      </c>
      <c r="D355" s="0" t="s">
        <v>20</v>
      </c>
      <c r="E355" s="0" t="n">
        <v>818.45</v>
      </c>
      <c r="F355" s="0" t="n">
        <v>160</v>
      </c>
      <c r="G355" s="0" t="str">
        <f aca="false">IF(F355&lt;=30,"Current",IF(F355&lt;=60,"31 to 60 days",IF(F355&lt;=90,"61 to 90 days",IF(F355&lt;=120,"91 to 120 days","Over 120 days"))))</f>
        <v>Over 120 days</v>
      </c>
      <c r="H355" s="0" t="n">
        <f aca="false">VLOOKUP(D355,Rates!$A$4:$B$7,2,FALSE())</f>
        <v>0.05</v>
      </c>
      <c r="I355" s="0" t="n">
        <f aca="false">VLOOKUP(F355,Rates!$D$4:$E$8,2)</f>
        <v>0.85</v>
      </c>
      <c r="J355" s="0" t="n">
        <f aca="false">ROUND(E355*I355,2)</f>
        <v>695.68</v>
      </c>
      <c r="K355" s="1" t="n">
        <f aca="false">PV(H355/12,F355/30,0,-E355)</f>
        <v>800.499776682455</v>
      </c>
      <c r="L355" s="0" t="n">
        <f aca="false">ROUND(E355-K355,2)</f>
        <v>17.95</v>
      </c>
      <c r="M355" s="0" t="n">
        <f aca="false">F355/E355</f>
        <v>0.19549147779339</v>
      </c>
    </row>
    <row r="356" customFormat="false" ht="12.8" hidden="false" customHeight="false" outlineLevel="0" collapsed="false">
      <c r="A356" s="0" t="s">
        <v>581</v>
      </c>
      <c r="B356" s="0" t="s">
        <v>582</v>
      </c>
      <c r="C356" s="0" t="s">
        <v>31</v>
      </c>
      <c r="D356" s="0" t="s">
        <v>16</v>
      </c>
      <c r="E356" s="0" t="n">
        <v>18956.48</v>
      </c>
      <c r="F356" s="0" t="n">
        <v>178</v>
      </c>
      <c r="G356" s="0" t="str">
        <f aca="false">IF(F356&lt;=30,"Current",IF(F356&lt;=60,"31 to 60 days",IF(F356&lt;=90,"61 to 90 days",IF(F356&lt;=120,"91 to 120 days","Over 120 days"))))</f>
        <v>Over 120 days</v>
      </c>
      <c r="H356" s="0" t="n">
        <f aca="false">VLOOKUP(D356,Rates!$A$4:$B$7,2,FALSE())</f>
        <v>0.085</v>
      </c>
      <c r="I356" s="0" t="n">
        <f aca="false">VLOOKUP(F356,Rates!$D$4:$E$8,2)</f>
        <v>0.85</v>
      </c>
      <c r="J356" s="0" t="n">
        <f aca="false">ROUND(E356*I356,2)</f>
        <v>16113.01</v>
      </c>
      <c r="K356" s="1" t="n">
        <f aca="false">PV(H356/12,F356/30,0,-E356)</f>
        <v>18178.9839164367</v>
      </c>
      <c r="L356" s="0" t="n">
        <f aca="false">ROUND(E356-K356,2)</f>
        <v>777.5</v>
      </c>
      <c r="M356" s="0" t="n">
        <f aca="false">F356/E356</f>
        <v>0.00938992893195361</v>
      </c>
    </row>
    <row r="357" customFormat="false" ht="12.8" hidden="false" customHeight="false" outlineLevel="0" collapsed="false">
      <c r="A357" s="0" t="s">
        <v>583</v>
      </c>
      <c r="B357" s="0" t="s">
        <v>584</v>
      </c>
      <c r="C357" s="0" t="s">
        <v>19</v>
      </c>
      <c r="D357" s="0" t="s">
        <v>16</v>
      </c>
      <c r="E357" s="0" t="n">
        <v>3317.35</v>
      </c>
      <c r="F357" s="0" t="n">
        <v>386</v>
      </c>
      <c r="G357" s="0" t="str">
        <f aca="false">IF(F357&lt;=30,"Current",IF(F357&lt;=60,"31 to 60 days",IF(F357&lt;=90,"61 to 90 days",IF(F357&lt;=120,"91 to 120 days","Over 120 days"))))</f>
        <v>Over 120 days</v>
      </c>
      <c r="H357" s="0" t="n">
        <f aca="false">VLOOKUP(D357,Rates!$A$4:$B$7,2,FALSE())</f>
        <v>0.085</v>
      </c>
      <c r="I357" s="0" t="n">
        <f aca="false">VLOOKUP(F357,Rates!$D$4:$E$8,2)</f>
        <v>0.85</v>
      </c>
      <c r="J357" s="0" t="n">
        <f aca="false">ROUND(E357*I357,2)</f>
        <v>2819.75</v>
      </c>
      <c r="K357" s="1" t="n">
        <f aca="false">PV(H357/12,F357/30,0,-E357)</f>
        <v>3029.35174141607</v>
      </c>
      <c r="L357" s="0" t="n">
        <f aca="false">ROUND(E357-K357,2)</f>
        <v>288</v>
      </c>
      <c r="M357" s="0" t="n">
        <f aca="false">F357/E357</f>
        <v>0.11635793630458</v>
      </c>
    </row>
    <row r="358" customFormat="false" ht="12.8" hidden="false" customHeight="false" outlineLevel="0" collapsed="false">
      <c r="A358" s="0" t="s">
        <v>585</v>
      </c>
      <c r="B358" s="0" t="s">
        <v>239</v>
      </c>
      <c r="C358" s="0" t="s">
        <v>42</v>
      </c>
      <c r="D358" s="0" t="s">
        <v>23</v>
      </c>
      <c r="E358" s="0" t="n">
        <v>6682.04</v>
      </c>
      <c r="F358" s="0" t="n">
        <v>288</v>
      </c>
      <c r="G358" s="0" t="str">
        <f aca="false">IF(F358&lt;=30,"Current",IF(F358&lt;=60,"31 to 60 days",IF(F358&lt;=90,"61 to 90 days",IF(F358&lt;=120,"91 to 120 days","Over 120 days"))))</f>
        <v>Over 120 days</v>
      </c>
      <c r="H358" s="0" t="n">
        <f aca="false">VLOOKUP(D358,Rates!$A$4:$B$7,2,FALSE())</f>
        <v>0.115</v>
      </c>
      <c r="I358" s="0" t="n">
        <f aca="false">VLOOKUP(F358,Rates!$D$4:$E$8,2)</f>
        <v>0.85</v>
      </c>
      <c r="J358" s="0" t="n">
        <f aca="false">ROUND(E358*I358,2)</f>
        <v>5679.73</v>
      </c>
      <c r="K358" s="1" t="n">
        <f aca="false">PV(H358/12,F358/30,0,-E358)</f>
        <v>6097.39339241077</v>
      </c>
      <c r="L358" s="0" t="n">
        <f aca="false">ROUND(E358-K358,2)</f>
        <v>584.65</v>
      </c>
      <c r="M358" s="0" t="n">
        <f aca="false">F358/E358</f>
        <v>0.0431006099933553</v>
      </c>
    </row>
    <row r="359" customFormat="false" ht="12.8" hidden="false" customHeight="false" outlineLevel="0" collapsed="false">
      <c r="A359" s="0" t="s">
        <v>586</v>
      </c>
      <c r="B359" s="0" t="s">
        <v>587</v>
      </c>
      <c r="C359" s="0" t="s">
        <v>26</v>
      </c>
      <c r="D359" s="0" t="s">
        <v>16</v>
      </c>
      <c r="E359" s="0" t="n">
        <v>17202.1</v>
      </c>
      <c r="F359" s="0" t="n">
        <v>276</v>
      </c>
      <c r="G359" s="0" t="str">
        <f aca="false">IF(F359&lt;=30,"Current",IF(F359&lt;=60,"31 to 60 days",IF(F359&lt;=90,"61 to 90 days",IF(F359&lt;=120,"91 to 120 days","Over 120 days"))))</f>
        <v>Over 120 days</v>
      </c>
      <c r="H359" s="0" t="n">
        <f aca="false">VLOOKUP(D359,Rates!$A$4:$B$7,2,FALSE())</f>
        <v>0.085</v>
      </c>
      <c r="I359" s="0" t="n">
        <f aca="false">VLOOKUP(F359,Rates!$D$4:$E$8,2)</f>
        <v>0.85</v>
      </c>
      <c r="J359" s="0" t="n">
        <f aca="false">ROUND(E359*I359,2)</f>
        <v>14621.79</v>
      </c>
      <c r="K359" s="1" t="n">
        <f aca="false">PV(H359/12,F359/30,0,-E359)</f>
        <v>16120.544544908</v>
      </c>
      <c r="L359" s="0" t="n">
        <f aca="false">ROUND(E359-K359,2)</f>
        <v>1081.56</v>
      </c>
      <c r="M359" s="0" t="n">
        <f aca="false">F359/E359</f>
        <v>0.0160445526999611</v>
      </c>
    </row>
    <row r="360" customFormat="false" ht="12.8" hidden="false" customHeight="false" outlineLevel="0" collapsed="false">
      <c r="A360" s="0" t="s">
        <v>588</v>
      </c>
      <c r="B360" s="0" t="s">
        <v>534</v>
      </c>
      <c r="C360" s="0" t="s">
        <v>26</v>
      </c>
      <c r="D360" s="0" t="s">
        <v>23</v>
      </c>
      <c r="E360" s="0" t="n">
        <v>21682.34</v>
      </c>
      <c r="F360" s="0" t="n">
        <v>338</v>
      </c>
      <c r="G360" s="0" t="str">
        <f aca="false">IF(F360&lt;=30,"Current",IF(F360&lt;=60,"31 to 60 days",IF(F360&lt;=90,"61 to 90 days",IF(F360&lt;=120,"91 to 120 days","Over 120 days"))))</f>
        <v>Over 120 days</v>
      </c>
      <c r="H360" s="0" t="n">
        <f aca="false">VLOOKUP(D360,Rates!$A$4:$B$7,2,FALSE())</f>
        <v>0.115</v>
      </c>
      <c r="I360" s="0" t="n">
        <f aca="false">VLOOKUP(F360,Rates!$D$4:$E$8,2)</f>
        <v>0.85</v>
      </c>
      <c r="J360" s="0" t="n">
        <f aca="false">ROUND(E360*I360,2)</f>
        <v>18429.99</v>
      </c>
      <c r="K360" s="1" t="n">
        <f aca="false">PV(H360/12,F360/30,0,-E360)</f>
        <v>19473.2156931019</v>
      </c>
      <c r="L360" s="0" t="n">
        <f aca="false">ROUND(E360-K360,2)</f>
        <v>2209.12</v>
      </c>
      <c r="M360" s="0" t="n">
        <f aca="false">F360/E360</f>
        <v>0.0155887233573498</v>
      </c>
    </row>
    <row r="361" customFormat="false" ht="12.8" hidden="false" customHeight="false" outlineLevel="0" collapsed="false">
      <c r="A361" s="0" t="s">
        <v>589</v>
      </c>
      <c r="B361" s="0" t="s">
        <v>97</v>
      </c>
      <c r="C361" s="0" t="s">
        <v>42</v>
      </c>
      <c r="D361" s="0" t="s">
        <v>20</v>
      </c>
      <c r="E361" s="0" t="n">
        <v>26196.85</v>
      </c>
      <c r="F361" s="0" t="n">
        <v>0</v>
      </c>
      <c r="G361" s="0" t="str">
        <f aca="false">IF(F361&lt;=30,"Current",IF(F361&lt;=60,"31 to 60 days",IF(F361&lt;=90,"61 to 90 days",IF(F361&lt;=120,"91 to 120 days","Over 120 days"))))</f>
        <v>Current</v>
      </c>
      <c r="H361" s="0" t="n">
        <f aca="false">VLOOKUP(D361,Rates!$A$4:$B$7,2,FALSE())</f>
        <v>0.05</v>
      </c>
      <c r="I361" s="0" t="n">
        <f aca="false">VLOOKUP(F361,Rates!$D$4:$E$8,2)</f>
        <v>0.02</v>
      </c>
      <c r="J361" s="0" t="n">
        <f aca="false">ROUND(E361*I361,2)</f>
        <v>523.94</v>
      </c>
      <c r="K361" s="1" t="n">
        <f aca="false">PV(H361/12,F361/30,0,-E361)</f>
        <v>26196.85</v>
      </c>
      <c r="L361" s="0" t="n">
        <f aca="false">ROUND(E361-K361,2)</f>
        <v>0</v>
      </c>
      <c r="M361" s="0" t="n">
        <f aca="false">F361/E361</f>
        <v>0</v>
      </c>
    </row>
    <row r="362" customFormat="false" ht="12.8" hidden="false" customHeight="false" outlineLevel="0" collapsed="false">
      <c r="A362" s="0" t="s">
        <v>590</v>
      </c>
      <c r="B362" s="0" t="s">
        <v>591</v>
      </c>
      <c r="C362" s="0" t="s">
        <v>15</v>
      </c>
      <c r="D362" s="0" t="s">
        <v>16</v>
      </c>
      <c r="E362" s="0" t="n">
        <v>7183.94</v>
      </c>
      <c r="F362" s="0" t="n">
        <v>84</v>
      </c>
      <c r="G362" s="0" t="str">
        <f aca="false">IF(F362&lt;=30,"Current",IF(F362&lt;=60,"31 to 60 days",IF(F362&lt;=90,"61 to 90 days",IF(F362&lt;=120,"91 to 120 days","Over 120 days"))))</f>
        <v>61 to 90 days</v>
      </c>
      <c r="H362" s="0" t="n">
        <f aca="false">VLOOKUP(D362,Rates!$A$4:$B$7,2,FALSE())</f>
        <v>0.085</v>
      </c>
      <c r="I362" s="0" t="n">
        <f aca="false">VLOOKUP(F362,Rates!$D$4:$E$8,2)</f>
        <v>0.25</v>
      </c>
      <c r="J362" s="0" t="n">
        <f aca="false">ROUND(E362*I362,2)</f>
        <v>1795.99</v>
      </c>
      <c r="K362" s="1" t="n">
        <f aca="false">PV(H362/12,F362/30,0,-E362)</f>
        <v>7043.35457523618</v>
      </c>
      <c r="L362" s="0" t="n">
        <f aca="false">ROUND(E362-K362,2)</f>
        <v>140.59</v>
      </c>
      <c r="M362" s="0" t="n">
        <f aca="false">F362/E362</f>
        <v>0.0116927479906569</v>
      </c>
    </row>
    <row r="363" customFormat="false" ht="12.8" hidden="false" customHeight="false" outlineLevel="0" collapsed="false">
      <c r="A363" s="0" t="s">
        <v>592</v>
      </c>
      <c r="B363" s="0" t="s">
        <v>140</v>
      </c>
      <c r="C363" s="0" t="s">
        <v>15</v>
      </c>
      <c r="D363" s="0" t="s">
        <v>16</v>
      </c>
      <c r="E363" s="0" t="n">
        <v>531.24</v>
      </c>
      <c r="F363" s="0" t="n">
        <v>18</v>
      </c>
      <c r="G363" s="0" t="str">
        <f aca="false">IF(F363&lt;=30,"Current",IF(F363&lt;=60,"31 to 60 days",IF(F363&lt;=90,"61 to 90 days",IF(F363&lt;=120,"91 to 120 days","Over 120 days"))))</f>
        <v>Current</v>
      </c>
      <c r="H363" s="0" t="n">
        <f aca="false">VLOOKUP(D363,Rates!$A$4:$B$7,2,FALSE())</f>
        <v>0.085</v>
      </c>
      <c r="I363" s="0" t="n">
        <f aca="false">VLOOKUP(F363,Rates!$D$4:$E$8,2)</f>
        <v>0.02</v>
      </c>
      <c r="J363" s="0" t="n">
        <f aca="false">ROUND(E363*I363,2)</f>
        <v>10.62</v>
      </c>
      <c r="K363" s="1" t="n">
        <f aca="false">PV(H363/12,F363/30,0,-E363)</f>
        <v>528.99494598633</v>
      </c>
      <c r="L363" s="0" t="n">
        <f aca="false">ROUND(E363-K363,2)</f>
        <v>2.25</v>
      </c>
      <c r="M363" s="0" t="n">
        <f aca="false">F363/E363</f>
        <v>0.0338829907386492</v>
      </c>
    </row>
    <row r="364" customFormat="false" ht="12.8" hidden="false" customHeight="false" outlineLevel="0" collapsed="false">
      <c r="A364" s="0" t="s">
        <v>593</v>
      </c>
      <c r="B364" s="0" t="s">
        <v>594</v>
      </c>
      <c r="C364" s="0" t="s">
        <v>42</v>
      </c>
      <c r="D364" s="0" t="s">
        <v>49</v>
      </c>
      <c r="E364" s="0" t="n">
        <v>44294.15</v>
      </c>
      <c r="F364" s="0" t="n">
        <v>260</v>
      </c>
      <c r="G364" s="0" t="str">
        <f aca="false">IF(F364&lt;=30,"Current",IF(F364&lt;=60,"31 to 60 days",IF(F364&lt;=90,"61 to 90 days",IF(F364&lt;=120,"91 to 120 days","Over 120 days"))))</f>
        <v>Over 120 days</v>
      </c>
      <c r="H364" s="0" t="n">
        <f aca="false">VLOOKUP(D364,Rates!$A$4:$B$7,2,FALSE())</f>
        <v>0.02</v>
      </c>
      <c r="I364" s="0" t="n">
        <f aca="false">VLOOKUP(F364,Rates!$D$4:$E$8,2)</f>
        <v>0.85</v>
      </c>
      <c r="J364" s="0" t="n">
        <f aca="false">ROUND(E364*I364,2)</f>
        <v>37650.03</v>
      </c>
      <c r="K364" s="1" t="n">
        <f aca="false">PV(H364/12,F364/30,0,-E364)</f>
        <v>43659.469196652</v>
      </c>
      <c r="L364" s="0" t="n">
        <f aca="false">ROUND(E364-K364,2)</f>
        <v>634.68</v>
      </c>
      <c r="M364" s="0" t="n">
        <f aca="false">F364/E364</f>
        <v>0.00586984963025591</v>
      </c>
    </row>
    <row r="365" customFormat="false" ht="12.8" hidden="false" customHeight="false" outlineLevel="0" collapsed="false">
      <c r="A365" s="0" t="s">
        <v>595</v>
      </c>
      <c r="B365" s="0" t="s">
        <v>596</v>
      </c>
      <c r="C365" s="0" t="s">
        <v>31</v>
      </c>
      <c r="D365" s="0" t="s">
        <v>49</v>
      </c>
      <c r="E365" s="0" t="n">
        <v>13694.84</v>
      </c>
      <c r="F365" s="0" t="n">
        <v>162</v>
      </c>
      <c r="G365" s="0" t="str">
        <f aca="false">IF(F365&lt;=30,"Current",IF(F365&lt;=60,"31 to 60 days",IF(F365&lt;=90,"61 to 90 days",IF(F365&lt;=120,"91 to 120 days","Over 120 days"))))</f>
        <v>Over 120 days</v>
      </c>
      <c r="H365" s="0" t="n">
        <f aca="false">VLOOKUP(D365,Rates!$A$4:$B$7,2,FALSE())</f>
        <v>0.02</v>
      </c>
      <c r="I365" s="0" t="n">
        <f aca="false">VLOOKUP(F365,Rates!$D$4:$E$8,2)</f>
        <v>0.85</v>
      </c>
      <c r="J365" s="0" t="n">
        <f aca="false">ROUND(E365*I365,2)</f>
        <v>11640.61</v>
      </c>
      <c r="K365" s="1" t="n">
        <f aca="false">PV(H365/12,F365/30,0,-E365)</f>
        <v>13572.2410993006</v>
      </c>
      <c r="L365" s="0" t="n">
        <f aca="false">ROUND(E365-K365,2)</f>
        <v>122.6</v>
      </c>
      <c r="M365" s="0" t="n">
        <f aca="false">F365/E365</f>
        <v>0.0118292729232324</v>
      </c>
    </row>
    <row r="366" customFormat="false" ht="12.8" hidden="false" customHeight="false" outlineLevel="0" collapsed="false">
      <c r="A366" s="0" t="s">
        <v>597</v>
      </c>
      <c r="B366" s="0" t="s">
        <v>598</v>
      </c>
      <c r="C366" s="0" t="s">
        <v>15</v>
      </c>
      <c r="D366" s="0" t="s">
        <v>49</v>
      </c>
      <c r="E366" s="0" t="n">
        <v>31550.98</v>
      </c>
      <c r="F366" s="0" t="n">
        <v>291</v>
      </c>
      <c r="G366" s="0" t="str">
        <f aca="false">IF(F366&lt;=30,"Current",IF(F366&lt;=60,"31 to 60 days",IF(F366&lt;=90,"61 to 90 days",IF(F366&lt;=120,"91 to 120 days","Over 120 days"))))</f>
        <v>Over 120 days</v>
      </c>
      <c r="H366" s="0" t="n">
        <f aca="false">VLOOKUP(D366,Rates!$A$4:$B$7,2,FALSE())</f>
        <v>0.02</v>
      </c>
      <c r="I366" s="0" t="n">
        <f aca="false">VLOOKUP(F366,Rates!$D$4:$E$8,2)</f>
        <v>0.85</v>
      </c>
      <c r="J366" s="0" t="n">
        <f aca="false">ROUND(E366*I366,2)</f>
        <v>26818.33</v>
      </c>
      <c r="K366" s="1" t="n">
        <f aca="false">PV(H366/12,F366/30,0,-E366)</f>
        <v>31045.4245774191</v>
      </c>
      <c r="L366" s="0" t="n">
        <f aca="false">ROUND(E366-K366,2)</f>
        <v>505.56</v>
      </c>
      <c r="M366" s="0" t="n">
        <f aca="false">F366/E366</f>
        <v>0.00922316834532557</v>
      </c>
    </row>
    <row r="367" customFormat="false" ht="12.8" hidden="false" customHeight="false" outlineLevel="0" collapsed="false">
      <c r="A367" s="0" t="s">
        <v>599</v>
      </c>
      <c r="B367" s="0" t="s">
        <v>51</v>
      </c>
      <c r="C367" s="0" t="s">
        <v>36</v>
      </c>
      <c r="D367" s="0" t="s">
        <v>20</v>
      </c>
      <c r="E367" s="0" t="n">
        <v>23949.05</v>
      </c>
      <c r="F367" s="0" t="n">
        <v>14</v>
      </c>
      <c r="G367" s="0" t="str">
        <f aca="false">IF(F367&lt;=30,"Current",IF(F367&lt;=60,"31 to 60 days",IF(F367&lt;=90,"61 to 90 days",IF(F367&lt;=120,"91 to 120 days","Over 120 days"))))</f>
        <v>Current</v>
      </c>
      <c r="H367" s="0" t="n">
        <f aca="false">VLOOKUP(D367,Rates!$A$4:$B$7,2,FALSE())</f>
        <v>0.05</v>
      </c>
      <c r="I367" s="0" t="n">
        <f aca="false">VLOOKUP(F367,Rates!$D$4:$E$8,2)</f>
        <v>0.02</v>
      </c>
      <c r="J367" s="0" t="n">
        <f aca="false">ROUND(E367*I367,2)</f>
        <v>478.98</v>
      </c>
      <c r="K367" s="1" t="n">
        <f aca="false">PV(H367/12,F367/30,0,-E367)</f>
        <v>23902.6242069374</v>
      </c>
      <c r="L367" s="0" t="n">
        <f aca="false">ROUND(E367-K367,2)</f>
        <v>46.43</v>
      </c>
      <c r="M367" s="0" t="n">
        <f aca="false">F367/E367</f>
        <v>0.000584574335933993</v>
      </c>
    </row>
    <row r="368" customFormat="false" ht="12.8" hidden="false" customHeight="false" outlineLevel="0" collapsed="false">
      <c r="A368" s="0" t="s">
        <v>600</v>
      </c>
      <c r="B368" s="0" t="s">
        <v>33</v>
      </c>
      <c r="C368" s="0" t="s">
        <v>26</v>
      </c>
      <c r="D368" s="0" t="s">
        <v>20</v>
      </c>
      <c r="E368" s="0" t="n">
        <v>38351.27</v>
      </c>
      <c r="F368" s="0" t="n">
        <v>169</v>
      </c>
      <c r="G368" s="0" t="str">
        <f aca="false">IF(F368&lt;=30,"Current",IF(F368&lt;=60,"31 to 60 days",IF(F368&lt;=90,"61 to 90 days",IF(F368&lt;=120,"91 to 120 days","Over 120 days"))))</f>
        <v>Over 120 days</v>
      </c>
      <c r="H368" s="0" t="n">
        <f aca="false">VLOOKUP(D368,Rates!$A$4:$B$7,2,FALSE())</f>
        <v>0.05</v>
      </c>
      <c r="I368" s="0" t="n">
        <f aca="false">VLOOKUP(F368,Rates!$D$4:$E$8,2)</f>
        <v>0.85</v>
      </c>
      <c r="J368" s="0" t="n">
        <f aca="false">ROUND(E368*I368,2)</f>
        <v>32598.58</v>
      </c>
      <c r="K368" s="1" t="n">
        <f aca="false">PV(H368/12,F368/30,0,-E368)</f>
        <v>37463.3898756078</v>
      </c>
      <c r="L368" s="0" t="n">
        <f aca="false">ROUND(E368-K368,2)</f>
        <v>887.88</v>
      </c>
      <c r="M368" s="0" t="n">
        <f aca="false">F368/E368</f>
        <v>0.00440663373077345</v>
      </c>
    </row>
    <row r="369" customFormat="false" ht="12.8" hidden="false" customHeight="false" outlineLevel="0" collapsed="false">
      <c r="A369" s="0" t="s">
        <v>601</v>
      </c>
      <c r="B369" s="0" t="s">
        <v>120</v>
      </c>
      <c r="C369" s="0" t="s">
        <v>31</v>
      </c>
      <c r="D369" s="0" t="s">
        <v>23</v>
      </c>
      <c r="E369" s="0" t="n">
        <v>31728.09</v>
      </c>
      <c r="F369" s="0" t="n">
        <v>30</v>
      </c>
      <c r="G369" s="0" t="str">
        <f aca="false">IF(F369&lt;=30,"Current",IF(F369&lt;=60,"31 to 60 days",IF(F369&lt;=90,"61 to 90 days",IF(F369&lt;=120,"91 to 120 days","Over 120 days"))))</f>
        <v>Current</v>
      </c>
      <c r="H369" s="0" t="n">
        <f aca="false">VLOOKUP(D369,Rates!$A$4:$B$7,2,FALSE())</f>
        <v>0.115</v>
      </c>
      <c r="I369" s="0" t="n">
        <f aca="false">VLOOKUP(F369,Rates!$D$4:$E$8,2)</f>
        <v>0.02</v>
      </c>
      <c r="J369" s="0" t="n">
        <f aca="false">ROUND(E369*I369,2)</f>
        <v>634.56</v>
      </c>
      <c r="K369" s="1" t="n">
        <f aca="false">PV(H369/12,F369/30,0,-E369)</f>
        <v>31426.9153941395</v>
      </c>
      <c r="L369" s="0" t="n">
        <f aca="false">ROUND(E369-K369,2)</f>
        <v>301.17</v>
      </c>
      <c r="M369" s="0" t="n">
        <f aca="false">F369/E369</f>
        <v>0.000945534382939534</v>
      </c>
    </row>
    <row r="370" customFormat="false" ht="12.8" hidden="false" customHeight="false" outlineLevel="0" collapsed="false">
      <c r="A370" s="0" t="s">
        <v>602</v>
      </c>
      <c r="B370" s="0" t="s">
        <v>438</v>
      </c>
      <c r="C370" s="0" t="s">
        <v>42</v>
      </c>
      <c r="D370" s="0" t="s">
        <v>16</v>
      </c>
      <c r="E370" s="0" t="n">
        <v>21338.15</v>
      </c>
      <c r="F370" s="0" t="n">
        <v>87</v>
      </c>
      <c r="G370" s="0" t="str">
        <f aca="false">IF(F370&lt;=30,"Current",IF(F370&lt;=60,"31 to 60 days",IF(F370&lt;=90,"61 to 90 days",IF(F370&lt;=120,"91 to 120 days","Over 120 days"))))</f>
        <v>61 to 90 days</v>
      </c>
      <c r="H370" s="0" t="n">
        <f aca="false">VLOOKUP(D370,Rates!$A$4:$B$7,2,FALSE())</f>
        <v>0.085</v>
      </c>
      <c r="I370" s="0" t="n">
        <f aca="false">VLOOKUP(F370,Rates!$D$4:$E$8,2)</f>
        <v>0.25</v>
      </c>
      <c r="J370" s="0" t="n">
        <f aca="false">ROUND(E370*I370,2)</f>
        <v>5334.54</v>
      </c>
      <c r="K370" s="1" t="n">
        <f aca="false">PV(H370/12,F370/30,0,-E370)</f>
        <v>20905.8138262237</v>
      </c>
      <c r="L370" s="0" t="n">
        <f aca="false">ROUND(E370-K370,2)</f>
        <v>432.34</v>
      </c>
      <c r="M370" s="0" t="n">
        <f aca="false">F370/E370</f>
        <v>0.0040772044436842</v>
      </c>
    </row>
    <row r="371" customFormat="false" ht="12.8" hidden="false" customHeight="false" outlineLevel="0" collapsed="false">
      <c r="A371" s="0" t="s">
        <v>603</v>
      </c>
      <c r="B371" s="0" t="s">
        <v>604</v>
      </c>
      <c r="C371" s="0" t="s">
        <v>31</v>
      </c>
      <c r="D371" s="0" t="s">
        <v>49</v>
      </c>
      <c r="E371" s="0" t="n">
        <v>43730.46</v>
      </c>
      <c r="F371" s="0" t="n">
        <v>14</v>
      </c>
      <c r="G371" s="0" t="str">
        <f aca="false">IF(F371&lt;=30,"Current",IF(F371&lt;=60,"31 to 60 days",IF(F371&lt;=90,"61 to 90 days",IF(F371&lt;=120,"91 to 120 days","Over 120 days"))))</f>
        <v>Current</v>
      </c>
      <c r="H371" s="0" t="n">
        <f aca="false">VLOOKUP(D371,Rates!$A$4:$B$7,2,FALSE())</f>
        <v>0.02</v>
      </c>
      <c r="I371" s="0" t="n">
        <f aca="false">VLOOKUP(F371,Rates!$D$4:$E$8,2)</f>
        <v>0.02</v>
      </c>
      <c r="J371" s="0" t="n">
        <f aca="false">ROUND(E371*I371,2)</f>
        <v>874.61</v>
      </c>
      <c r="K371" s="1" t="n">
        <f aca="false">PV(H371/12,F371/30,0,-E371)</f>
        <v>43696.4889340457</v>
      </c>
      <c r="L371" s="0" t="n">
        <f aca="false">ROUND(E371-K371,2)</f>
        <v>33.97</v>
      </c>
      <c r="M371" s="0" t="n">
        <f aca="false">F371/E371</f>
        <v>0.000320142985004045</v>
      </c>
    </row>
    <row r="372" customFormat="false" ht="12.8" hidden="false" customHeight="false" outlineLevel="0" collapsed="false">
      <c r="A372" s="0" t="s">
        <v>605</v>
      </c>
      <c r="B372" s="0" t="s">
        <v>606</v>
      </c>
      <c r="C372" s="0" t="s">
        <v>19</v>
      </c>
      <c r="D372" s="0" t="s">
        <v>23</v>
      </c>
      <c r="E372" s="0" t="n">
        <v>23223.4</v>
      </c>
      <c r="F372" s="0" t="n">
        <v>281</v>
      </c>
      <c r="G372" s="0" t="str">
        <f aca="false">IF(F372&lt;=30,"Current",IF(F372&lt;=60,"31 to 60 days",IF(F372&lt;=90,"61 to 90 days",IF(F372&lt;=120,"91 to 120 days","Over 120 days"))))</f>
        <v>Over 120 days</v>
      </c>
      <c r="H372" s="0" t="n">
        <f aca="false">VLOOKUP(D372,Rates!$A$4:$B$7,2,FALSE())</f>
        <v>0.115</v>
      </c>
      <c r="I372" s="0" t="n">
        <f aca="false">VLOOKUP(F372,Rates!$D$4:$E$8,2)</f>
        <v>0.85</v>
      </c>
      <c r="J372" s="0" t="n">
        <f aca="false">ROUND(E372*I372,2)</f>
        <v>19739.89</v>
      </c>
      <c r="K372" s="1" t="n">
        <f aca="false">PV(H372/12,F372/30,0,-E372)</f>
        <v>21238.6767050749</v>
      </c>
      <c r="L372" s="0" t="n">
        <f aca="false">ROUND(E372-K372,2)</f>
        <v>1984.72</v>
      </c>
      <c r="M372" s="0" t="n">
        <f aca="false">F372/E372</f>
        <v>0.0120998647915465</v>
      </c>
    </row>
    <row r="373" customFormat="false" ht="12.8" hidden="false" customHeight="false" outlineLevel="0" collapsed="false">
      <c r="A373" s="0" t="s">
        <v>607</v>
      </c>
      <c r="B373" s="0" t="s">
        <v>606</v>
      </c>
      <c r="C373" s="0" t="s">
        <v>19</v>
      </c>
      <c r="D373" s="0" t="s">
        <v>23</v>
      </c>
      <c r="E373" s="0" t="n">
        <v>17955.17</v>
      </c>
      <c r="F373" s="0" t="n">
        <v>207</v>
      </c>
      <c r="G373" s="0" t="str">
        <f aca="false">IF(F373&lt;=30,"Current",IF(F373&lt;=60,"31 to 60 days",IF(F373&lt;=90,"61 to 90 days",IF(F373&lt;=120,"91 to 120 days","Over 120 days"))))</f>
        <v>Over 120 days</v>
      </c>
      <c r="H373" s="0" t="n">
        <f aca="false">VLOOKUP(D373,Rates!$A$4:$B$7,2,FALSE())</f>
        <v>0.115</v>
      </c>
      <c r="I373" s="0" t="n">
        <f aca="false">VLOOKUP(F373,Rates!$D$4:$E$8,2)</f>
        <v>0.85</v>
      </c>
      <c r="J373" s="0" t="n">
        <f aca="false">ROUND(E373*I373,2)</f>
        <v>15261.89</v>
      </c>
      <c r="K373" s="1" t="n">
        <f aca="false">PV(H373/12,F373/30,0,-E373)</f>
        <v>16811.5800026457</v>
      </c>
      <c r="L373" s="0" t="n">
        <f aca="false">ROUND(E373-K373,2)</f>
        <v>1143.59</v>
      </c>
      <c r="M373" s="0" t="n">
        <f aca="false">F373/E373</f>
        <v>0.0115287128999614</v>
      </c>
    </row>
    <row r="374" customFormat="false" ht="12.8" hidden="false" customHeight="false" outlineLevel="0" collapsed="false">
      <c r="A374" s="0" t="s">
        <v>608</v>
      </c>
      <c r="B374" s="0" t="s">
        <v>609</v>
      </c>
      <c r="C374" s="0" t="s">
        <v>31</v>
      </c>
      <c r="D374" s="0" t="s">
        <v>23</v>
      </c>
      <c r="E374" s="0" t="n">
        <v>15690.37</v>
      </c>
      <c r="F374" s="0" t="n">
        <v>328</v>
      </c>
      <c r="G374" s="0" t="str">
        <f aca="false">IF(F374&lt;=30,"Current",IF(F374&lt;=60,"31 to 60 days",IF(F374&lt;=90,"61 to 90 days",IF(F374&lt;=120,"91 to 120 days","Over 120 days"))))</f>
        <v>Over 120 days</v>
      </c>
      <c r="H374" s="0" t="n">
        <f aca="false">VLOOKUP(D374,Rates!$A$4:$B$7,2,FALSE())</f>
        <v>0.115</v>
      </c>
      <c r="I374" s="0" t="n">
        <f aca="false">VLOOKUP(F374,Rates!$D$4:$E$8,2)</f>
        <v>0.85</v>
      </c>
      <c r="J374" s="0" t="n">
        <f aca="false">ROUND(E374*I374,2)</f>
        <v>13336.81</v>
      </c>
      <c r="K374" s="1" t="n">
        <f aca="false">PV(H374/12,F374/30,0,-E374)</f>
        <v>14136.6150852843</v>
      </c>
      <c r="L374" s="0" t="n">
        <f aca="false">ROUND(E374-K374,2)</f>
        <v>1553.75</v>
      </c>
      <c r="M374" s="0" t="n">
        <f aca="false">F374/E374</f>
        <v>0.0209045420853683</v>
      </c>
    </row>
    <row r="375" customFormat="false" ht="12.8" hidden="false" customHeight="false" outlineLevel="0" collapsed="false">
      <c r="A375" s="0" t="s">
        <v>610</v>
      </c>
      <c r="B375" s="0" t="s">
        <v>51</v>
      </c>
      <c r="C375" s="0" t="s">
        <v>36</v>
      </c>
      <c r="D375" s="0" t="s">
        <v>20</v>
      </c>
      <c r="E375" s="0" t="n">
        <v>17216.98</v>
      </c>
      <c r="F375" s="0" t="n">
        <v>169</v>
      </c>
      <c r="G375" s="0" t="str">
        <f aca="false">IF(F375&lt;=30,"Current",IF(F375&lt;=60,"31 to 60 days",IF(F375&lt;=90,"61 to 90 days",IF(F375&lt;=120,"91 to 120 days","Over 120 days"))))</f>
        <v>Over 120 days</v>
      </c>
      <c r="H375" s="0" t="n">
        <f aca="false">VLOOKUP(D375,Rates!$A$4:$B$7,2,FALSE())</f>
        <v>0.05</v>
      </c>
      <c r="I375" s="0" t="n">
        <f aca="false">VLOOKUP(F375,Rates!$D$4:$E$8,2)</f>
        <v>0.85</v>
      </c>
      <c r="J375" s="0" t="n">
        <f aca="false">ROUND(E375*I375,2)</f>
        <v>14634.43</v>
      </c>
      <c r="K375" s="1" t="n">
        <f aca="false">PV(H375/12,F375/30,0,-E375)</f>
        <v>16818.385263918</v>
      </c>
      <c r="L375" s="0" t="n">
        <f aca="false">ROUND(E375-K375,2)</f>
        <v>398.59</v>
      </c>
      <c r="M375" s="0" t="n">
        <f aca="false">F375/E375</f>
        <v>0.00981589105638736</v>
      </c>
    </row>
    <row r="376" customFormat="false" ht="12.8" hidden="false" customHeight="false" outlineLevel="0" collapsed="false">
      <c r="A376" s="0" t="s">
        <v>611</v>
      </c>
      <c r="B376" s="0" t="s">
        <v>113</v>
      </c>
      <c r="C376" s="0" t="s">
        <v>26</v>
      </c>
      <c r="D376" s="0" t="s">
        <v>23</v>
      </c>
      <c r="E376" s="0" t="n">
        <v>30432.11</v>
      </c>
      <c r="F376" s="0" t="n">
        <v>196</v>
      </c>
      <c r="G376" s="0" t="str">
        <f aca="false">IF(F376&lt;=30,"Current",IF(F376&lt;=60,"31 to 60 days",IF(F376&lt;=90,"61 to 90 days",IF(F376&lt;=120,"91 to 120 days","Over 120 days"))))</f>
        <v>Over 120 days</v>
      </c>
      <c r="H376" s="0" t="n">
        <f aca="false">VLOOKUP(D376,Rates!$A$4:$B$7,2,FALSE())</f>
        <v>0.115</v>
      </c>
      <c r="I376" s="0" t="n">
        <f aca="false">VLOOKUP(F376,Rates!$D$4:$E$8,2)</f>
        <v>0.85</v>
      </c>
      <c r="J376" s="0" t="n">
        <f aca="false">ROUND(E376*I376,2)</f>
        <v>25867.29</v>
      </c>
      <c r="K376" s="1" t="n">
        <f aca="false">PV(H376/12,F376/30,0,-E376)</f>
        <v>28593.6681045002</v>
      </c>
      <c r="L376" s="0" t="n">
        <f aca="false">ROUND(E376-K376,2)</f>
        <v>1838.44</v>
      </c>
      <c r="M376" s="0" t="n">
        <f aca="false">F376/E376</f>
        <v>0.00644056557366545</v>
      </c>
    </row>
    <row r="377" customFormat="false" ht="12.8" hidden="false" customHeight="false" outlineLevel="0" collapsed="false">
      <c r="A377" s="0" t="s">
        <v>612</v>
      </c>
      <c r="B377" s="0" t="s">
        <v>613</v>
      </c>
      <c r="C377" s="0" t="s">
        <v>26</v>
      </c>
      <c r="D377" s="0" t="s">
        <v>49</v>
      </c>
      <c r="E377" s="0" t="n">
        <v>23803.57</v>
      </c>
      <c r="F377" s="0" t="n">
        <v>327</v>
      </c>
      <c r="G377" s="0" t="str">
        <f aca="false">IF(F377&lt;=30,"Current",IF(F377&lt;=60,"31 to 60 days",IF(F377&lt;=90,"61 to 90 days",IF(F377&lt;=120,"91 to 120 days","Over 120 days"))))</f>
        <v>Over 120 days</v>
      </c>
      <c r="H377" s="0" t="n">
        <f aca="false">VLOOKUP(D377,Rates!$A$4:$B$7,2,FALSE())</f>
        <v>0.02</v>
      </c>
      <c r="I377" s="0" t="n">
        <f aca="false">VLOOKUP(F377,Rates!$D$4:$E$8,2)</f>
        <v>0.85</v>
      </c>
      <c r="J377" s="0" t="n">
        <f aca="false">ROUND(E377*I377,2)</f>
        <v>20233.03</v>
      </c>
      <c r="K377" s="1" t="n">
        <f aca="false">PV(H377/12,F377/30,0,-E377)</f>
        <v>23375.3962020351</v>
      </c>
      <c r="L377" s="0" t="n">
        <f aca="false">ROUND(E377-K377,2)</f>
        <v>428.17</v>
      </c>
      <c r="M377" s="0" t="n">
        <f aca="false">F377/E377</f>
        <v>0.0137374351830419</v>
      </c>
    </row>
    <row r="378" customFormat="false" ht="12.8" hidden="false" customHeight="false" outlineLevel="0" collapsed="false">
      <c r="A378" s="0" t="s">
        <v>614</v>
      </c>
      <c r="B378" s="0" t="s">
        <v>550</v>
      </c>
      <c r="C378" s="0" t="s">
        <v>36</v>
      </c>
      <c r="D378" s="0" t="s">
        <v>23</v>
      </c>
      <c r="E378" s="0" t="n">
        <v>0</v>
      </c>
      <c r="F378" s="0" t="n">
        <v>231</v>
      </c>
      <c r="G378" s="0" t="str">
        <f aca="false">IF(F378&lt;=30,"Current",IF(F378&lt;=60,"31 to 60 days",IF(F378&lt;=90,"61 to 90 days",IF(F378&lt;=120,"91 to 120 days","Over 120 days"))))</f>
        <v>Over 120 days</v>
      </c>
      <c r="H378" s="0" t="n">
        <f aca="false">VLOOKUP(D378,Rates!$A$4:$B$7,2,FALSE())</f>
        <v>0.115</v>
      </c>
      <c r="I378" s="0" t="n">
        <f aca="false">VLOOKUP(F378,Rates!$D$4:$E$8,2)</f>
        <v>0.85</v>
      </c>
      <c r="J378" s="0" t="n">
        <f aca="false">ROUND(E378*I378,2)</f>
        <v>0</v>
      </c>
      <c r="K378" s="1" t="n">
        <f aca="false">PV(H378/12,F378/30,0,-E378)</f>
        <v>-0</v>
      </c>
      <c r="L378" s="0" t="n">
        <f aca="false">ROUND(E378-K378,2)</f>
        <v>0</v>
      </c>
      <c r="M378" s="0" t="e">
        <f aca="false">F378/E378</f>
        <v>#DIV/0!</v>
      </c>
    </row>
    <row r="379" customFormat="false" ht="12.8" hidden="false" customHeight="false" outlineLevel="0" collapsed="false">
      <c r="A379" s="0" t="s">
        <v>615</v>
      </c>
      <c r="B379" s="0" t="s">
        <v>550</v>
      </c>
      <c r="C379" s="0" t="s">
        <v>36</v>
      </c>
      <c r="D379" s="0" t="s">
        <v>23</v>
      </c>
      <c r="E379" s="0" t="n">
        <v>29945.03</v>
      </c>
      <c r="F379" s="0" t="n">
        <v>232</v>
      </c>
      <c r="G379" s="0" t="str">
        <f aca="false">IF(F379&lt;=30,"Current",IF(F379&lt;=60,"31 to 60 days",IF(F379&lt;=90,"61 to 90 days",IF(F379&lt;=120,"91 to 120 days","Over 120 days"))))</f>
        <v>Over 120 days</v>
      </c>
      <c r="H379" s="0" t="n">
        <f aca="false">VLOOKUP(D379,Rates!$A$4:$B$7,2,FALSE())</f>
        <v>0.115</v>
      </c>
      <c r="I379" s="0" t="n">
        <f aca="false">VLOOKUP(F379,Rates!$D$4:$E$8,2)</f>
        <v>0.85</v>
      </c>
      <c r="J379" s="0" t="n">
        <f aca="false">ROUND(E379*I379,2)</f>
        <v>25453.28</v>
      </c>
      <c r="K379" s="1" t="n">
        <f aca="false">PV(H379/12,F379/30,0,-E379)</f>
        <v>27815.8254513819</v>
      </c>
      <c r="L379" s="0" t="n">
        <f aca="false">ROUND(E379-K379,2)</f>
        <v>2129.2</v>
      </c>
      <c r="M379" s="0" t="n">
        <f aca="false">F379/E379</f>
        <v>0.00774752938968503</v>
      </c>
    </row>
    <row r="380" customFormat="false" ht="12.8" hidden="false" customHeight="false" outlineLevel="0" collapsed="false">
      <c r="A380" s="0" t="s">
        <v>616</v>
      </c>
      <c r="B380" s="0" t="s">
        <v>30</v>
      </c>
      <c r="C380" s="0" t="s">
        <v>31</v>
      </c>
      <c r="D380" s="0" t="s">
        <v>20</v>
      </c>
      <c r="E380" s="0" t="n">
        <v>37348.14</v>
      </c>
      <c r="F380" s="0" t="n">
        <v>57</v>
      </c>
      <c r="G380" s="0" t="str">
        <f aca="false">IF(F380&lt;=30,"Current",IF(F380&lt;=60,"31 to 60 days",IF(F380&lt;=90,"61 to 90 days",IF(F380&lt;=120,"91 to 120 days","Over 120 days"))))</f>
        <v>31 to 60 days</v>
      </c>
      <c r="H380" s="0" t="n">
        <f aca="false">VLOOKUP(D380,Rates!$A$4:$B$7,2,FALSE())</f>
        <v>0.05</v>
      </c>
      <c r="I380" s="0" t="n">
        <f aca="false">VLOOKUP(F380,Rates!$D$4:$E$8,2)</f>
        <v>0.1</v>
      </c>
      <c r="J380" s="0" t="n">
        <f aca="false">ROUND(E380*I380,2)</f>
        <v>3734.81</v>
      </c>
      <c r="K380" s="1" t="n">
        <f aca="false">PV(H380/12,F380/30,0,-E380)</f>
        <v>37054.2439543988</v>
      </c>
      <c r="L380" s="0" t="n">
        <f aca="false">ROUND(E380-K380,2)</f>
        <v>293.9</v>
      </c>
      <c r="M380" s="0" t="n">
        <f aca="false">F380/E380</f>
        <v>0.00152618042022976</v>
      </c>
    </row>
    <row r="381" customFormat="false" ht="12.8" hidden="false" customHeight="false" outlineLevel="0" collapsed="false">
      <c r="A381" s="0" t="s">
        <v>617</v>
      </c>
      <c r="B381" s="0" t="s">
        <v>194</v>
      </c>
      <c r="C381" s="0" t="s">
        <v>15</v>
      </c>
      <c r="D381" s="0" t="s">
        <v>23</v>
      </c>
      <c r="E381" s="0" t="n">
        <v>19224.53</v>
      </c>
      <c r="F381" s="0" t="n">
        <v>42</v>
      </c>
      <c r="G381" s="0" t="str">
        <f aca="false">IF(F381&lt;=30,"Current",IF(F381&lt;=60,"31 to 60 days",IF(F381&lt;=90,"61 to 90 days",IF(F381&lt;=120,"91 to 120 days","Over 120 days"))))</f>
        <v>31 to 60 days</v>
      </c>
      <c r="H381" s="0" t="n">
        <f aca="false">VLOOKUP(D381,Rates!$A$4:$B$7,2,FALSE())</f>
        <v>0.115</v>
      </c>
      <c r="I381" s="0" t="n">
        <f aca="false">VLOOKUP(F381,Rates!$D$4:$E$8,2)</f>
        <v>0.1</v>
      </c>
      <c r="J381" s="0" t="n">
        <f aca="false">ROUND(E381*I381,2)</f>
        <v>1922.45</v>
      </c>
      <c r="K381" s="1" t="n">
        <f aca="false">PV(H381/12,F381/30,0,-E381)</f>
        <v>18969.5351940104</v>
      </c>
      <c r="L381" s="0" t="n">
        <f aca="false">ROUND(E381-K381,2)</f>
        <v>254.99</v>
      </c>
      <c r="M381" s="0" t="n">
        <f aca="false">F381/E381</f>
        <v>0.00218470880692532</v>
      </c>
    </row>
    <row r="382" customFormat="false" ht="12.8" hidden="false" customHeight="false" outlineLevel="0" collapsed="false">
      <c r="A382" s="0" t="s">
        <v>618</v>
      </c>
      <c r="B382" s="0" t="s">
        <v>619</v>
      </c>
      <c r="C382" s="0" t="s">
        <v>26</v>
      </c>
      <c r="D382" s="0" t="s">
        <v>16</v>
      </c>
      <c r="E382" s="0" t="n">
        <v>12284.59</v>
      </c>
      <c r="F382" s="0" t="n">
        <v>255</v>
      </c>
      <c r="G382" s="0" t="str">
        <f aca="false">IF(F382&lt;=30,"Current",IF(F382&lt;=60,"31 to 60 days",IF(F382&lt;=90,"61 to 90 days",IF(F382&lt;=120,"91 to 120 days","Over 120 days"))))</f>
        <v>Over 120 days</v>
      </c>
      <c r="H382" s="0" t="n">
        <f aca="false">VLOOKUP(D382,Rates!$A$4:$B$7,2,FALSE())</f>
        <v>0.085</v>
      </c>
      <c r="I382" s="0" t="n">
        <f aca="false">VLOOKUP(F382,Rates!$D$4:$E$8,2)</f>
        <v>0.85</v>
      </c>
      <c r="J382" s="0" t="n">
        <f aca="false">ROUND(E382*I382,2)</f>
        <v>10441.9</v>
      </c>
      <c r="K382" s="1" t="n">
        <f aca="false">PV(H382/12,F382/30,0,-E382)</f>
        <v>11569.2363248386</v>
      </c>
      <c r="L382" s="0" t="n">
        <f aca="false">ROUND(E382-K382,2)</f>
        <v>715.35</v>
      </c>
      <c r="M382" s="0" t="n">
        <f aca="false">F382/E382</f>
        <v>0.0207577135256447</v>
      </c>
    </row>
    <row r="383" customFormat="false" ht="12.8" hidden="false" customHeight="false" outlineLevel="0" collapsed="false">
      <c r="A383" s="0" t="s">
        <v>620</v>
      </c>
      <c r="B383" s="0" t="s">
        <v>621</v>
      </c>
      <c r="C383" s="0" t="s">
        <v>36</v>
      </c>
      <c r="D383" s="0" t="s">
        <v>16</v>
      </c>
      <c r="E383" s="0" t="n">
        <v>4280.18</v>
      </c>
      <c r="F383" s="0" t="n">
        <v>332</v>
      </c>
      <c r="G383" s="0" t="str">
        <f aca="false">IF(F383&lt;=30,"Current",IF(F383&lt;=60,"31 to 60 days",IF(F383&lt;=90,"61 to 90 days",IF(F383&lt;=120,"91 to 120 days","Over 120 days"))))</f>
        <v>Over 120 days</v>
      </c>
      <c r="H383" s="0" t="n">
        <f aca="false">VLOOKUP(D383,Rates!$A$4:$B$7,2,FALSE())</f>
        <v>0.085</v>
      </c>
      <c r="I383" s="0" t="n">
        <f aca="false">VLOOKUP(F383,Rates!$D$4:$E$8,2)</f>
        <v>0.85</v>
      </c>
      <c r="J383" s="0" t="n">
        <f aca="false">ROUND(E383*I383,2)</f>
        <v>3638.15</v>
      </c>
      <c r="K383" s="1" t="n">
        <f aca="false">PV(H383/12,F383/30,0,-E383)</f>
        <v>3958.56861520844</v>
      </c>
      <c r="L383" s="0" t="n">
        <f aca="false">ROUND(E383-K383,2)</f>
        <v>321.61</v>
      </c>
      <c r="M383" s="0" t="n">
        <f aca="false">F383/E383</f>
        <v>0.0775668313014873</v>
      </c>
    </row>
    <row r="384" customFormat="false" ht="12.8" hidden="false" customHeight="false" outlineLevel="0" collapsed="false">
      <c r="A384" s="0" t="s">
        <v>622</v>
      </c>
      <c r="B384" s="0" t="s">
        <v>28</v>
      </c>
      <c r="C384" s="0" t="s">
        <v>15</v>
      </c>
      <c r="D384" s="0" t="s">
        <v>20</v>
      </c>
      <c r="E384" s="0" t="n">
        <v>26530.11</v>
      </c>
      <c r="F384" s="0" t="n">
        <v>109</v>
      </c>
      <c r="G384" s="0" t="str">
        <f aca="false">IF(F384&lt;=30,"Current",IF(F384&lt;=60,"31 to 60 days",IF(F384&lt;=90,"61 to 90 days",IF(F384&lt;=120,"91 to 120 days","Over 120 days"))))</f>
        <v>91 to 120 days</v>
      </c>
      <c r="H384" s="0" t="n">
        <f aca="false">VLOOKUP(D384,Rates!$A$4:$B$7,2,FALSE())</f>
        <v>0.05</v>
      </c>
      <c r="I384" s="0" t="n">
        <f aca="false">VLOOKUP(F384,Rates!$D$4:$E$8,2)</f>
        <v>0.5</v>
      </c>
      <c r="J384" s="0" t="n">
        <f aca="false">ROUND(E384*I384,2)</f>
        <v>13265.06</v>
      </c>
      <c r="K384" s="1" t="n">
        <f aca="false">PV(H384/12,F384/30,0,-E384)</f>
        <v>26132.3203943588</v>
      </c>
      <c r="L384" s="0" t="n">
        <f aca="false">ROUND(E384-K384,2)</f>
        <v>397.79</v>
      </c>
      <c r="M384" s="0" t="n">
        <f aca="false">F384/E384</f>
        <v>0.00410853931627121</v>
      </c>
    </row>
    <row r="385" customFormat="false" ht="12.8" hidden="false" customHeight="false" outlineLevel="0" collapsed="false">
      <c r="A385" s="0" t="s">
        <v>623</v>
      </c>
      <c r="B385" s="0" t="s">
        <v>97</v>
      </c>
      <c r="C385" s="0" t="s">
        <v>42</v>
      </c>
      <c r="D385" s="0" t="s">
        <v>20</v>
      </c>
      <c r="E385" s="0" t="n">
        <v>20581.6</v>
      </c>
      <c r="F385" s="0" t="n">
        <v>199</v>
      </c>
      <c r="G385" s="0" t="str">
        <f aca="false">IF(F385&lt;=30,"Current",IF(F385&lt;=60,"31 to 60 days",IF(F385&lt;=90,"61 to 90 days",IF(F385&lt;=120,"91 to 120 days","Over 120 days"))))</f>
        <v>Over 120 days</v>
      </c>
      <c r="H385" s="0" t="n">
        <f aca="false">VLOOKUP(D385,Rates!$A$4:$B$7,2,FALSE())</f>
        <v>0.05</v>
      </c>
      <c r="I385" s="0" t="n">
        <f aca="false">VLOOKUP(F385,Rates!$D$4:$E$8,2)</f>
        <v>0.85</v>
      </c>
      <c r="J385" s="0" t="n">
        <f aca="false">ROUND(E385*I385,2)</f>
        <v>17494.36</v>
      </c>
      <c r="K385" s="1" t="n">
        <f aca="false">PV(H385/12,F385/30,0,-E385)</f>
        <v>20021.686386878</v>
      </c>
      <c r="L385" s="0" t="n">
        <f aca="false">ROUND(E385-K385,2)</f>
        <v>559.91</v>
      </c>
      <c r="M385" s="0" t="n">
        <f aca="false">F385/E385</f>
        <v>0.00966883041162981</v>
      </c>
    </row>
    <row r="386" customFormat="false" ht="12.8" hidden="false" customHeight="false" outlineLevel="0" collapsed="false">
      <c r="A386" s="0" t="s">
        <v>624</v>
      </c>
      <c r="B386" s="0" t="s">
        <v>97</v>
      </c>
      <c r="C386" s="0" t="s">
        <v>42</v>
      </c>
      <c r="D386" s="0" t="s">
        <v>20</v>
      </c>
      <c r="E386" s="0" t="n">
        <v>8974.71</v>
      </c>
      <c r="F386" s="0" t="n">
        <v>302</v>
      </c>
      <c r="G386" s="0" t="str">
        <f aca="false">IF(F386&lt;=30,"Current",IF(F386&lt;=60,"31 to 60 days",IF(F386&lt;=90,"61 to 90 days",IF(F386&lt;=120,"91 to 120 days","Over 120 days"))))</f>
        <v>Over 120 days</v>
      </c>
      <c r="H386" s="0" t="n">
        <f aca="false">VLOOKUP(D386,Rates!$A$4:$B$7,2,FALSE())</f>
        <v>0.05</v>
      </c>
      <c r="I386" s="0" t="n">
        <f aca="false">VLOOKUP(F386,Rates!$D$4:$E$8,2)</f>
        <v>0.85</v>
      </c>
      <c r="J386" s="0" t="n">
        <f aca="false">ROUND(E386*I386,2)</f>
        <v>7628.5</v>
      </c>
      <c r="K386" s="1" t="n">
        <f aca="false">PV(H386/12,F386/30,0,-E386)</f>
        <v>8606.80629341677</v>
      </c>
      <c r="L386" s="0" t="n">
        <f aca="false">ROUND(E386-K386,2)</f>
        <v>367.9</v>
      </c>
      <c r="M386" s="0" t="n">
        <f aca="false">F386/E386</f>
        <v>0.033650112371319</v>
      </c>
    </row>
    <row r="387" customFormat="false" ht="12.8" hidden="false" customHeight="false" outlineLevel="0" collapsed="false">
      <c r="A387" s="0" t="s">
        <v>625</v>
      </c>
      <c r="B387" s="0" t="s">
        <v>22</v>
      </c>
      <c r="C387" s="0" t="s">
        <v>15</v>
      </c>
      <c r="D387" s="0" t="s">
        <v>23</v>
      </c>
      <c r="E387" s="0" t="n">
        <v>26995.73</v>
      </c>
      <c r="F387" s="0" t="n">
        <v>169</v>
      </c>
      <c r="G387" s="0" t="str">
        <f aca="false">IF(F387&lt;=30,"Current",IF(F387&lt;=60,"31 to 60 days",IF(F387&lt;=90,"61 to 90 days",IF(F387&lt;=120,"91 to 120 days","Over 120 days"))))</f>
        <v>Over 120 days</v>
      </c>
      <c r="H387" s="0" t="n">
        <f aca="false">VLOOKUP(D387,Rates!$A$4:$B$7,2,FALSE())</f>
        <v>0.115</v>
      </c>
      <c r="I387" s="0" t="n">
        <f aca="false">VLOOKUP(F387,Rates!$D$4:$E$8,2)</f>
        <v>0.85</v>
      </c>
      <c r="J387" s="0" t="n">
        <f aca="false">ROUND(E387*I387,2)</f>
        <v>22946.37</v>
      </c>
      <c r="K387" s="1" t="n">
        <f aca="false">PV(H387/12,F387/30,0,-E387)</f>
        <v>25583.5517897565</v>
      </c>
      <c r="L387" s="0" t="n">
        <f aca="false">ROUND(E387-K387,2)</f>
        <v>1412.18</v>
      </c>
      <c r="M387" s="0" t="n">
        <f aca="false">F387/E387</f>
        <v>0.00626024930609396</v>
      </c>
    </row>
    <row r="388" customFormat="false" ht="12.8" hidden="false" customHeight="false" outlineLevel="0" collapsed="false">
      <c r="A388" s="0" t="s">
        <v>626</v>
      </c>
      <c r="B388" s="0" t="s">
        <v>627</v>
      </c>
      <c r="C388" s="0" t="s">
        <v>26</v>
      </c>
      <c r="D388" s="0" t="s">
        <v>16</v>
      </c>
      <c r="E388" s="0" t="n">
        <v>9355.27</v>
      </c>
      <c r="F388" s="0" t="n">
        <v>118</v>
      </c>
      <c r="G388" s="0" t="str">
        <f aca="false">IF(F388&lt;=30,"Current",IF(F388&lt;=60,"31 to 60 days",IF(F388&lt;=90,"61 to 90 days",IF(F388&lt;=120,"91 to 120 days","Over 120 days"))))</f>
        <v>91 to 120 days</v>
      </c>
      <c r="H388" s="0" t="n">
        <f aca="false">VLOOKUP(D388,Rates!$A$4:$B$7,2,FALSE())</f>
        <v>0.085</v>
      </c>
      <c r="I388" s="0" t="n">
        <f aca="false">VLOOKUP(F388,Rates!$D$4:$E$8,2)</f>
        <v>0.5</v>
      </c>
      <c r="J388" s="0" t="n">
        <f aca="false">ROUND(E388*I388,2)</f>
        <v>4677.64</v>
      </c>
      <c r="K388" s="1" t="n">
        <f aca="false">PV(H388/12,F388/30,0,-E388)</f>
        <v>9099.11286161208</v>
      </c>
      <c r="L388" s="0" t="n">
        <f aca="false">ROUND(E388-K388,2)</f>
        <v>256.16</v>
      </c>
      <c r="M388" s="0" t="n">
        <f aca="false">F388/E388</f>
        <v>0.0126132115909001</v>
      </c>
    </row>
    <row r="389" customFormat="false" ht="12.8" hidden="false" customHeight="false" outlineLevel="0" collapsed="false">
      <c r="A389" s="0" t="s">
        <v>628</v>
      </c>
      <c r="B389" s="0" t="s">
        <v>18</v>
      </c>
      <c r="C389" s="0" t="s">
        <v>19</v>
      </c>
      <c r="D389" s="0" t="s">
        <v>20</v>
      </c>
      <c r="E389" s="0" t="n">
        <v>17782.82</v>
      </c>
      <c r="F389" s="0" t="n">
        <v>178</v>
      </c>
      <c r="G389" s="0" t="str">
        <f aca="false">IF(F389&lt;=30,"Current",IF(F389&lt;=60,"31 to 60 days",IF(F389&lt;=90,"61 to 90 days",IF(F389&lt;=120,"91 to 120 days","Over 120 days"))))</f>
        <v>Over 120 days</v>
      </c>
      <c r="H389" s="0" t="n">
        <f aca="false">VLOOKUP(D389,Rates!$A$4:$B$7,2,FALSE())</f>
        <v>0.05</v>
      </c>
      <c r="I389" s="0" t="n">
        <f aca="false">VLOOKUP(F389,Rates!$D$4:$E$8,2)</f>
        <v>0.85</v>
      </c>
      <c r="J389" s="0" t="n">
        <f aca="false">ROUND(E389*I389,2)</f>
        <v>15115.4</v>
      </c>
      <c r="K389" s="1" t="n">
        <f aca="false">PV(H389/12,F389/30,0,-E389)</f>
        <v>17349.4700710007</v>
      </c>
      <c r="L389" s="0" t="n">
        <f aca="false">ROUND(E389-K389,2)</f>
        <v>433.35</v>
      </c>
      <c r="M389" s="0" t="n">
        <f aca="false">F389/E389</f>
        <v>0.0100096610098961</v>
      </c>
    </row>
    <row r="390" customFormat="false" ht="12.8" hidden="false" customHeight="false" outlineLevel="0" collapsed="false">
      <c r="A390" s="0" t="s">
        <v>629</v>
      </c>
      <c r="B390" s="0" t="s">
        <v>534</v>
      </c>
      <c r="C390" s="0" t="s">
        <v>26</v>
      </c>
      <c r="D390" s="0" t="s">
        <v>23</v>
      </c>
      <c r="E390" s="0" t="n">
        <v>23482.08</v>
      </c>
      <c r="F390" s="0" t="n">
        <v>109</v>
      </c>
      <c r="G390" s="0" t="str">
        <f aca="false">IF(F390&lt;=30,"Current",IF(F390&lt;=60,"31 to 60 days",IF(F390&lt;=90,"61 to 90 days",IF(F390&lt;=120,"91 to 120 days","Over 120 days"))))</f>
        <v>91 to 120 days</v>
      </c>
      <c r="H390" s="0" t="n">
        <f aca="false">VLOOKUP(D390,Rates!$A$4:$B$7,2,FALSE())</f>
        <v>0.115</v>
      </c>
      <c r="I390" s="0" t="n">
        <f aca="false">VLOOKUP(F390,Rates!$D$4:$E$8,2)</f>
        <v>0.5</v>
      </c>
      <c r="J390" s="0" t="n">
        <f aca="false">ROUND(E390*I390,2)</f>
        <v>11741.04</v>
      </c>
      <c r="K390" s="1" t="n">
        <f aca="false">PV(H390/12,F390/30,0,-E390)</f>
        <v>22682.2780617366</v>
      </c>
      <c r="L390" s="0" t="n">
        <f aca="false">ROUND(E390-K390,2)</f>
        <v>799.8</v>
      </c>
      <c r="M390" s="0" t="n">
        <f aca="false">F390/E390</f>
        <v>0.00464183752035595</v>
      </c>
    </row>
    <row r="391" customFormat="false" ht="12.8" hidden="false" customHeight="false" outlineLevel="0" collapsed="false">
      <c r="A391" s="0" t="s">
        <v>630</v>
      </c>
      <c r="B391" s="0" t="s">
        <v>28</v>
      </c>
      <c r="C391" s="0" t="s">
        <v>15</v>
      </c>
      <c r="D391" s="0" t="s">
        <v>20</v>
      </c>
      <c r="E391" s="0" t="n">
        <v>38303.75</v>
      </c>
      <c r="F391" s="0" t="n">
        <v>180</v>
      </c>
      <c r="G391" s="0" t="str">
        <f aca="false">IF(F391&lt;=30,"Current",IF(F391&lt;=60,"31 to 60 days",IF(F391&lt;=90,"61 to 90 days",IF(F391&lt;=120,"91 to 120 days","Over 120 days"))))</f>
        <v>Over 120 days</v>
      </c>
      <c r="H391" s="0" t="n">
        <f aca="false">VLOOKUP(D391,Rates!$A$4:$B$7,2,FALSE())</f>
        <v>0.05</v>
      </c>
      <c r="I391" s="0" t="n">
        <f aca="false">VLOOKUP(F391,Rates!$D$4:$E$8,2)</f>
        <v>0.85</v>
      </c>
      <c r="J391" s="0" t="n">
        <f aca="false">ROUND(E391*I391,2)</f>
        <v>32558.19</v>
      </c>
      <c r="K391" s="1" t="n">
        <f aca="false">PV(H391/12,F391/30,0,-E391)</f>
        <v>37359.9674358479</v>
      </c>
      <c r="L391" s="0" t="n">
        <f aca="false">ROUND(E391-K391,2)</f>
        <v>943.78</v>
      </c>
      <c r="M391" s="0" t="n">
        <f aca="false">F391/E391</f>
        <v>0.00469927879124107</v>
      </c>
    </row>
    <row r="392" customFormat="false" ht="12.8" hidden="false" customHeight="false" outlineLevel="0" collapsed="false">
      <c r="A392" s="0" t="s">
        <v>631</v>
      </c>
      <c r="B392" s="0" t="s">
        <v>632</v>
      </c>
      <c r="C392" s="0" t="s">
        <v>42</v>
      </c>
      <c r="D392" s="0" t="s">
        <v>49</v>
      </c>
      <c r="E392" s="0" t="n">
        <v>35608.57</v>
      </c>
      <c r="F392" s="0" t="n">
        <v>268</v>
      </c>
      <c r="G392" s="0" t="str">
        <f aca="false">IF(F392&lt;=30,"Current",IF(F392&lt;=60,"31 to 60 days",IF(F392&lt;=90,"61 to 90 days",IF(F392&lt;=120,"91 to 120 days","Over 120 days"))))</f>
        <v>Over 120 days</v>
      </c>
      <c r="H392" s="0" t="n">
        <f aca="false">VLOOKUP(D392,Rates!$A$4:$B$7,2,FALSE())</f>
        <v>0.02</v>
      </c>
      <c r="I392" s="0" t="n">
        <f aca="false">VLOOKUP(F392,Rates!$D$4:$E$8,2)</f>
        <v>0.85</v>
      </c>
      <c r="J392" s="0" t="n">
        <f aca="false">ROUND(E392*I392,2)</f>
        <v>30267.28</v>
      </c>
      <c r="K392" s="1" t="n">
        <f aca="false">PV(H392/12,F392/30,0,-E392)</f>
        <v>35082.7600791394</v>
      </c>
      <c r="L392" s="0" t="n">
        <f aca="false">ROUND(E392-K392,2)</f>
        <v>525.81</v>
      </c>
      <c r="M392" s="0" t="n">
        <f aca="false">F392/E392</f>
        <v>0.0075262780841803</v>
      </c>
    </row>
    <row r="393" customFormat="false" ht="12.8" hidden="false" customHeight="false" outlineLevel="0" collapsed="false">
      <c r="A393" s="0" t="s">
        <v>633</v>
      </c>
      <c r="B393" s="0" t="s">
        <v>357</v>
      </c>
      <c r="C393" s="0" t="s">
        <v>19</v>
      </c>
      <c r="D393" s="0" t="s">
        <v>23</v>
      </c>
      <c r="E393" s="0" t="n">
        <v>28006.99</v>
      </c>
      <c r="F393" s="0" t="n">
        <v>289</v>
      </c>
      <c r="G393" s="0" t="str">
        <f aca="false">IF(F393&lt;=30,"Current",IF(F393&lt;=60,"31 to 60 days",IF(F393&lt;=90,"61 to 90 days",IF(F393&lt;=120,"91 to 120 days","Over 120 days"))))</f>
        <v>Over 120 days</v>
      </c>
      <c r="H393" s="0" t="n">
        <f aca="false">VLOOKUP(D393,Rates!$A$4:$B$7,2,FALSE())</f>
        <v>0.115</v>
      </c>
      <c r="I393" s="0" t="n">
        <f aca="false">VLOOKUP(F393,Rates!$D$4:$E$8,2)</f>
        <v>0.85</v>
      </c>
      <c r="J393" s="0" t="n">
        <f aca="false">ROUND(E393*I393,2)</f>
        <v>23805.94</v>
      </c>
      <c r="K393" s="1" t="n">
        <f aca="false">PV(H393/12,F393/30,0,-E393)</f>
        <v>25548.3883244279</v>
      </c>
      <c r="L393" s="0" t="n">
        <f aca="false">ROUND(E393-K393,2)</f>
        <v>2458.6</v>
      </c>
      <c r="M393" s="0" t="n">
        <f aca="false">F393/E393</f>
        <v>0.0103188525435972</v>
      </c>
    </row>
    <row r="394" customFormat="false" ht="12.8" hidden="false" customHeight="false" outlineLevel="0" collapsed="false">
      <c r="A394" s="0" t="s">
        <v>634</v>
      </c>
      <c r="B394" s="0" t="s">
        <v>635</v>
      </c>
      <c r="C394" s="0" t="s">
        <v>19</v>
      </c>
      <c r="D394" s="0" t="s">
        <v>49</v>
      </c>
      <c r="E394" s="0" t="n">
        <v>23482.91</v>
      </c>
      <c r="F394" s="0" t="n">
        <v>48</v>
      </c>
      <c r="G394" s="0" t="str">
        <f aca="false">IF(F394&lt;=30,"Current",IF(F394&lt;=60,"31 to 60 days",IF(F394&lt;=90,"61 to 90 days",IF(F394&lt;=120,"91 to 120 days","Over 120 days"))))</f>
        <v>31 to 60 days</v>
      </c>
      <c r="H394" s="0" t="n">
        <f aca="false">VLOOKUP(D394,Rates!$A$4:$B$7,2,FALSE())</f>
        <v>0.02</v>
      </c>
      <c r="I394" s="0" t="n">
        <f aca="false">VLOOKUP(F394,Rates!$D$4:$E$8,2)</f>
        <v>0.1</v>
      </c>
      <c r="J394" s="0" t="n">
        <f aca="false">ROUND(E394*I394,2)</f>
        <v>2348.29</v>
      </c>
      <c r="K394" s="1" t="n">
        <f aca="false">PV(H394/12,F394/30,0,-E394)</f>
        <v>23420.4243148633</v>
      </c>
      <c r="L394" s="0" t="n">
        <f aca="false">ROUND(E394-K394,2)</f>
        <v>62.49</v>
      </c>
      <c r="M394" s="0" t="n">
        <f aca="false">F394/E394</f>
        <v>0.00204403968673388</v>
      </c>
    </row>
    <row r="395" customFormat="false" ht="12.8" hidden="false" customHeight="false" outlineLevel="0" collapsed="false">
      <c r="A395" s="0" t="s">
        <v>636</v>
      </c>
      <c r="B395" s="0" t="s">
        <v>637</v>
      </c>
      <c r="C395" s="0" t="s">
        <v>42</v>
      </c>
      <c r="D395" s="0" t="s">
        <v>49</v>
      </c>
      <c r="E395" s="0" t="n">
        <v>14111.62</v>
      </c>
      <c r="F395" s="0" t="n">
        <v>114</v>
      </c>
      <c r="G395" s="0" t="str">
        <f aca="false">IF(F395&lt;=30,"Current",IF(F395&lt;=60,"31 to 60 days",IF(F395&lt;=90,"61 to 90 days",IF(F395&lt;=120,"91 to 120 days","Over 120 days"))))</f>
        <v>91 to 120 days</v>
      </c>
      <c r="H395" s="0" t="n">
        <f aca="false">VLOOKUP(D395,Rates!$A$4:$B$7,2,FALSE())</f>
        <v>0.02</v>
      </c>
      <c r="I395" s="0" t="n">
        <f aca="false">VLOOKUP(F395,Rates!$D$4:$E$8,2)</f>
        <v>0.5</v>
      </c>
      <c r="J395" s="0" t="n">
        <f aca="false">ROUND(E395*I395,2)</f>
        <v>7055.81</v>
      </c>
      <c r="K395" s="1" t="n">
        <f aca="false">PV(H395/12,F395/30,0,-E395)</f>
        <v>14022.602752369</v>
      </c>
      <c r="L395" s="0" t="n">
        <f aca="false">ROUND(E395-K395,2)</f>
        <v>89.02</v>
      </c>
      <c r="M395" s="0" t="n">
        <f aca="false">F395/E395</f>
        <v>0.00807844882444397</v>
      </c>
    </row>
    <row r="396" customFormat="false" ht="12.8" hidden="false" customHeight="false" outlineLevel="0" collapsed="false">
      <c r="A396" s="0" t="s">
        <v>638</v>
      </c>
      <c r="B396" s="0" t="s">
        <v>639</v>
      </c>
      <c r="C396" s="0" t="s">
        <v>31</v>
      </c>
      <c r="D396" s="0" t="s">
        <v>49</v>
      </c>
      <c r="E396" s="0" t="n">
        <v>33410.19</v>
      </c>
      <c r="F396" s="0" t="n">
        <v>304</v>
      </c>
      <c r="G396" s="0" t="str">
        <f aca="false">IF(F396&lt;=30,"Current",IF(F396&lt;=60,"31 to 60 days",IF(F396&lt;=90,"61 to 90 days",IF(F396&lt;=120,"91 to 120 days","Over 120 days"))))</f>
        <v>Over 120 days</v>
      </c>
      <c r="H396" s="0" t="n">
        <f aca="false">VLOOKUP(D396,Rates!$A$4:$B$7,2,FALSE())</f>
        <v>0.02</v>
      </c>
      <c r="I396" s="0" t="n">
        <f aca="false">VLOOKUP(F396,Rates!$D$4:$E$8,2)</f>
        <v>0.85</v>
      </c>
      <c r="J396" s="0" t="n">
        <f aca="false">ROUND(E396*I396,2)</f>
        <v>28398.66</v>
      </c>
      <c r="K396" s="1" t="n">
        <f aca="false">PV(H396/12,F396/30,0,-E396)</f>
        <v>32851.1290052049</v>
      </c>
      <c r="L396" s="0" t="n">
        <f aca="false">ROUND(E396-K396,2)</f>
        <v>559.06</v>
      </c>
      <c r="M396" s="0" t="n">
        <f aca="false">F396/E396</f>
        <v>0.0090990203886898</v>
      </c>
    </row>
    <row r="397" customFormat="false" ht="12.8" hidden="false" customHeight="false" outlineLevel="0" collapsed="false">
      <c r="A397" s="0" t="s">
        <v>640</v>
      </c>
      <c r="B397" s="0" t="s">
        <v>641</v>
      </c>
      <c r="C397" s="0" t="s">
        <v>31</v>
      </c>
      <c r="D397" s="0" t="s">
        <v>49</v>
      </c>
      <c r="E397" s="0" t="n">
        <v>15943.81</v>
      </c>
      <c r="F397" s="0" t="n">
        <v>214</v>
      </c>
      <c r="G397" s="0" t="str">
        <f aca="false">IF(F397&lt;=30,"Current",IF(F397&lt;=60,"31 to 60 days",IF(F397&lt;=90,"61 to 90 days",IF(F397&lt;=120,"91 to 120 days","Over 120 days"))))</f>
        <v>Over 120 days</v>
      </c>
      <c r="H397" s="0" t="n">
        <f aca="false">VLOOKUP(D397,Rates!$A$4:$B$7,2,FALSE())</f>
        <v>0.02</v>
      </c>
      <c r="I397" s="0" t="n">
        <f aca="false">VLOOKUP(F397,Rates!$D$4:$E$8,2)</f>
        <v>0.85</v>
      </c>
      <c r="J397" s="0" t="n">
        <f aca="false">ROUND(E397*I397,2)</f>
        <v>13552.24</v>
      </c>
      <c r="K397" s="1" t="n">
        <f aca="false">PV(H397/12,F397/30,0,-E397)</f>
        <v>15755.5340790658</v>
      </c>
      <c r="L397" s="0" t="n">
        <f aca="false">ROUND(E397-K397,2)</f>
        <v>188.28</v>
      </c>
      <c r="M397" s="0" t="n">
        <f aca="false">F397/E397</f>
        <v>0.0134221368669095</v>
      </c>
    </row>
    <row r="398" customFormat="false" ht="12.8" hidden="false" customHeight="false" outlineLevel="0" collapsed="false">
      <c r="A398" s="0" t="s">
        <v>642</v>
      </c>
      <c r="B398" s="0" t="s">
        <v>643</v>
      </c>
      <c r="C398" s="0" t="s">
        <v>26</v>
      </c>
      <c r="D398" s="0" t="s">
        <v>16</v>
      </c>
      <c r="E398" s="0" t="n">
        <v>30743.02</v>
      </c>
      <c r="F398" s="0" t="n">
        <v>378</v>
      </c>
      <c r="G398" s="0" t="str">
        <f aca="false">IF(F398&lt;=30,"Current",IF(F398&lt;=60,"31 to 60 days",IF(F398&lt;=90,"61 to 90 days",IF(F398&lt;=120,"91 to 120 days","Over 120 days"))))</f>
        <v>Over 120 days</v>
      </c>
      <c r="H398" s="0" t="n">
        <f aca="false">VLOOKUP(D398,Rates!$A$4:$B$7,2,FALSE())</f>
        <v>0.085</v>
      </c>
      <c r="I398" s="0" t="n">
        <f aca="false">VLOOKUP(F398,Rates!$D$4:$E$8,2)</f>
        <v>0.85</v>
      </c>
      <c r="J398" s="0" t="n">
        <f aca="false">ROUND(E398*I398,2)</f>
        <v>26131.57</v>
      </c>
      <c r="K398" s="1" t="n">
        <f aca="false">PV(H398/12,F398/30,0,-E398)</f>
        <v>28126.9329587795</v>
      </c>
      <c r="L398" s="0" t="n">
        <f aca="false">ROUND(E398-K398,2)</f>
        <v>2616.09</v>
      </c>
      <c r="M398" s="0" t="n">
        <f aca="false">F398/E398</f>
        <v>0.0122954738994412</v>
      </c>
    </row>
    <row r="399" customFormat="false" ht="12.8" hidden="false" customHeight="false" outlineLevel="0" collapsed="false">
      <c r="A399" s="0" t="s">
        <v>644</v>
      </c>
      <c r="B399" s="0" t="s">
        <v>645</v>
      </c>
      <c r="C399" s="0" t="s">
        <v>19</v>
      </c>
      <c r="D399" s="0" t="s">
        <v>49</v>
      </c>
      <c r="E399" s="0" t="n">
        <v>43531.05</v>
      </c>
      <c r="F399" s="0" t="n">
        <v>41</v>
      </c>
      <c r="G399" s="0" t="str">
        <f aca="false">IF(F399&lt;=30,"Current",IF(F399&lt;=60,"31 to 60 days",IF(F399&lt;=90,"61 to 90 days",IF(F399&lt;=120,"91 to 120 days","Over 120 days"))))</f>
        <v>31 to 60 days</v>
      </c>
      <c r="H399" s="0" t="n">
        <f aca="false">VLOOKUP(D399,Rates!$A$4:$B$7,2,FALSE())</f>
        <v>0.02</v>
      </c>
      <c r="I399" s="0" t="n">
        <f aca="false">VLOOKUP(F399,Rates!$D$4:$E$8,2)</f>
        <v>0.1</v>
      </c>
      <c r="J399" s="0" t="n">
        <f aca="false">ROUND(E399*I399,2)</f>
        <v>4353.11</v>
      </c>
      <c r="K399" s="1" t="n">
        <f aca="false">PV(H399/12,F399/30,0,-E399)</f>
        <v>43432.0911304101</v>
      </c>
      <c r="L399" s="0" t="n">
        <f aca="false">ROUND(E399-K399,2)</f>
        <v>98.96</v>
      </c>
      <c r="M399" s="0" t="n">
        <f aca="false">F399/E399</f>
        <v>0.000941856444997307</v>
      </c>
    </row>
    <row r="400" customFormat="false" ht="12.8" hidden="false" customHeight="false" outlineLevel="0" collapsed="false">
      <c r="A400" s="0" t="s">
        <v>646</v>
      </c>
      <c r="B400" s="0" t="s">
        <v>647</v>
      </c>
      <c r="C400" s="0" t="s">
        <v>42</v>
      </c>
      <c r="D400" s="0" t="s">
        <v>49</v>
      </c>
      <c r="E400" s="0" t="n">
        <v>9191.46</v>
      </c>
      <c r="F400" s="0" t="n">
        <v>335</v>
      </c>
      <c r="G400" s="0" t="str">
        <f aca="false">IF(F400&lt;=30,"Current",IF(F400&lt;=60,"31 to 60 days",IF(F400&lt;=90,"61 to 90 days",IF(F400&lt;=120,"91 to 120 days","Over 120 days"))))</f>
        <v>Over 120 days</v>
      </c>
      <c r="H400" s="0" t="n">
        <f aca="false">VLOOKUP(D400,Rates!$A$4:$B$7,2,FALSE())</f>
        <v>0.02</v>
      </c>
      <c r="I400" s="0" t="n">
        <f aca="false">VLOOKUP(F400,Rates!$D$4:$E$8,2)</f>
        <v>0.85</v>
      </c>
      <c r="J400" s="0" t="n">
        <f aca="false">ROUND(E400*I400,2)</f>
        <v>7812.74</v>
      </c>
      <c r="K400" s="1" t="n">
        <f aca="false">PV(H400/12,F400/30,0,-E400)</f>
        <v>9022.11849604599</v>
      </c>
      <c r="L400" s="0" t="n">
        <f aca="false">ROUND(E400-K400,2)</f>
        <v>169.34</v>
      </c>
      <c r="M400" s="0" t="n">
        <f aca="false">F400/E400</f>
        <v>0.0364468756867788</v>
      </c>
    </row>
    <row r="401" customFormat="false" ht="12.8" hidden="false" customHeight="false" outlineLevel="0" collapsed="false">
      <c r="A401" s="0" t="s">
        <v>648</v>
      </c>
      <c r="B401" s="0" t="s">
        <v>97</v>
      </c>
      <c r="C401" s="0" t="s">
        <v>42</v>
      </c>
      <c r="D401" s="0" t="s">
        <v>20</v>
      </c>
      <c r="E401" s="0" t="n">
        <v>32227.08</v>
      </c>
      <c r="F401" s="0" t="n">
        <v>18</v>
      </c>
      <c r="G401" s="0" t="str">
        <f aca="false">IF(F401&lt;=30,"Current",IF(F401&lt;=60,"31 to 60 days",IF(F401&lt;=90,"61 to 90 days",IF(F401&lt;=120,"91 to 120 days","Over 120 days"))))</f>
        <v>Current</v>
      </c>
      <c r="H401" s="0" t="n">
        <f aca="false">VLOOKUP(D401,Rates!$A$4:$B$7,2,FALSE())</f>
        <v>0.05</v>
      </c>
      <c r="I401" s="0" t="n">
        <f aca="false">VLOOKUP(F401,Rates!$D$4:$E$8,2)</f>
        <v>0.02</v>
      </c>
      <c r="J401" s="0" t="n">
        <f aca="false">ROUND(E401*I401,2)</f>
        <v>644.54</v>
      </c>
      <c r="K401" s="1" t="n">
        <f aca="false">PV(H401/12,F401/30,0,-E401)</f>
        <v>32146.7798928265</v>
      </c>
      <c r="L401" s="0" t="n">
        <f aca="false">ROUND(E401-K401,2)</f>
        <v>80.3</v>
      </c>
      <c r="M401" s="0" t="n">
        <f aca="false">F401/E401</f>
        <v>0.000558536485465019</v>
      </c>
    </row>
    <row r="402" customFormat="false" ht="12.8" hidden="false" customHeight="false" outlineLevel="0" collapsed="false">
      <c r="A402" s="0" t="s">
        <v>649</v>
      </c>
      <c r="B402" s="0" t="s">
        <v>650</v>
      </c>
      <c r="C402" s="0" t="s">
        <v>26</v>
      </c>
      <c r="D402" s="0" t="s">
        <v>16</v>
      </c>
      <c r="E402" s="0" t="n">
        <v>53.73</v>
      </c>
      <c r="F402" s="0" t="n">
        <v>372</v>
      </c>
      <c r="G402" s="0" t="str">
        <f aca="false">IF(F402&lt;=30,"Current",IF(F402&lt;=60,"31 to 60 days",IF(F402&lt;=90,"61 to 90 days",IF(F402&lt;=120,"91 to 120 days","Over 120 days"))))</f>
        <v>Over 120 days</v>
      </c>
      <c r="H402" s="0" t="n">
        <f aca="false">VLOOKUP(D402,Rates!$A$4:$B$7,2,FALSE())</f>
        <v>0.085</v>
      </c>
      <c r="I402" s="0" t="n">
        <f aca="false">VLOOKUP(F402,Rates!$D$4:$E$8,2)</f>
        <v>0.85</v>
      </c>
      <c r="J402" s="0" t="n">
        <f aca="false">ROUND(E402*I402,2)</f>
        <v>45.67</v>
      </c>
      <c r="K402" s="1" t="n">
        <f aca="false">PV(H402/12,F402/30,0,-E402)</f>
        <v>49.2272723798131</v>
      </c>
      <c r="L402" s="0" t="n">
        <f aca="false">ROUND(E402-K402,2)</f>
        <v>4.5</v>
      </c>
      <c r="M402" s="0" t="n">
        <f aca="false">F402/E402</f>
        <v>6.92350642099386</v>
      </c>
    </row>
    <row r="403" customFormat="false" ht="12.8" hidden="false" customHeight="false" outlineLevel="0" collapsed="false">
      <c r="A403" s="0" t="s">
        <v>651</v>
      </c>
      <c r="B403" s="0" t="s">
        <v>97</v>
      </c>
      <c r="C403" s="0" t="s">
        <v>42</v>
      </c>
      <c r="D403" s="0" t="s">
        <v>20</v>
      </c>
      <c r="E403" s="0" t="n">
        <v>43426.39</v>
      </c>
      <c r="F403" s="0" t="n">
        <v>156</v>
      </c>
      <c r="G403" s="0" t="str">
        <f aca="false">IF(F403&lt;=30,"Current",IF(F403&lt;=60,"31 to 60 days",IF(F403&lt;=90,"61 to 90 days",IF(F403&lt;=120,"91 to 120 days","Over 120 days"))))</f>
        <v>Over 120 days</v>
      </c>
      <c r="H403" s="0" t="n">
        <f aca="false">VLOOKUP(D403,Rates!$A$4:$B$7,2,FALSE())</f>
        <v>0.05</v>
      </c>
      <c r="I403" s="0" t="n">
        <f aca="false">VLOOKUP(F403,Rates!$D$4:$E$8,2)</f>
        <v>0.85</v>
      </c>
      <c r="J403" s="0" t="n">
        <f aca="false">ROUND(E403*I403,2)</f>
        <v>36912.43</v>
      </c>
      <c r="K403" s="1" t="n">
        <f aca="false">PV(H403/12,F403/30,0,-E403)</f>
        <v>42497.5177377093</v>
      </c>
      <c r="L403" s="0" t="n">
        <f aca="false">ROUND(E403-K403,2)</f>
        <v>928.87</v>
      </c>
      <c r="M403" s="0" t="n">
        <f aca="false">F403/E403</f>
        <v>0.00359228570461418</v>
      </c>
    </row>
    <row r="404" customFormat="false" ht="12.8" hidden="false" customHeight="false" outlineLevel="0" collapsed="false">
      <c r="A404" s="0" t="s">
        <v>652</v>
      </c>
      <c r="B404" s="0" t="s">
        <v>28</v>
      </c>
      <c r="C404" s="0" t="s">
        <v>15</v>
      </c>
      <c r="D404" s="0" t="s">
        <v>20</v>
      </c>
      <c r="E404" s="0" t="n">
        <v>8033.2</v>
      </c>
      <c r="F404" s="0" t="n">
        <v>369</v>
      </c>
      <c r="G404" s="0" t="str">
        <f aca="false">IF(F404&lt;=30,"Current",IF(F404&lt;=60,"31 to 60 days",IF(F404&lt;=90,"61 to 90 days",IF(F404&lt;=120,"91 to 120 days","Over 120 days"))))</f>
        <v>Over 120 days</v>
      </c>
      <c r="H404" s="0" t="n">
        <f aca="false">VLOOKUP(D404,Rates!$A$4:$B$7,2,FALSE())</f>
        <v>0.05</v>
      </c>
      <c r="I404" s="0" t="n">
        <f aca="false">VLOOKUP(F404,Rates!$D$4:$E$8,2)</f>
        <v>0.85</v>
      </c>
      <c r="J404" s="0" t="n">
        <f aca="false">ROUND(E404*I404,2)</f>
        <v>6828.22</v>
      </c>
      <c r="K404" s="1" t="n">
        <f aca="false">PV(H404/12,F404/30,0,-E404)</f>
        <v>7632.6830579757</v>
      </c>
      <c r="L404" s="0" t="n">
        <f aca="false">ROUND(E404-K404,2)</f>
        <v>400.52</v>
      </c>
      <c r="M404" s="0" t="n">
        <f aca="false">F404/E404</f>
        <v>0.0459343723547279</v>
      </c>
    </row>
    <row r="405" customFormat="false" ht="12.8" hidden="false" customHeight="false" outlineLevel="0" collapsed="false">
      <c r="A405" s="0" t="s">
        <v>653</v>
      </c>
      <c r="B405" s="0" t="s">
        <v>654</v>
      </c>
      <c r="C405" s="0" t="s">
        <v>31</v>
      </c>
      <c r="D405" s="0" t="s">
        <v>16</v>
      </c>
      <c r="E405" s="0" t="n">
        <v>20454.42</v>
      </c>
      <c r="F405" s="0" t="n">
        <v>179</v>
      </c>
      <c r="G405" s="0" t="str">
        <f aca="false">IF(F405&lt;=30,"Current",IF(F405&lt;=60,"31 to 60 days",IF(F405&lt;=90,"61 to 90 days",IF(F405&lt;=120,"91 to 120 days","Over 120 days"))))</f>
        <v>Over 120 days</v>
      </c>
      <c r="H405" s="0" t="n">
        <f aca="false">VLOOKUP(D405,Rates!$A$4:$B$7,2,FALSE())</f>
        <v>0.085</v>
      </c>
      <c r="I405" s="0" t="n">
        <f aca="false">VLOOKUP(F405,Rates!$D$4:$E$8,2)</f>
        <v>0.85</v>
      </c>
      <c r="J405" s="0" t="n">
        <f aca="false">ROUND(E405*I405,2)</f>
        <v>17386.26</v>
      </c>
      <c r="K405" s="1" t="n">
        <f aca="false">PV(H405/12,F405/30,0,-E405)</f>
        <v>19610.8716535394</v>
      </c>
      <c r="L405" s="0" t="n">
        <f aca="false">ROUND(E405-K405,2)</f>
        <v>843.55</v>
      </c>
      <c r="M405" s="0" t="n">
        <f aca="false">F405/E405</f>
        <v>0.00875116478492179</v>
      </c>
    </row>
    <row r="406" customFormat="false" ht="12.8" hidden="false" customHeight="false" outlineLevel="0" collapsed="false">
      <c r="A406" s="0" t="s">
        <v>655</v>
      </c>
      <c r="B406" s="0" t="s">
        <v>33</v>
      </c>
      <c r="C406" s="0" t="s">
        <v>26</v>
      </c>
      <c r="D406" s="0" t="s">
        <v>20</v>
      </c>
      <c r="E406" s="0" t="n">
        <v>11871.65</v>
      </c>
      <c r="F406" s="0" t="n">
        <v>306</v>
      </c>
      <c r="G406" s="0" t="str">
        <f aca="false">IF(F406&lt;=30,"Current",IF(F406&lt;=60,"31 to 60 days",IF(F406&lt;=90,"61 to 90 days",IF(F406&lt;=120,"91 to 120 days","Over 120 days"))))</f>
        <v>Over 120 days</v>
      </c>
      <c r="H406" s="0" t="n">
        <f aca="false">VLOOKUP(D406,Rates!$A$4:$B$7,2,FALSE())</f>
        <v>0.05</v>
      </c>
      <c r="I406" s="0" t="n">
        <f aca="false">VLOOKUP(F406,Rates!$D$4:$E$8,2)</f>
        <v>0.85</v>
      </c>
      <c r="J406" s="0" t="n">
        <f aca="false">ROUND(E406*I406,2)</f>
        <v>10090.9</v>
      </c>
      <c r="K406" s="1" t="n">
        <f aca="false">PV(H406/12,F406/30,0,-E406)</f>
        <v>11378.6808231525</v>
      </c>
      <c r="L406" s="0" t="n">
        <f aca="false">ROUND(E406-K406,2)</f>
        <v>492.97</v>
      </c>
      <c r="M406" s="0" t="n">
        <f aca="false">F406/E406</f>
        <v>0.0257756925111505</v>
      </c>
    </row>
    <row r="407" customFormat="false" ht="12.8" hidden="false" customHeight="false" outlineLevel="0" collapsed="false">
      <c r="A407" s="0" t="s">
        <v>656</v>
      </c>
      <c r="B407" s="0" t="s">
        <v>534</v>
      </c>
      <c r="C407" s="0" t="s">
        <v>26</v>
      </c>
      <c r="D407" s="0" t="s">
        <v>23</v>
      </c>
      <c r="E407" s="0" t="n">
        <v>27647.46</v>
      </c>
      <c r="F407" s="0" t="n">
        <v>20</v>
      </c>
      <c r="G407" s="0" t="str">
        <f aca="false">IF(F407&lt;=30,"Current",IF(F407&lt;=60,"31 to 60 days",IF(F407&lt;=90,"61 to 90 days",IF(F407&lt;=120,"91 to 120 days","Over 120 days"))))</f>
        <v>Current</v>
      </c>
      <c r="H407" s="0" t="n">
        <f aca="false">VLOOKUP(D407,Rates!$A$4:$B$7,2,FALSE())</f>
        <v>0.115</v>
      </c>
      <c r="I407" s="0" t="n">
        <f aca="false">VLOOKUP(F407,Rates!$D$4:$E$8,2)</f>
        <v>0.02</v>
      </c>
      <c r="J407" s="0" t="n">
        <f aca="false">ROUND(E407*I407,2)</f>
        <v>552.95</v>
      </c>
      <c r="K407" s="1" t="n">
        <f aca="false">PV(H407/12,F407/30,0,-E407)</f>
        <v>27472.2221771855</v>
      </c>
      <c r="L407" s="0" t="n">
        <f aca="false">ROUND(E407-K407,2)</f>
        <v>175.24</v>
      </c>
      <c r="M407" s="0" t="n">
        <f aca="false">F407/E407</f>
        <v>0.000723393758413974</v>
      </c>
    </row>
    <row r="408" customFormat="false" ht="12.8" hidden="false" customHeight="false" outlineLevel="0" collapsed="false">
      <c r="A408" s="0" t="s">
        <v>657</v>
      </c>
      <c r="B408" s="0" t="s">
        <v>53</v>
      </c>
      <c r="C408" s="0" t="s">
        <v>19</v>
      </c>
      <c r="D408" s="0" t="s">
        <v>23</v>
      </c>
      <c r="E408" s="0" t="n">
        <v>36613.54</v>
      </c>
      <c r="F408" s="0" t="n">
        <v>270</v>
      </c>
      <c r="G408" s="0" t="str">
        <f aca="false">IF(F408&lt;=30,"Current",IF(F408&lt;=60,"31 to 60 days",IF(F408&lt;=90,"61 to 90 days",IF(F408&lt;=120,"91 to 120 days","Over 120 days"))))</f>
        <v>Over 120 days</v>
      </c>
      <c r="H408" s="0" t="n">
        <f aca="false">VLOOKUP(D408,Rates!$A$4:$B$7,2,FALSE())</f>
        <v>0.115</v>
      </c>
      <c r="I408" s="0" t="n">
        <f aca="false">VLOOKUP(F408,Rates!$D$4:$E$8,2)</f>
        <v>0.85</v>
      </c>
      <c r="J408" s="0" t="n">
        <f aca="false">ROUND(E408*I408,2)</f>
        <v>31121.51</v>
      </c>
      <c r="K408" s="1" t="n">
        <f aca="false">PV(H408/12,F408/30,0,-E408)</f>
        <v>33601.7711045602</v>
      </c>
      <c r="L408" s="0" t="n">
        <f aca="false">ROUND(E408-K408,2)</f>
        <v>3011.77</v>
      </c>
      <c r="M408" s="0" t="n">
        <f aca="false">F408/E408</f>
        <v>0.00737432108449497</v>
      </c>
    </row>
    <row r="409" customFormat="false" ht="12.8" hidden="false" customHeight="false" outlineLevel="0" collapsed="false">
      <c r="A409" s="0" t="s">
        <v>658</v>
      </c>
      <c r="B409" s="0" t="s">
        <v>659</v>
      </c>
      <c r="C409" s="0" t="s">
        <v>19</v>
      </c>
      <c r="D409" s="0" t="s">
        <v>16</v>
      </c>
      <c r="E409" s="0" t="n">
        <v>33364.51</v>
      </c>
      <c r="F409" s="0" t="n">
        <v>342</v>
      </c>
      <c r="G409" s="0" t="str">
        <f aca="false">IF(F409&lt;=30,"Current",IF(F409&lt;=60,"31 to 60 days",IF(F409&lt;=90,"61 to 90 days",IF(F409&lt;=120,"91 to 120 days","Over 120 days"))))</f>
        <v>Over 120 days</v>
      </c>
      <c r="H409" s="0" t="n">
        <f aca="false">VLOOKUP(D409,Rates!$A$4:$B$7,2,FALSE())</f>
        <v>0.085</v>
      </c>
      <c r="I409" s="0" t="n">
        <f aca="false">VLOOKUP(F409,Rates!$D$4:$E$8,2)</f>
        <v>0.85</v>
      </c>
      <c r="J409" s="0" t="n">
        <f aca="false">ROUND(E409*I409,2)</f>
        <v>28359.83</v>
      </c>
      <c r="K409" s="1" t="n">
        <f aca="false">PV(H409/12,F409/30,0,-E409)</f>
        <v>30784.9953221401</v>
      </c>
      <c r="L409" s="0" t="n">
        <f aca="false">ROUND(E409-K409,2)</f>
        <v>2579.51</v>
      </c>
      <c r="M409" s="0" t="n">
        <f aca="false">F409/E409</f>
        <v>0.0102504127889185</v>
      </c>
    </row>
    <row r="410" customFormat="false" ht="12.8" hidden="false" customHeight="false" outlineLevel="0" collapsed="false">
      <c r="A410" s="0" t="s">
        <v>660</v>
      </c>
      <c r="B410" s="0" t="s">
        <v>661</v>
      </c>
      <c r="C410" s="0" t="s">
        <v>42</v>
      </c>
      <c r="D410" s="0" t="s">
        <v>49</v>
      </c>
      <c r="E410" s="0" t="n">
        <v>25947.97</v>
      </c>
      <c r="F410" s="0" t="n">
        <v>286</v>
      </c>
      <c r="G410" s="0" t="str">
        <f aca="false">IF(F410&lt;=30,"Current",IF(F410&lt;=60,"31 to 60 days",IF(F410&lt;=90,"61 to 90 days",IF(F410&lt;=120,"91 to 120 days","Over 120 days"))))</f>
        <v>Over 120 days</v>
      </c>
      <c r="H410" s="0" t="n">
        <f aca="false">VLOOKUP(D410,Rates!$A$4:$B$7,2,FALSE())</f>
        <v>0.02</v>
      </c>
      <c r="I410" s="0" t="n">
        <f aca="false">VLOOKUP(F410,Rates!$D$4:$E$8,2)</f>
        <v>0.85</v>
      </c>
      <c r="J410" s="0" t="n">
        <f aca="false">ROUND(E410*I410,2)</f>
        <v>22055.77</v>
      </c>
      <c r="K410" s="1" t="n">
        <f aca="false">PV(H410/12,F410/30,0,-E410)</f>
        <v>25539.2814612494</v>
      </c>
      <c r="L410" s="0" t="n">
        <f aca="false">ROUND(E410-K410,2)</f>
        <v>408.69</v>
      </c>
      <c r="M410" s="0" t="n">
        <f aca="false">F410/E410</f>
        <v>0.0110220568314207</v>
      </c>
    </row>
    <row r="411" customFormat="false" ht="12.8" hidden="false" customHeight="false" outlineLevel="0" collapsed="false">
      <c r="A411" s="0" t="s">
        <v>662</v>
      </c>
      <c r="B411" s="0" t="s">
        <v>413</v>
      </c>
      <c r="C411" s="0" t="s">
        <v>36</v>
      </c>
      <c r="D411" s="0" t="s">
        <v>23</v>
      </c>
      <c r="E411" s="0" t="n">
        <v>25365.63</v>
      </c>
      <c r="F411" s="0" t="n">
        <v>129</v>
      </c>
      <c r="G411" s="0" t="str">
        <f aca="false">IF(F411&lt;=30,"Current",IF(F411&lt;=60,"31 to 60 days",IF(F411&lt;=90,"61 to 90 days",IF(F411&lt;=120,"91 to 120 days","Over 120 days"))))</f>
        <v>Over 120 days</v>
      </c>
      <c r="H411" s="0" t="n">
        <f aca="false">VLOOKUP(D411,Rates!$A$4:$B$7,2,FALSE())</f>
        <v>0.115</v>
      </c>
      <c r="I411" s="0" t="n">
        <f aca="false">VLOOKUP(F411,Rates!$D$4:$E$8,2)</f>
        <v>0.85</v>
      </c>
      <c r="J411" s="0" t="n">
        <f aca="false">ROUND(E411*I411,2)</f>
        <v>21560.79</v>
      </c>
      <c r="K411" s="1" t="n">
        <f aca="false">PV(H411/12,F411/30,0,-E411)</f>
        <v>24346.3752680226</v>
      </c>
      <c r="L411" s="0" t="n">
        <f aca="false">ROUND(E411-K411,2)</f>
        <v>1019.25</v>
      </c>
      <c r="M411" s="0" t="n">
        <f aca="false">F411/E411</f>
        <v>0.00508562176456883</v>
      </c>
    </row>
    <row r="412" customFormat="false" ht="12.8" hidden="false" customHeight="false" outlineLevel="0" collapsed="false">
      <c r="A412" s="0" t="s">
        <v>663</v>
      </c>
      <c r="B412" s="0" t="s">
        <v>33</v>
      </c>
      <c r="C412" s="0" t="s">
        <v>26</v>
      </c>
      <c r="D412" s="0" t="s">
        <v>20</v>
      </c>
      <c r="E412" s="0" t="n">
        <v>37748.19</v>
      </c>
      <c r="F412" s="0" t="n">
        <v>239</v>
      </c>
      <c r="G412" s="0" t="str">
        <f aca="false">IF(F412&lt;=30,"Current",IF(F412&lt;=60,"31 to 60 days",IF(F412&lt;=90,"61 to 90 days",IF(F412&lt;=120,"91 to 120 days","Over 120 days"))))</f>
        <v>Over 120 days</v>
      </c>
      <c r="H412" s="0" t="n">
        <f aca="false">VLOOKUP(D412,Rates!$A$4:$B$7,2,FALSE())</f>
        <v>0.05</v>
      </c>
      <c r="I412" s="0" t="n">
        <f aca="false">VLOOKUP(F412,Rates!$D$4:$E$8,2)</f>
        <v>0.85</v>
      </c>
      <c r="J412" s="0" t="n">
        <f aca="false">ROUND(E412*I412,2)</f>
        <v>32085.96</v>
      </c>
      <c r="K412" s="1" t="n">
        <f aca="false">PV(H412/12,F412/30,0,-E412)</f>
        <v>36518.2467515029</v>
      </c>
      <c r="L412" s="0" t="n">
        <f aca="false">ROUND(E412-K412,2)</f>
        <v>1229.94</v>
      </c>
      <c r="M412" s="0" t="n">
        <f aca="false">F412/E412</f>
        <v>0.00633142940098585</v>
      </c>
    </row>
    <row r="413" customFormat="false" ht="12.8" hidden="false" customHeight="false" outlineLevel="0" collapsed="false">
      <c r="A413" s="0" t="s">
        <v>664</v>
      </c>
      <c r="B413" s="0" t="s">
        <v>53</v>
      </c>
      <c r="C413" s="0" t="s">
        <v>19</v>
      </c>
      <c r="D413" s="0" t="s">
        <v>23</v>
      </c>
      <c r="E413" s="0" t="n">
        <v>39345.59</v>
      </c>
      <c r="F413" s="0" t="n">
        <v>235</v>
      </c>
      <c r="G413" s="0" t="str">
        <f aca="false">IF(F413&lt;=30,"Current",IF(F413&lt;=60,"31 to 60 days",IF(F413&lt;=90,"61 to 90 days",IF(F413&lt;=120,"91 to 120 days","Over 120 days"))))</f>
        <v>Over 120 days</v>
      </c>
      <c r="H413" s="0" t="n">
        <f aca="false">VLOOKUP(D413,Rates!$A$4:$B$7,2,FALSE())</f>
        <v>0.115</v>
      </c>
      <c r="I413" s="0" t="n">
        <f aca="false">VLOOKUP(F413,Rates!$D$4:$E$8,2)</f>
        <v>0.85</v>
      </c>
      <c r="J413" s="0" t="n">
        <f aca="false">ROUND(E413*I413,2)</f>
        <v>33443.75</v>
      </c>
      <c r="K413" s="1" t="n">
        <f aca="false">PV(H413/12,F413/30,0,-E413)</f>
        <v>36513.128432354</v>
      </c>
      <c r="L413" s="0" t="n">
        <f aca="false">ROUND(E413-K413,2)</f>
        <v>2832.46</v>
      </c>
      <c r="M413" s="0" t="n">
        <f aca="false">F413/E413</f>
        <v>0.00597271511241794</v>
      </c>
    </row>
    <row r="414" customFormat="false" ht="12.8" hidden="false" customHeight="false" outlineLevel="0" collapsed="false">
      <c r="A414" s="0" t="s">
        <v>665</v>
      </c>
      <c r="B414" s="0" t="s">
        <v>666</v>
      </c>
      <c r="C414" s="0" t="s">
        <v>26</v>
      </c>
      <c r="D414" s="0" t="s">
        <v>49</v>
      </c>
      <c r="E414" s="0" t="n">
        <v>41230.65</v>
      </c>
      <c r="F414" s="0" t="n">
        <v>303</v>
      </c>
      <c r="G414" s="0" t="str">
        <f aca="false">IF(F414&lt;=30,"Current",IF(F414&lt;=60,"31 to 60 days",IF(F414&lt;=90,"61 to 90 days",IF(F414&lt;=120,"91 to 120 days","Over 120 days"))))</f>
        <v>Over 120 days</v>
      </c>
      <c r="H414" s="0" t="n">
        <f aca="false">VLOOKUP(D414,Rates!$A$4:$B$7,2,FALSE())</f>
        <v>0.02</v>
      </c>
      <c r="I414" s="0" t="n">
        <f aca="false">VLOOKUP(F414,Rates!$D$4:$E$8,2)</f>
        <v>0.85</v>
      </c>
      <c r="J414" s="0" t="n">
        <f aca="false">ROUND(E414*I414,2)</f>
        <v>35046.05</v>
      </c>
      <c r="K414" s="1" t="n">
        <f aca="false">PV(H414/12,F414/30,0,-E414)</f>
        <v>40542.9777588836</v>
      </c>
      <c r="L414" s="0" t="n">
        <f aca="false">ROUND(E414-K414,2)</f>
        <v>687.67</v>
      </c>
      <c r="M414" s="0" t="n">
        <f aca="false">F414/E414</f>
        <v>0.00734890184850348</v>
      </c>
    </row>
    <row r="415" customFormat="false" ht="12.8" hidden="false" customHeight="false" outlineLevel="0" collapsed="false">
      <c r="A415" s="0" t="s">
        <v>667</v>
      </c>
      <c r="B415" s="0" t="s">
        <v>480</v>
      </c>
      <c r="C415" s="0" t="s">
        <v>36</v>
      </c>
      <c r="D415" s="0" t="s">
        <v>23</v>
      </c>
      <c r="E415" s="0" t="n">
        <v>19564.41</v>
      </c>
      <c r="F415" s="0" t="n">
        <v>387</v>
      </c>
      <c r="G415" s="0" t="str">
        <f aca="false">IF(F415&lt;=30,"Current",IF(F415&lt;=60,"31 to 60 days",IF(F415&lt;=90,"61 to 90 days",IF(F415&lt;=120,"91 to 120 days","Over 120 days"))))</f>
        <v>Over 120 days</v>
      </c>
      <c r="H415" s="0" t="n">
        <f aca="false">VLOOKUP(D415,Rates!$A$4:$B$7,2,FALSE())</f>
        <v>0.115</v>
      </c>
      <c r="I415" s="0" t="n">
        <f aca="false">VLOOKUP(F415,Rates!$D$4:$E$8,2)</f>
        <v>0.85</v>
      </c>
      <c r="J415" s="0" t="n">
        <f aca="false">ROUND(E415*I415,2)</f>
        <v>16629.75</v>
      </c>
      <c r="K415" s="1" t="n">
        <f aca="false">PV(H415/12,F415/30,0,-E415)</f>
        <v>17299.4673414602</v>
      </c>
      <c r="L415" s="0" t="n">
        <f aca="false">ROUND(E415-K415,2)</f>
        <v>2264.94</v>
      </c>
      <c r="M415" s="0" t="n">
        <f aca="false">F415/E415</f>
        <v>0.0197808162883522</v>
      </c>
    </row>
    <row r="416" customFormat="false" ht="12.8" hidden="false" customHeight="false" outlineLevel="0" collapsed="false">
      <c r="A416" s="0" t="s">
        <v>668</v>
      </c>
      <c r="B416" s="0" t="s">
        <v>357</v>
      </c>
      <c r="C416" s="0" t="s">
        <v>19</v>
      </c>
      <c r="D416" s="0" t="s">
        <v>23</v>
      </c>
      <c r="E416" s="0" t="n">
        <v>6006.42</v>
      </c>
      <c r="F416" s="0" t="n">
        <v>349</v>
      </c>
      <c r="G416" s="0" t="str">
        <f aca="false">IF(F416&lt;=30,"Current",IF(F416&lt;=60,"31 to 60 days",IF(F416&lt;=90,"61 to 90 days",IF(F416&lt;=120,"91 to 120 days","Over 120 days"))))</f>
        <v>Over 120 days</v>
      </c>
      <c r="H416" s="0" t="n">
        <f aca="false">VLOOKUP(D416,Rates!$A$4:$B$7,2,FALSE())</f>
        <v>0.115</v>
      </c>
      <c r="I416" s="0" t="n">
        <f aca="false">VLOOKUP(F416,Rates!$D$4:$E$8,2)</f>
        <v>0.85</v>
      </c>
      <c r="J416" s="0" t="n">
        <f aca="false">ROUND(E416*I416,2)</f>
        <v>5105.46</v>
      </c>
      <c r="K416" s="1" t="n">
        <f aca="false">PV(H416/12,F416/30,0,-E416)</f>
        <v>5375.61830953417</v>
      </c>
      <c r="L416" s="0" t="n">
        <f aca="false">ROUND(E416-K416,2)</f>
        <v>630.8</v>
      </c>
      <c r="M416" s="0" t="n">
        <f aca="false">F416/E416</f>
        <v>0.0581044948571695</v>
      </c>
    </row>
    <row r="417" customFormat="false" ht="12.8" hidden="false" customHeight="false" outlineLevel="0" collapsed="false">
      <c r="A417" s="0" t="s">
        <v>669</v>
      </c>
      <c r="B417" s="0" t="s">
        <v>670</v>
      </c>
      <c r="C417" s="0" t="s">
        <v>36</v>
      </c>
      <c r="D417" s="0" t="s">
        <v>49</v>
      </c>
      <c r="E417" s="0" t="n">
        <v>38525.37</v>
      </c>
      <c r="F417" s="0" t="n">
        <v>385</v>
      </c>
      <c r="G417" s="0" t="str">
        <f aca="false">IF(F417&lt;=30,"Current",IF(F417&lt;=60,"31 to 60 days",IF(F417&lt;=90,"61 to 90 days",IF(F417&lt;=120,"91 to 120 days","Over 120 days"))))</f>
        <v>Over 120 days</v>
      </c>
      <c r="H417" s="0" t="n">
        <f aca="false">VLOOKUP(D417,Rates!$A$4:$B$7,2,FALSE())</f>
        <v>0.02</v>
      </c>
      <c r="I417" s="0" t="n">
        <f aca="false">VLOOKUP(F417,Rates!$D$4:$E$8,2)</f>
        <v>0.85</v>
      </c>
      <c r="J417" s="0" t="n">
        <f aca="false">ROUND(E417*I417,2)</f>
        <v>32746.56</v>
      </c>
      <c r="K417" s="1" t="n">
        <f aca="false">PV(H417/12,F417/30,0,-E417)</f>
        <v>37710.7764360894</v>
      </c>
      <c r="L417" s="0" t="n">
        <f aca="false">ROUND(E417-K417,2)</f>
        <v>814.59</v>
      </c>
      <c r="M417" s="0" t="n">
        <f aca="false">F417/E417</f>
        <v>0.00999341472904738</v>
      </c>
    </row>
    <row r="418" customFormat="false" ht="12.8" hidden="false" customHeight="false" outlineLevel="0" collapsed="false">
      <c r="A418" s="0" t="s">
        <v>671</v>
      </c>
      <c r="B418" s="0" t="s">
        <v>672</v>
      </c>
      <c r="C418" s="0" t="s">
        <v>26</v>
      </c>
      <c r="D418" s="0" t="s">
        <v>16</v>
      </c>
      <c r="E418" s="0" t="n">
        <v>17510.7</v>
      </c>
      <c r="F418" s="0" t="n">
        <v>275</v>
      </c>
      <c r="G418" s="0" t="str">
        <f aca="false">IF(F418&lt;=30,"Current",IF(F418&lt;=60,"31 to 60 days",IF(F418&lt;=90,"61 to 90 days",IF(F418&lt;=120,"91 to 120 days","Over 120 days"))))</f>
        <v>Over 120 days</v>
      </c>
      <c r="H418" s="0" t="n">
        <f aca="false">VLOOKUP(D418,Rates!$A$4:$B$7,2,FALSE())</f>
        <v>0.085</v>
      </c>
      <c r="I418" s="0" t="n">
        <f aca="false">VLOOKUP(F418,Rates!$D$4:$E$8,2)</f>
        <v>0.85</v>
      </c>
      <c r="J418" s="0" t="n">
        <f aca="false">ROUND(E418*I418,2)</f>
        <v>14884.1</v>
      </c>
      <c r="K418" s="1" t="n">
        <f aca="false">PV(H418/12,F418/30,0,-E418)</f>
        <v>16413.6031155723</v>
      </c>
      <c r="L418" s="0" t="n">
        <f aca="false">ROUND(E418-K418,2)</f>
        <v>1097.1</v>
      </c>
      <c r="M418" s="0" t="n">
        <f aca="false">F418/E418</f>
        <v>0.0157046834221362</v>
      </c>
    </row>
    <row r="419" customFormat="false" ht="12.8" hidden="false" customHeight="false" outlineLevel="0" collapsed="false">
      <c r="A419" s="0" t="s">
        <v>673</v>
      </c>
      <c r="B419" s="0" t="s">
        <v>51</v>
      </c>
      <c r="C419" s="0" t="s">
        <v>36</v>
      </c>
      <c r="D419" s="0" t="s">
        <v>20</v>
      </c>
      <c r="E419" s="0" t="n">
        <v>14262.22</v>
      </c>
      <c r="F419" s="0" t="n">
        <v>178</v>
      </c>
      <c r="G419" s="0" t="str">
        <f aca="false">IF(F419&lt;=30,"Current",IF(F419&lt;=60,"31 to 60 days",IF(F419&lt;=90,"61 to 90 days",IF(F419&lt;=120,"91 to 120 days","Over 120 days"))))</f>
        <v>Over 120 days</v>
      </c>
      <c r="H419" s="0" t="n">
        <f aca="false">VLOOKUP(D419,Rates!$A$4:$B$7,2,FALSE())</f>
        <v>0.05</v>
      </c>
      <c r="I419" s="0" t="n">
        <f aca="false">VLOOKUP(F419,Rates!$D$4:$E$8,2)</f>
        <v>0.85</v>
      </c>
      <c r="J419" s="0" t="n">
        <f aca="false">ROUND(E419*I419,2)</f>
        <v>12122.89</v>
      </c>
      <c r="K419" s="1" t="n">
        <f aca="false">PV(H419/12,F419/30,0,-E419)</f>
        <v>13914.663649299</v>
      </c>
      <c r="L419" s="0" t="n">
        <f aca="false">ROUND(E419-K419,2)</f>
        <v>347.56</v>
      </c>
      <c r="M419" s="0" t="n">
        <f aca="false">F419/E419</f>
        <v>0.0124805254721916</v>
      </c>
    </row>
    <row r="420" customFormat="false" ht="12.8" hidden="false" customHeight="false" outlineLevel="0" collapsed="false">
      <c r="A420" s="0" t="s">
        <v>674</v>
      </c>
      <c r="B420" s="0" t="s">
        <v>675</v>
      </c>
      <c r="C420" s="0" t="s">
        <v>36</v>
      </c>
      <c r="D420" s="0" t="s">
        <v>49</v>
      </c>
      <c r="E420" s="0" t="n">
        <v>9850.17</v>
      </c>
      <c r="F420" s="0" t="n">
        <v>80</v>
      </c>
      <c r="G420" s="0" t="str">
        <f aca="false">IF(F420&lt;=30,"Current",IF(F420&lt;=60,"31 to 60 days",IF(F420&lt;=90,"61 to 90 days",IF(F420&lt;=120,"91 to 120 days","Over 120 days"))))</f>
        <v>61 to 90 days</v>
      </c>
      <c r="H420" s="0" t="n">
        <f aca="false">VLOOKUP(D420,Rates!$A$4:$B$7,2,FALSE())</f>
        <v>0.02</v>
      </c>
      <c r="I420" s="0" t="n">
        <f aca="false">VLOOKUP(F420,Rates!$D$4:$E$8,2)</f>
        <v>0.25</v>
      </c>
      <c r="J420" s="0" t="n">
        <f aca="false">ROUND(E420*I420,2)</f>
        <v>2462.54</v>
      </c>
      <c r="K420" s="1" t="n">
        <f aca="false">PV(H420/12,F420/30,0,-E420)</f>
        <v>9806.52488841918</v>
      </c>
      <c r="L420" s="0" t="n">
        <f aca="false">ROUND(E420-K420,2)</f>
        <v>43.65</v>
      </c>
      <c r="M420" s="0" t="n">
        <f aca="false">F420/E420</f>
        <v>0.00812168723991566</v>
      </c>
    </row>
    <row r="421" customFormat="false" ht="12.8" hidden="false" customHeight="false" outlineLevel="0" collapsed="false">
      <c r="A421" s="0" t="s">
        <v>676</v>
      </c>
      <c r="B421" s="0" t="s">
        <v>677</v>
      </c>
      <c r="C421" s="0" t="s">
        <v>15</v>
      </c>
      <c r="D421" s="0" t="s">
        <v>49</v>
      </c>
      <c r="E421" s="0" t="n">
        <v>39926.31</v>
      </c>
      <c r="F421" s="0" t="n">
        <v>32</v>
      </c>
      <c r="G421" s="0" t="str">
        <f aca="false">IF(F421&lt;=30,"Current",IF(F421&lt;=60,"31 to 60 days",IF(F421&lt;=90,"61 to 90 days",IF(F421&lt;=120,"91 to 120 days","Over 120 days"))))</f>
        <v>31 to 60 days</v>
      </c>
      <c r="H421" s="0" t="n">
        <f aca="false">VLOOKUP(D421,Rates!$A$4:$B$7,2,FALSE())</f>
        <v>0.02</v>
      </c>
      <c r="I421" s="0" t="n">
        <f aca="false">VLOOKUP(F421,Rates!$D$4:$E$8,2)</f>
        <v>0.1</v>
      </c>
      <c r="J421" s="0" t="n">
        <f aca="false">ROUND(E421*I421,2)</f>
        <v>3992.63</v>
      </c>
      <c r="K421" s="1" t="n">
        <f aca="false">PV(H421/12,F421/30,0,-E421)</f>
        <v>39855.4519289359</v>
      </c>
      <c r="L421" s="0" t="n">
        <f aca="false">ROUND(E421-K421,2)</f>
        <v>70.86</v>
      </c>
      <c r="M421" s="0" t="n">
        <f aca="false">F421/E421</f>
        <v>0.00080147652011919</v>
      </c>
    </row>
    <row r="422" customFormat="false" ht="12.8" hidden="false" customHeight="false" outlineLevel="0" collapsed="false">
      <c r="A422" s="0" t="s">
        <v>678</v>
      </c>
      <c r="B422" s="0" t="s">
        <v>679</v>
      </c>
      <c r="C422" s="0" t="s">
        <v>26</v>
      </c>
      <c r="D422" s="0" t="s">
        <v>49</v>
      </c>
      <c r="E422" s="0" t="n">
        <v>22263.33</v>
      </c>
      <c r="F422" s="0" t="n">
        <v>394</v>
      </c>
      <c r="G422" s="0" t="str">
        <f aca="false">IF(F422&lt;=30,"Current",IF(F422&lt;=60,"31 to 60 days",IF(F422&lt;=90,"61 to 90 days",IF(F422&lt;=120,"91 to 120 days","Over 120 days"))))</f>
        <v>Over 120 days</v>
      </c>
      <c r="H422" s="0" t="n">
        <f aca="false">VLOOKUP(D422,Rates!$A$4:$B$7,2,FALSE())</f>
        <v>0.02</v>
      </c>
      <c r="I422" s="0" t="n">
        <f aca="false">VLOOKUP(F422,Rates!$D$4:$E$8,2)</f>
        <v>0.85</v>
      </c>
      <c r="J422" s="0" t="n">
        <f aca="false">ROUND(E422*I422,2)</f>
        <v>18923.83</v>
      </c>
      <c r="K422" s="1" t="n">
        <f aca="false">PV(H422/12,F422/30,0,-E422)</f>
        <v>21781.7020526505</v>
      </c>
      <c r="L422" s="0" t="n">
        <f aca="false">ROUND(E422-K422,2)</f>
        <v>481.63</v>
      </c>
      <c r="M422" s="0" t="n">
        <f aca="false">F422/E422</f>
        <v>0.0176972627185601</v>
      </c>
    </row>
    <row r="423" customFormat="false" ht="12.8" hidden="false" customHeight="false" outlineLevel="0" collapsed="false">
      <c r="A423" s="0" t="s">
        <v>680</v>
      </c>
      <c r="B423" s="0" t="s">
        <v>30</v>
      </c>
      <c r="C423" s="0" t="s">
        <v>31</v>
      </c>
      <c r="D423" s="0" t="s">
        <v>20</v>
      </c>
      <c r="E423" s="0" t="n">
        <v>31716.94</v>
      </c>
      <c r="F423" s="0" t="n">
        <v>6</v>
      </c>
      <c r="G423" s="0" t="str">
        <f aca="false">IF(F423&lt;=30,"Current",IF(F423&lt;=60,"31 to 60 days",IF(F423&lt;=90,"61 to 90 days",IF(F423&lt;=120,"91 to 120 days","Over 120 days"))))</f>
        <v>Current</v>
      </c>
      <c r="H423" s="0" t="n">
        <f aca="false">VLOOKUP(D423,Rates!$A$4:$B$7,2,FALSE())</f>
        <v>0.05</v>
      </c>
      <c r="I423" s="0" t="n">
        <f aca="false">VLOOKUP(F423,Rates!$D$4:$E$8,2)</f>
        <v>0.02</v>
      </c>
      <c r="J423" s="0" t="n">
        <f aca="false">ROUND(E423*I423,2)</f>
        <v>634.34</v>
      </c>
      <c r="K423" s="1" t="n">
        <f aca="false">PV(H423/12,F423/30,0,-E423)</f>
        <v>31690.5750923938</v>
      </c>
      <c r="L423" s="0" t="n">
        <f aca="false">ROUND(E423-K423,2)</f>
        <v>26.36</v>
      </c>
      <c r="M423" s="0" t="n">
        <f aca="false">F423/E423</f>
        <v>0.000189173356572229</v>
      </c>
    </row>
    <row r="424" customFormat="false" ht="12.8" hidden="false" customHeight="false" outlineLevel="0" collapsed="false">
      <c r="A424" s="0" t="s">
        <v>681</v>
      </c>
      <c r="B424" s="0" t="s">
        <v>682</v>
      </c>
      <c r="C424" s="0" t="s">
        <v>19</v>
      </c>
      <c r="D424" s="0" t="s">
        <v>23</v>
      </c>
      <c r="E424" s="0" t="n">
        <v>23822.14</v>
      </c>
      <c r="F424" s="0" t="n">
        <v>279</v>
      </c>
      <c r="G424" s="0" t="str">
        <f aca="false">IF(F424&lt;=30,"Current",IF(F424&lt;=60,"31 to 60 days",IF(F424&lt;=90,"61 to 90 days",IF(F424&lt;=120,"91 to 120 days","Over 120 days"))))</f>
        <v>Over 120 days</v>
      </c>
      <c r="H424" s="0" t="n">
        <f aca="false">VLOOKUP(D424,Rates!$A$4:$B$7,2,FALSE())</f>
        <v>0.115</v>
      </c>
      <c r="I424" s="0" t="n">
        <f aca="false">VLOOKUP(F424,Rates!$D$4:$E$8,2)</f>
        <v>0.85</v>
      </c>
      <c r="J424" s="0" t="n">
        <f aca="false">ROUND(E424*I424,2)</f>
        <v>20248.82</v>
      </c>
      <c r="K424" s="1" t="n">
        <f aca="false">PV(H424/12,F424/30,0,-E424)</f>
        <v>21800.1041802329</v>
      </c>
      <c r="L424" s="0" t="n">
        <f aca="false">ROUND(E424-K424,2)</f>
        <v>2022.04</v>
      </c>
      <c r="M424" s="0" t="n">
        <f aca="false">F424/E424</f>
        <v>0.0117117941545134</v>
      </c>
    </row>
    <row r="425" customFormat="false" ht="12.8" hidden="false" customHeight="false" outlineLevel="0" collapsed="false">
      <c r="A425" s="0" t="s">
        <v>683</v>
      </c>
      <c r="B425" s="0" t="s">
        <v>30</v>
      </c>
      <c r="C425" s="0" t="s">
        <v>31</v>
      </c>
      <c r="D425" s="0" t="s">
        <v>20</v>
      </c>
      <c r="E425" s="0" t="n">
        <v>0</v>
      </c>
      <c r="F425" s="0" t="n">
        <v>321</v>
      </c>
      <c r="G425" s="0" t="str">
        <f aca="false">IF(F425&lt;=30,"Current",IF(F425&lt;=60,"31 to 60 days",IF(F425&lt;=90,"61 to 90 days",IF(F425&lt;=120,"91 to 120 days","Over 120 days"))))</f>
        <v>Over 120 days</v>
      </c>
      <c r="H425" s="0" t="n">
        <f aca="false">VLOOKUP(D425,Rates!$A$4:$B$7,2,FALSE())</f>
        <v>0.05</v>
      </c>
      <c r="I425" s="0" t="n">
        <f aca="false">VLOOKUP(F425,Rates!$D$4:$E$8,2)</f>
        <v>0.85</v>
      </c>
      <c r="J425" s="0" t="n">
        <f aca="false">ROUND(E425*I425,2)</f>
        <v>0</v>
      </c>
      <c r="K425" s="1" t="n">
        <f aca="false">PV(H425/12,F425/30,0,-E425)</f>
        <v>-0</v>
      </c>
      <c r="L425" s="0" t="n">
        <f aca="false">ROUND(E425-K425,2)</f>
        <v>0</v>
      </c>
      <c r="M425" s="0" t="e">
        <f aca="false">F425/E425</f>
        <v>#DIV/0!</v>
      </c>
    </row>
    <row r="426" customFormat="false" ht="12.8" hidden="false" customHeight="false" outlineLevel="0" collapsed="false">
      <c r="A426" s="0" t="s">
        <v>684</v>
      </c>
      <c r="B426" s="0" t="s">
        <v>685</v>
      </c>
      <c r="C426" s="0" t="s">
        <v>26</v>
      </c>
      <c r="D426" s="0" t="s">
        <v>16</v>
      </c>
      <c r="E426" s="0" t="n">
        <v>13967.06</v>
      </c>
      <c r="F426" s="0" t="n">
        <v>218</v>
      </c>
      <c r="G426" s="0" t="str">
        <f aca="false">IF(F426&lt;=30,"Current",IF(F426&lt;=60,"31 to 60 days",IF(F426&lt;=90,"61 to 90 days",IF(F426&lt;=120,"91 to 120 days","Over 120 days"))))</f>
        <v>Over 120 days</v>
      </c>
      <c r="H426" s="0" t="n">
        <f aca="false">VLOOKUP(D426,Rates!$A$4:$B$7,2,FALSE())</f>
        <v>0.085</v>
      </c>
      <c r="I426" s="0" t="n">
        <f aca="false">VLOOKUP(F426,Rates!$D$4:$E$8,2)</f>
        <v>0.85</v>
      </c>
      <c r="J426" s="0" t="n">
        <f aca="false">ROUND(E426*I426,2)</f>
        <v>11872</v>
      </c>
      <c r="K426" s="1" t="n">
        <f aca="false">PV(H426/12,F426/30,0,-E426)</f>
        <v>13268.7403485147</v>
      </c>
      <c r="L426" s="0" t="n">
        <f aca="false">ROUND(E426-K426,2)</f>
        <v>698.32</v>
      </c>
      <c r="M426" s="0" t="n">
        <f aca="false">F426/E426</f>
        <v>0.0156081523241112</v>
      </c>
    </row>
    <row r="427" customFormat="false" ht="12.8" hidden="false" customHeight="false" outlineLevel="0" collapsed="false">
      <c r="A427" s="0" t="s">
        <v>686</v>
      </c>
      <c r="B427" s="0" t="s">
        <v>413</v>
      </c>
      <c r="C427" s="0" t="s">
        <v>36</v>
      </c>
      <c r="D427" s="0" t="s">
        <v>23</v>
      </c>
      <c r="E427" s="0" t="n">
        <v>11536.09</v>
      </c>
      <c r="F427" s="0" t="n">
        <v>16</v>
      </c>
      <c r="G427" s="0" t="str">
        <f aca="false">IF(F427&lt;=30,"Current",IF(F427&lt;=60,"31 to 60 days",IF(F427&lt;=90,"61 to 90 days",IF(F427&lt;=120,"91 to 120 days","Over 120 days"))))</f>
        <v>Current</v>
      </c>
      <c r="H427" s="0" t="n">
        <f aca="false">VLOOKUP(D427,Rates!$A$4:$B$7,2,FALSE())</f>
        <v>0.115</v>
      </c>
      <c r="I427" s="0" t="n">
        <f aca="false">VLOOKUP(F427,Rates!$D$4:$E$8,2)</f>
        <v>0.02</v>
      </c>
      <c r="J427" s="0" t="n">
        <f aca="false">ROUND(E427*I427,2)</f>
        <v>230.72</v>
      </c>
      <c r="K427" s="1" t="n">
        <f aca="false">PV(H427/12,F427/30,0,-E427)</f>
        <v>11477.5574945265</v>
      </c>
      <c r="L427" s="0" t="n">
        <f aca="false">ROUND(E427-K427,2)</f>
        <v>58.53</v>
      </c>
      <c r="M427" s="0" t="n">
        <f aca="false">F427/E427</f>
        <v>0.00138695173147921</v>
      </c>
    </row>
    <row r="428" customFormat="false" ht="12.8" hidden="false" customHeight="false" outlineLevel="0" collapsed="false">
      <c r="A428" s="0" t="s">
        <v>687</v>
      </c>
      <c r="B428" s="0" t="s">
        <v>688</v>
      </c>
      <c r="C428" s="0" t="s">
        <v>31</v>
      </c>
      <c r="D428" s="0" t="s">
        <v>16</v>
      </c>
      <c r="E428" s="0" t="n">
        <v>20521.83</v>
      </c>
      <c r="F428" s="0" t="n">
        <v>334</v>
      </c>
      <c r="G428" s="0" t="str">
        <f aca="false">IF(F428&lt;=30,"Current",IF(F428&lt;=60,"31 to 60 days",IF(F428&lt;=90,"61 to 90 days",IF(F428&lt;=120,"91 to 120 days","Over 120 days"))))</f>
        <v>Over 120 days</v>
      </c>
      <c r="H428" s="0" t="n">
        <f aca="false">VLOOKUP(D428,Rates!$A$4:$B$7,2,FALSE())</f>
        <v>0.085</v>
      </c>
      <c r="I428" s="0" t="n">
        <f aca="false">VLOOKUP(F428,Rates!$D$4:$E$8,2)</f>
        <v>0.85</v>
      </c>
      <c r="J428" s="0" t="n">
        <f aca="false">ROUND(E428*I428,2)</f>
        <v>17443.56</v>
      </c>
      <c r="K428" s="1" t="n">
        <f aca="false">PV(H428/12,F428/30,0,-E428)</f>
        <v>18970.8971196239</v>
      </c>
      <c r="L428" s="0" t="n">
        <f aca="false">ROUND(E428-K428,2)</f>
        <v>1550.93</v>
      </c>
      <c r="M428" s="0" t="n">
        <f aca="false">F428/E428</f>
        <v>0.0162753516621081</v>
      </c>
    </row>
    <row r="429" customFormat="false" ht="12.8" hidden="false" customHeight="false" outlineLevel="0" collapsed="false">
      <c r="A429" s="0" t="s">
        <v>689</v>
      </c>
      <c r="B429" s="0" t="s">
        <v>97</v>
      </c>
      <c r="C429" s="0" t="s">
        <v>42</v>
      </c>
      <c r="D429" s="0" t="s">
        <v>20</v>
      </c>
      <c r="E429" s="0" t="n">
        <v>39105.98</v>
      </c>
      <c r="F429" s="0" t="n">
        <v>223</v>
      </c>
      <c r="G429" s="0" t="str">
        <f aca="false">IF(F429&lt;=30,"Current",IF(F429&lt;=60,"31 to 60 days",IF(F429&lt;=90,"61 to 90 days",IF(F429&lt;=120,"91 to 120 days","Over 120 days"))))</f>
        <v>Over 120 days</v>
      </c>
      <c r="H429" s="0" t="n">
        <f aca="false">VLOOKUP(D429,Rates!$A$4:$B$7,2,FALSE())</f>
        <v>0.05</v>
      </c>
      <c r="I429" s="0" t="n">
        <f aca="false">VLOOKUP(F429,Rates!$D$4:$E$8,2)</f>
        <v>0.85</v>
      </c>
      <c r="J429" s="0" t="n">
        <f aca="false">ROUND(E429*I429,2)</f>
        <v>33240.08</v>
      </c>
      <c r="K429" s="1" t="n">
        <f aca="false">PV(H429/12,F429/30,0,-E429)</f>
        <v>37915.7851853981</v>
      </c>
      <c r="L429" s="0" t="n">
        <f aca="false">ROUND(E429-K429,2)</f>
        <v>1190.19</v>
      </c>
      <c r="M429" s="0" t="n">
        <f aca="false">F429/E429</f>
        <v>0.00570245266836428</v>
      </c>
    </row>
    <row r="430" customFormat="false" ht="12.8" hidden="false" customHeight="false" outlineLevel="0" collapsed="false">
      <c r="A430" s="0" t="s">
        <v>690</v>
      </c>
      <c r="B430" s="0" t="s">
        <v>22</v>
      </c>
      <c r="C430" s="0" t="s">
        <v>15</v>
      </c>
      <c r="D430" s="0" t="s">
        <v>23</v>
      </c>
      <c r="E430" s="0" t="n">
        <v>7285.34</v>
      </c>
      <c r="F430" s="0" t="n">
        <v>1</v>
      </c>
      <c r="G430" s="0" t="str">
        <f aca="false">IF(F430&lt;=30,"Current",IF(F430&lt;=60,"31 to 60 days",IF(F430&lt;=90,"61 to 90 days",IF(F430&lt;=120,"91 to 120 days","Over 120 days"))))</f>
        <v>Current</v>
      </c>
      <c r="H430" s="0" t="n">
        <f aca="false">VLOOKUP(D430,Rates!$A$4:$B$7,2,FALSE())</f>
        <v>0.115</v>
      </c>
      <c r="I430" s="0" t="n">
        <f aca="false">VLOOKUP(F430,Rates!$D$4:$E$8,2)</f>
        <v>0.02</v>
      </c>
      <c r="J430" s="0" t="n">
        <f aca="false">ROUND(E430*I430,2)</f>
        <v>145.71</v>
      </c>
      <c r="K430" s="1" t="n">
        <f aca="false">PV(H430/12,F430/30,0,-E430)</f>
        <v>7283.02418747977</v>
      </c>
      <c r="L430" s="0" t="n">
        <f aca="false">ROUND(E430-K430,2)</f>
        <v>2.32</v>
      </c>
      <c r="M430" s="0" t="n">
        <f aca="false">F430/E430</f>
        <v>0.000137261953457217</v>
      </c>
    </row>
    <row r="431" customFormat="false" ht="12.8" hidden="false" customHeight="false" outlineLevel="0" collapsed="false">
      <c r="A431" s="0" t="s">
        <v>691</v>
      </c>
      <c r="B431" s="0" t="s">
        <v>609</v>
      </c>
      <c r="C431" s="0" t="s">
        <v>31</v>
      </c>
      <c r="D431" s="0" t="s">
        <v>23</v>
      </c>
      <c r="E431" s="0" t="n">
        <v>2443.72</v>
      </c>
      <c r="F431" s="0" t="n">
        <v>263</v>
      </c>
      <c r="G431" s="0" t="str">
        <f aca="false">IF(F431&lt;=30,"Current",IF(F431&lt;=60,"31 to 60 days",IF(F431&lt;=90,"61 to 90 days",IF(F431&lt;=120,"91 to 120 days","Over 120 days"))))</f>
        <v>Over 120 days</v>
      </c>
      <c r="H431" s="0" t="n">
        <f aca="false">VLOOKUP(D431,Rates!$A$4:$B$7,2,FALSE())</f>
        <v>0.115</v>
      </c>
      <c r="I431" s="0" t="n">
        <f aca="false">VLOOKUP(F431,Rates!$D$4:$E$8,2)</f>
        <v>0.85</v>
      </c>
      <c r="J431" s="0" t="n">
        <f aca="false">ROUND(E431*I431,2)</f>
        <v>2077.16</v>
      </c>
      <c r="K431" s="1" t="n">
        <f aca="false">PV(H431/12,F431/30,0,-E431)</f>
        <v>2247.70027275187</v>
      </c>
      <c r="L431" s="0" t="n">
        <f aca="false">ROUND(E431-K431,2)</f>
        <v>196.02</v>
      </c>
      <c r="M431" s="0" t="n">
        <f aca="false">F431/E431</f>
        <v>0.107622804576629</v>
      </c>
    </row>
    <row r="432" customFormat="false" ht="12.8" hidden="false" customHeight="false" outlineLevel="0" collapsed="false">
      <c r="A432" s="0" t="s">
        <v>692</v>
      </c>
      <c r="B432" s="0" t="s">
        <v>30</v>
      </c>
      <c r="C432" s="0" t="s">
        <v>31</v>
      </c>
      <c r="D432" s="0" t="s">
        <v>20</v>
      </c>
      <c r="E432" s="0" t="n">
        <v>28940.1</v>
      </c>
      <c r="F432" s="0" t="n">
        <v>137</v>
      </c>
      <c r="G432" s="0" t="str">
        <f aca="false">IF(F432&lt;=30,"Current",IF(F432&lt;=60,"31 to 60 days",IF(F432&lt;=90,"61 to 90 days",IF(F432&lt;=120,"91 to 120 days","Over 120 days"))))</f>
        <v>Over 120 days</v>
      </c>
      <c r="H432" s="0" t="n">
        <f aca="false">VLOOKUP(D432,Rates!$A$4:$B$7,2,FALSE())</f>
        <v>0.05</v>
      </c>
      <c r="I432" s="0" t="n">
        <f aca="false">VLOOKUP(F432,Rates!$D$4:$E$8,2)</f>
        <v>0.85</v>
      </c>
      <c r="J432" s="0" t="n">
        <f aca="false">ROUND(E432*I432,2)</f>
        <v>24599.09</v>
      </c>
      <c r="K432" s="1" t="n">
        <f aca="false">PV(H432/12,F432/30,0,-E432)</f>
        <v>28395.7626132628</v>
      </c>
      <c r="L432" s="0" t="n">
        <f aca="false">ROUND(E432-K432,2)</f>
        <v>544.34</v>
      </c>
      <c r="M432" s="0" t="n">
        <f aca="false">F432/E432</f>
        <v>0.00473391591597818</v>
      </c>
    </row>
    <row r="433" customFormat="false" ht="12.8" hidden="false" customHeight="false" outlineLevel="0" collapsed="false">
      <c r="A433" s="0" t="s">
        <v>693</v>
      </c>
      <c r="B433" s="0" t="s">
        <v>38</v>
      </c>
      <c r="C433" s="0" t="s">
        <v>15</v>
      </c>
      <c r="D433" s="0" t="s">
        <v>23</v>
      </c>
      <c r="E433" s="0" t="n">
        <v>29927.94</v>
      </c>
      <c r="F433" s="0" t="n">
        <v>53</v>
      </c>
      <c r="G433" s="0" t="str">
        <f aca="false">IF(F433&lt;=30,"Current",IF(F433&lt;=60,"31 to 60 days",IF(F433&lt;=90,"61 to 90 days",IF(F433&lt;=120,"91 to 120 days","Over 120 days"))))</f>
        <v>31 to 60 days</v>
      </c>
      <c r="H433" s="0" t="n">
        <f aca="false">VLOOKUP(D433,Rates!$A$4:$B$7,2,FALSE())</f>
        <v>0.115</v>
      </c>
      <c r="I433" s="0" t="n">
        <f aca="false">VLOOKUP(F433,Rates!$D$4:$E$8,2)</f>
        <v>0.1</v>
      </c>
      <c r="J433" s="0" t="n">
        <f aca="false">ROUND(E433*I433,2)</f>
        <v>2992.79</v>
      </c>
      <c r="K433" s="1" t="n">
        <f aca="false">PV(H433/12,F433/30,0,-E433)</f>
        <v>29427.8806867723</v>
      </c>
      <c r="L433" s="0" t="n">
        <f aca="false">ROUND(E433-K433,2)</f>
        <v>500.06</v>
      </c>
      <c r="M433" s="0" t="n">
        <f aca="false">F433/E433</f>
        <v>0.00177092041750952</v>
      </c>
    </row>
    <row r="434" customFormat="false" ht="12.8" hidden="false" customHeight="false" outlineLevel="0" collapsed="false">
      <c r="A434" s="0" t="s">
        <v>694</v>
      </c>
      <c r="B434" s="0" t="s">
        <v>695</v>
      </c>
      <c r="C434" s="0" t="s">
        <v>19</v>
      </c>
      <c r="D434" s="0" t="s">
        <v>16</v>
      </c>
      <c r="E434" s="0" t="n">
        <v>26726.98</v>
      </c>
      <c r="F434" s="0" t="n">
        <v>72</v>
      </c>
      <c r="G434" s="0" t="str">
        <f aca="false">IF(F434&lt;=30,"Current",IF(F434&lt;=60,"31 to 60 days",IF(F434&lt;=90,"61 to 90 days",IF(F434&lt;=120,"91 to 120 days","Over 120 days"))))</f>
        <v>61 to 90 days</v>
      </c>
      <c r="H434" s="0" t="n">
        <f aca="false">VLOOKUP(D434,Rates!$A$4:$B$7,2,FALSE())</f>
        <v>0.085</v>
      </c>
      <c r="I434" s="0" t="n">
        <f aca="false">VLOOKUP(F434,Rates!$D$4:$E$8,2)</f>
        <v>0.25</v>
      </c>
      <c r="J434" s="0" t="n">
        <f aca="false">ROUND(E434*I434,2)</f>
        <v>6681.75</v>
      </c>
      <c r="K434" s="1" t="n">
        <f aca="false">PV(H434/12,F434/30,0,-E434)</f>
        <v>26278.0362741205</v>
      </c>
      <c r="L434" s="0" t="n">
        <f aca="false">ROUND(E434-K434,2)</f>
        <v>448.94</v>
      </c>
      <c r="M434" s="0" t="n">
        <f aca="false">F434/E434</f>
        <v>0.00269390705571673</v>
      </c>
    </row>
    <row r="435" customFormat="false" ht="12.8" hidden="false" customHeight="false" outlineLevel="0" collapsed="false">
      <c r="A435" s="0" t="s">
        <v>696</v>
      </c>
      <c r="B435" s="0" t="s">
        <v>697</v>
      </c>
      <c r="C435" s="0" t="s">
        <v>36</v>
      </c>
      <c r="D435" s="0" t="s">
        <v>16</v>
      </c>
      <c r="E435" s="0" t="n">
        <v>40859.68</v>
      </c>
      <c r="F435" s="0" t="n">
        <v>392</v>
      </c>
      <c r="G435" s="0" t="str">
        <f aca="false">IF(F435&lt;=30,"Current",IF(F435&lt;=60,"31 to 60 days",IF(F435&lt;=90,"61 to 90 days",IF(F435&lt;=120,"91 to 120 days","Over 120 days"))))</f>
        <v>Over 120 days</v>
      </c>
      <c r="H435" s="0" t="n">
        <f aca="false">VLOOKUP(D435,Rates!$A$4:$B$7,2,FALSE())</f>
        <v>0.085</v>
      </c>
      <c r="I435" s="0" t="n">
        <f aca="false">VLOOKUP(F435,Rates!$D$4:$E$8,2)</f>
        <v>0.85</v>
      </c>
      <c r="J435" s="0" t="n">
        <f aca="false">ROUND(E435*I435,2)</f>
        <v>34730.73</v>
      </c>
      <c r="K435" s="1" t="n">
        <f aca="false">PV(H435/12,F435/30,0,-E435)</f>
        <v>37259.780098236</v>
      </c>
      <c r="L435" s="0" t="n">
        <f aca="false">ROUND(E435-K435,2)</f>
        <v>3599.9</v>
      </c>
      <c r="M435" s="0" t="n">
        <f aca="false">F435/E435</f>
        <v>0.00959380983894147</v>
      </c>
    </row>
    <row r="436" customFormat="false" ht="12.8" hidden="false" customHeight="false" outlineLevel="0" collapsed="false">
      <c r="A436" s="0" t="s">
        <v>698</v>
      </c>
      <c r="B436" s="0" t="s">
        <v>326</v>
      </c>
      <c r="C436" s="0" t="s">
        <v>42</v>
      </c>
      <c r="D436" s="0" t="s">
        <v>23</v>
      </c>
      <c r="E436" s="0" t="n">
        <v>12644.58</v>
      </c>
      <c r="F436" s="0" t="n">
        <v>199</v>
      </c>
      <c r="G436" s="0" t="str">
        <f aca="false">IF(F436&lt;=30,"Current",IF(F436&lt;=60,"31 to 60 days",IF(F436&lt;=90,"61 to 90 days",IF(F436&lt;=120,"91 to 120 days","Over 120 days"))))</f>
        <v>Over 120 days</v>
      </c>
      <c r="H436" s="0" t="n">
        <f aca="false">VLOOKUP(D436,Rates!$A$4:$B$7,2,FALSE())</f>
        <v>0.115</v>
      </c>
      <c r="I436" s="0" t="n">
        <f aca="false">VLOOKUP(F436,Rates!$D$4:$E$8,2)</f>
        <v>0.85</v>
      </c>
      <c r="J436" s="0" t="n">
        <f aca="false">ROUND(E436*I436,2)</f>
        <v>10747.89</v>
      </c>
      <c r="K436" s="1" t="n">
        <f aca="false">PV(H436/12,F436/30,0,-E436)</f>
        <v>11869.3790156554</v>
      </c>
      <c r="L436" s="0" t="n">
        <f aca="false">ROUND(E436-K436,2)</f>
        <v>775.2</v>
      </c>
      <c r="M436" s="0" t="n">
        <f aca="false">F436/E436</f>
        <v>0.0157379683627293</v>
      </c>
    </row>
    <row r="437" customFormat="false" ht="12.8" hidden="false" customHeight="false" outlineLevel="0" collapsed="false">
      <c r="A437" s="0" t="s">
        <v>699</v>
      </c>
      <c r="B437" s="0" t="s">
        <v>357</v>
      </c>
      <c r="C437" s="0" t="s">
        <v>19</v>
      </c>
      <c r="D437" s="0" t="s">
        <v>23</v>
      </c>
      <c r="E437" s="0" t="n">
        <v>24873.7</v>
      </c>
      <c r="F437" s="0" t="n">
        <v>44</v>
      </c>
      <c r="G437" s="0" t="str">
        <f aca="false">IF(F437&lt;=30,"Current",IF(F437&lt;=60,"31 to 60 days",IF(F437&lt;=90,"61 to 90 days",IF(F437&lt;=120,"91 to 120 days","Over 120 days"))))</f>
        <v>31 to 60 days</v>
      </c>
      <c r="H437" s="0" t="n">
        <f aca="false">VLOOKUP(D437,Rates!$A$4:$B$7,2,FALSE())</f>
        <v>0.115</v>
      </c>
      <c r="I437" s="0" t="n">
        <f aca="false">VLOOKUP(F437,Rates!$D$4:$E$8,2)</f>
        <v>0.1</v>
      </c>
      <c r="J437" s="0" t="n">
        <f aca="false">ROUND(E437*I437,2)</f>
        <v>2487.37</v>
      </c>
      <c r="K437" s="1" t="n">
        <f aca="false">PV(H437/12,F437/30,0,-E437)</f>
        <v>24528.1732910535</v>
      </c>
      <c r="L437" s="0" t="n">
        <f aca="false">ROUND(E437-K437,2)</f>
        <v>345.53</v>
      </c>
      <c r="M437" s="0" t="n">
        <f aca="false">F437/E437</f>
        <v>0.00176893666804697</v>
      </c>
    </row>
    <row r="438" customFormat="false" ht="12.8" hidden="false" customHeight="false" outlineLevel="0" collapsed="false">
      <c r="A438" s="0" t="s">
        <v>700</v>
      </c>
      <c r="B438" s="0" t="s">
        <v>25</v>
      </c>
      <c r="C438" s="0" t="s">
        <v>26</v>
      </c>
      <c r="D438" s="0" t="s">
        <v>23</v>
      </c>
      <c r="E438" s="0" t="n">
        <v>28937.25</v>
      </c>
      <c r="F438" s="0" t="n">
        <v>197</v>
      </c>
      <c r="G438" s="0" t="str">
        <f aca="false">IF(F438&lt;=30,"Current",IF(F438&lt;=60,"31 to 60 days",IF(F438&lt;=90,"61 to 90 days",IF(F438&lt;=120,"91 to 120 days","Over 120 days"))))</f>
        <v>Over 120 days</v>
      </c>
      <c r="H438" s="0" t="n">
        <f aca="false">VLOOKUP(D438,Rates!$A$4:$B$7,2,FALSE())</f>
        <v>0.115</v>
      </c>
      <c r="I438" s="0" t="n">
        <f aca="false">VLOOKUP(F438,Rates!$D$4:$E$8,2)</f>
        <v>0.85</v>
      </c>
      <c r="J438" s="0" t="n">
        <f aca="false">ROUND(E438*I438,2)</f>
        <v>24596.66</v>
      </c>
      <c r="K438" s="1" t="n">
        <f aca="false">PV(H438/12,F438/30,0,-E438)</f>
        <v>27180.4717860745</v>
      </c>
      <c r="L438" s="0" t="n">
        <f aca="false">ROUND(E438-K438,2)</f>
        <v>1756.78</v>
      </c>
      <c r="M438" s="0" t="n">
        <f aca="false">F438/E438</f>
        <v>0.00680783419295199</v>
      </c>
    </row>
    <row r="439" customFormat="false" ht="12.8" hidden="false" customHeight="false" outlineLevel="0" collapsed="false">
      <c r="A439" s="0" t="s">
        <v>701</v>
      </c>
      <c r="B439" s="0" t="s">
        <v>413</v>
      </c>
      <c r="C439" s="0" t="s">
        <v>36</v>
      </c>
      <c r="D439" s="0" t="s">
        <v>23</v>
      </c>
      <c r="E439" s="0" t="n">
        <v>41802.27</v>
      </c>
      <c r="F439" s="0" t="n">
        <v>214</v>
      </c>
      <c r="G439" s="0" t="str">
        <f aca="false">IF(F439&lt;=30,"Current",IF(F439&lt;=60,"31 to 60 days",IF(F439&lt;=90,"61 to 90 days",IF(F439&lt;=120,"91 to 120 days","Over 120 days"))))</f>
        <v>Over 120 days</v>
      </c>
      <c r="H439" s="0" t="n">
        <f aca="false">VLOOKUP(D439,Rates!$A$4:$B$7,2,FALSE())</f>
        <v>0.115</v>
      </c>
      <c r="I439" s="0" t="n">
        <f aca="false">VLOOKUP(F439,Rates!$D$4:$E$8,2)</f>
        <v>0.85</v>
      </c>
      <c r="J439" s="0" t="n">
        <f aca="false">ROUND(E439*I439,2)</f>
        <v>35531.93</v>
      </c>
      <c r="K439" s="1" t="n">
        <f aca="false">PV(H439/12,F439/30,0,-E439)</f>
        <v>39052.8172739172</v>
      </c>
      <c r="L439" s="0" t="n">
        <f aca="false">ROUND(E439-K439,2)</f>
        <v>2749.45</v>
      </c>
      <c r="M439" s="0" t="n">
        <f aca="false">F439/E439</f>
        <v>0.00511933921291834</v>
      </c>
    </row>
    <row r="440" customFormat="false" ht="12.8" hidden="false" customHeight="false" outlineLevel="0" collapsed="false">
      <c r="A440" s="0" t="s">
        <v>702</v>
      </c>
      <c r="B440" s="0" t="s">
        <v>33</v>
      </c>
      <c r="C440" s="0" t="s">
        <v>26</v>
      </c>
      <c r="D440" s="0" t="s">
        <v>20</v>
      </c>
      <c r="E440" s="0" t="n">
        <v>33298.7</v>
      </c>
      <c r="F440" s="0" t="n">
        <v>228</v>
      </c>
      <c r="G440" s="0" t="str">
        <f aca="false">IF(F440&lt;=30,"Current",IF(F440&lt;=60,"31 to 60 days",IF(F440&lt;=90,"61 to 90 days",IF(F440&lt;=120,"91 to 120 days","Over 120 days"))))</f>
        <v>Over 120 days</v>
      </c>
      <c r="H440" s="0" t="n">
        <f aca="false">VLOOKUP(D440,Rates!$A$4:$B$7,2,FALSE())</f>
        <v>0.05</v>
      </c>
      <c r="I440" s="0" t="n">
        <f aca="false">VLOOKUP(F440,Rates!$D$4:$E$8,2)</f>
        <v>0.85</v>
      </c>
      <c r="J440" s="0" t="n">
        <f aca="false">ROUND(E440*I440,2)</f>
        <v>28303.9</v>
      </c>
      <c r="K440" s="1" t="n">
        <f aca="false">PV(H440/12,F440/30,0,-E440)</f>
        <v>32262.8844103241</v>
      </c>
      <c r="L440" s="0" t="n">
        <f aca="false">ROUND(E440-K440,2)</f>
        <v>1035.82</v>
      </c>
      <c r="M440" s="0" t="n">
        <f aca="false">F440/E440</f>
        <v>0.00684711415160352</v>
      </c>
    </row>
    <row r="441" customFormat="false" ht="12.8" hidden="false" customHeight="false" outlineLevel="0" collapsed="false">
      <c r="A441" s="0" t="s">
        <v>703</v>
      </c>
      <c r="B441" s="0" t="s">
        <v>33</v>
      </c>
      <c r="C441" s="0" t="s">
        <v>26</v>
      </c>
      <c r="D441" s="0" t="s">
        <v>20</v>
      </c>
      <c r="E441" s="0" t="n">
        <v>39446.18</v>
      </c>
      <c r="F441" s="0" t="n">
        <v>275</v>
      </c>
      <c r="G441" s="0" t="str">
        <f aca="false">IF(F441&lt;=30,"Current",IF(F441&lt;=60,"31 to 60 days",IF(F441&lt;=90,"61 to 90 days",IF(F441&lt;=120,"91 to 120 days","Over 120 days"))))</f>
        <v>Over 120 days</v>
      </c>
      <c r="H441" s="0" t="n">
        <f aca="false">VLOOKUP(D441,Rates!$A$4:$B$7,2,FALSE())</f>
        <v>0.05</v>
      </c>
      <c r="I441" s="0" t="n">
        <f aca="false">VLOOKUP(F441,Rates!$D$4:$E$8,2)</f>
        <v>0.85</v>
      </c>
      <c r="J441" s="0" t="n">
        <f aca="false">ROUND(E441*I441,2)</f>
        <v>33529.25</v>
      </c>
      <c r="K441" s="1" t="n">
        <f aca="false">PV(H441/12,F441/30,0,-E441)</f>
        <v>37970.9775083931</v>
      </c>
      <c r="L441" s="0" t="n">
        <f aca="false">ROUND(E441-K441,2)</f>
        <v>1475.2</v>
      </c>
      <c r="M441" s="0" t="n">
        <f aca="false">F441/E441</f>
        <v>0.00697152423884898</v>
      </c>
    </row>
    <row r="442" customFormat="false" ht="12.8" hidden="false" customHeight="false" outlineLevel="0" collapsed="false">
      <c r="A442" s="0" t="s">
        <v>704</v>
      </c>
      <c r="B442" s="0" t="s">
        <v>368</v>
      </c>
      <c r="C442" s="0" t="s">
        <v>42</v>
      </c>
      <c r="D442" s="0" t="s">
        <v>23</v>
      </c>
      <c r="E442" s="0" t="n">
        <v>16468.8</v>
      </c>
      <c r="F442" s="0" t="n">
        <v>129</v>
      </c>
      <c r="G442" s="0" t="str">
        <f aca="false">IF(F442&lt;=30,"Current",IF(F442&lt;=60,"31 to 60 days",IF(F442&lt;=90,"61 to 90 days",IF(F442&lt;=120,"91 to 120 days","Over 120 days"))))</f>
        <v>Over 120 days</v>
      </c>
      <c r="H442" s="0" t="n">
        <f aca="false">VLOOKUP(D442,Rates!$A$4:$B$7,2,FALSE())</f>
        <v>0.115</v>
      </c>
      <c r="I442" s="0" t="n">
        <f aca="false">VLOOKUP(F442,Rates!$D$4:$E$8,2)</f>
        <v>0.85</v>
      </c>
      <c r="J442" s="0" t="n">
        <f aca="false">ROUND(E442*I442,2)</f>
        <v>13998.48</v>
      </c>
      <c r="K442" s="1" t="n">
        <f aca="false">PV(H442/12,F442/30,0,-E442)</f>
        <v>15807.0422462999</v>
      </c>
      <c r="L442" s="0" t="n">
        <f aca="false">ROUND(E442-K442,2)</f>
        <v>661.76</v>
      </c>
      <c r="M442" s="0" t="n">
        <f aca="false">F442/E442</f>
        <v>0.00783299329641504</v>
      </c>
    </row>
    <row r="443" customFormat="false" ht="12.8" hidden="false" customHeight="false" outlineLevel="0" collapsed="false">
      <c r="A443" s="0" t="s">
        <v>705</v>
      </c>
      <c r="B443" s="0" t="s">
        <v>706</v>
      </c>
      <c r="C443" s="0" t="s">
        <v>42</v>
      </c>
      <c r="D443" s="0" t="s">
        <v>49</v>
      </c>
      <c r="E443" s="0" t="n">
        <v>5001.78</v>
      </c>
      <c r="F443" s="0" t="n">
        <v>125</v>
      </c>
      <c r="G443" s="0" t="str">
        <f aca="false">IF(F443&lt;=30,"Current",IF(F443&lt;=60,"31 to 60 days",IF(F443&lt;=90,"61 to 90 days",IF(F443&lt;=120,"91 to 120 days","Over 120 days"))))</f>
        <v>Over 120 days</v>
      </c>
      <c r="H443" s="0" t="n">
        <f aca="false">VLOOKUP(D443,Rates!$A$4:$B$7,2,FALSE())</f>
        <v>0.02</v>
      </c>
      <c r="I443" s="0" t="n">
        <f aca="false">VLOOKUP(F443,Rates!$D$4:$E$8,2)</f>
        <v>0.85</v>
      </c>
      <c r="J443" s="0" t="n">
        <f aca="false">ROUND(E443*I443,2)</f>
        <v>4251.51</v>
      </c>
      <c r="K443" s="1" t="n">
        <f aca="false">PV(H443/12,F443/30,0,-E443)</f>
        <v>4967.19445751772</v>
      </c>
      <c r="L443" s="0" t="n">
        <f aca="false">ROUND(E443-K443,2)</f>
        <v>34.59</v>
      </c>
      <c r="M443" s="0" t="n">
        <f aca="false">F443/E443</f>
        <v>0.0249911031672725</v>
      </c>
    </row>
    <row r="444" customFormat="false" ht="12.8" hidden="false" customHeight="false" outlineLevel="0" collapsed="false">
      <c r="A444" s="0" t="s">
        <v>707</v>
      </c>
      <c r="B444" s="0" t="s">
        <v>708</v>
      </c>
      <c r="C444" s="0" t="s">
        <v>26</v>
      </c>
      <c r="D444" s="0" t="s">
        <v>16</v>
      </c>
      <c r="E444" s="0" t="n">
        <v>12108.54</v>
      </c>
      <c r="F444" s="0" t="n">
        <v>26</v>
      </c>
      <c r="G444" s="0" t="str">
        <f aca="false">IF(F444&lt;=30,"Current",IF(F444&lt;=60,"31 to 60 days",IF(F444&lt;=90,"61 to 90 days",IF(F444&lt;=120,"91 to 120 days","Over 120 days"))))</f>
        <v>Current</v>
      </c>
      <c r="H444" s="0" t="n">
        <f aca="false">VLOOKUP(D444,Rates!$A$4:$B$7,2,FALSE())</f>
        <v>0.085</v>
      </c>
      <c r="I444" s="0" t="n">
        <f aca="false">VLOOKUP(F444,Rates!$D$4:$E$8,2)</f>
        <v>0.02</v>
      </c>
      <c r="J444" s="0" t="n">
        <f aca="false">ROUND(E444*I444,2)</f>
        <v>242.17</v>
      </c>
      <c r="K444" s="1" t="n">
        <f aca="false">PV(H444/12,F444/30,0,-E444)</f>
        <v>12034.695138344</v>
      </c>
      <c r="L444" s="0" t="n">
        <f aca="false">ROUND(E444-K444,2)</f>
        <v>73.84</v>
      </c>
      <c r="M444" s="0" t="n">
        <f aca="false">F444/E444</f>
        <v>0.00214724483711496</v>
      </c>
    </row>
    <row r="445" customFormat="false" ht="12.8" hidden="false" customHeight="false" outlineLevel="0" collapsed="false">
      <c r="A445" s="0" t="s">
        <v>709</v>
      </c>
      <c r="B445" s="0" t="s">
        <v>710</v>
      </c>
      <c r="C445" s="0" t="s">
        <v>36</v>
      </c>
      <c r="D445" s="0" t="s">
        <v>49</v>
      </c>
      <c r="E445" s="0" t="n">
        <v>28547.26</v>
      </c>
      <c r="F445" s="0" t="n">
        <v>12</v>
      </c>
      <c r="G445" s="0" t="str">
        <f aca="false">IF(F445&lt;=30,"Current",IF(F445&lt;=60,"31 to 60 days",IF(F445&lt;=90,"61 to 90 days",IF(F445&lt;=120,"91 to 120 days","Over 120 days"))))</f>
        <v>Current</v>
      </c>
      <c r="H445" s="0" t="n">
        <f aca="false">VLOOKUP(D445,Rates!$A$4:$B$7,2,FALSE())</f>
        <v>0.02</v>
      </c>
      <c r="I445" s="0" t="n">
        <f aca="false">VLOOKUP(F445,Rates!$D$4:$E$8,2)</f>
        <v>0.02</v>
      </c>
      <c r="J445" s="0" t="n">
        <f aca="false">ROUND(E445*I445,2)</f>
        <v>570.95</v>
      </c>
      <c r="K445" s="1" t="n">
        <f aca="false">PV(H445/12,F445/30,0,-E445)</f>
        <v>28528.2506671951</v>
      </c>
      <c r="L445" s="0" t="n">
        <f aca="false">ROUND(E445-K445,2)</f>
        <v>19.01</v>
      </c>
      <c r="M445" s="0" t="n">
        <f aca="false">F445/E445</f>
        <v>0.000420355578784094</v>
      </c>
    </row>
    <row r="446" customFormat="false" ht="12.8" hidden="false" customHeight="false" outlineLevel="0" collapsed="false">
      <c r="A446" s="0" t="s">
        <v>711</v>
      </c>
      <c r="B446" s="0" t="s">
        <v>712</v>
      </c>
      <c r="C446" s="0" t="s">
        <v>26</v>
      </c>
      <c r="D446" s="0" t="s">
        <v>16</v>
      </c>
      <c r="E446" s="0" t="n">
        <v>24949.79</v>
      </c>
      <c r="F446" s="0" t="n">
        <v>126</v>
      </c>
      <c r="G446" s="0" t="str">
        <f aca="false">IF(F446&lt;=30,"Current",IF(F446&lt;=60,"31 to 60 days",IF(F446&lt;=90,"61 to 90 days",IF(F446&lt;=120,"91 to 120 days","Over 120 days"))))</f>
        <v>Over 120 days</v>
      </c>
      <c r="H446" s="0" t="n">
        <f aca="false">VLOOKUP(D446,Rates!$A$4:$B$7,2,FALSE())</f>
        <v>0.085</v>
      </c>
      <c r="I446" s="0" t="n">
        <f aca="false">VLOOKUP(F446,Rates!$D$4:$E$8,2)</f>
        <v>0.85</v>
      </c>
      <c r="J446" s="0" t="n">
        <f aca="false">ROUND(E446*I446,2)</f>
        <v>21207.32</v>
      </c>
      <c r="K446" s="1" t="n">
        <f aca="false">PV(H446/12,F446/30,0,-E446)</f>
        <v>24221.0060436483</v>
      </c>
      <c r="L446" s="0" t="n">
        <f aca="false">ROUND(E446-K446,2)</f>
        <v>728.78</v>
      </c>
      <c r="M446" s="0" t="n">
        <f aca="false">F446/E446</f>
        <v>0.00505014270661196</v>
      </c>
    </row>
    <row r="447" customFormat="false" ht="12.8" hidden="false" customHeight="false" outlineLevel="0" collapsed="false">
      <c r="A447" s="0" t="s">
        <v>713</v>
      </c>
      <c r="B447" s="0" t="s">
        <v>714</v>
      </c>
      <c r="C447" s="0" t="s">
        <v>36</v>
      </c>
      <c r="D447" s="0" t="s">
        <v>16</v>
      </c>
      <c r="E447" s="0" t="n">
        <v>9415.98</v>
      </c>
      <c r="F447" s="0" t="n">
        <v>41</v>
      </c>
      <c r="G447" s="0" t="str">
        <f aca="false">IF(F447&lt;=30,"Current",IF(F447&lt;=60,"31 to 60 days",IF(F447&lt;=90,"61 to 90 days",IF(F447&lt;=120,"91 to 120 days","Over 120 days"))))</f>
        <v>31 to 60 days</v>
      </c>
      <c r="H447" s="0" t="n">
        <f aca="false">VLOOKUP(D447,Rates!$A$4:$B$7,2,FALSE())</f>
        <v>0.085</v>
      </c>
      <c r="I447" s="0" t="n">
        <f aca="false">VLOOKUP(F447,Rates!$D$4:$E$8,2)</f>
        <v>0.1</v>
      </c>
      <c r="J447" s="0" t="n">
        <f aca="false">ROUND(E447*I447,2)</f>
        <v>941.6</v>
      </c>
      <c r="K447" s="1" t="n">
        <f aca="false">PV(H447/12,F447/30,0,-E447)</f>
        <v>9325.58608608348</v>
      </c>
      <c r="L447" s="0" t="n">
        <f aca="false">ROUND(E447-K447,2)</f>
        <v>90.39</v>
      </c>
      <c r="M447" s="0" t="n">
        <f aca="false">F447/E447</f>
        <v>0.00435429981796903</v>
      </c>
    </row>
    <row r="448" customFormat="false" ht="12.8" hidden="false" customHeight="false" outlineLevel="0" collapsed="false">
      <c r="A448" s="0" t="s">
        <v>715</v>
      </c>
      <c r="B448" s="0" t="s">
        <v>303</v>
      </c>
      <c r="C448" s="0" t="s">
        <v>31</v>
      </c>
      <c r="D448" s="0" t="s">
        <v>23</v>
      </c>
      <c r="E448" s="0" t="n">
        <v>17140.75</v>
      </c>
      <c r="F448" s="0" t="n">
        <v>120</v>
      </c>
      <c r="G448" s="0" t="str">
        <f aca="false">IF(F448&lt;=30,"Current",IF(F448&lt;=60,"31 to 60 days",IF(F448&lt;=90,"61 to 90 days",IF(F448&lt;=120,"91 to 120 days","Over 120 days"))))</f>
        <v>91 to 120 days</v>
      </c>
      <c r="H448" s="0" t="n">
        <f aca="false">VLOOKUP(D448,Rates!$A$4:$B$7,2,FALSE())</f>
        <v>0.115</v>
      </c>
      <c r="I448" s="0" t="n">
        <f aca="false">VLOOKUP(F448,Rates!$D$4:$E$8,2)</f>
        <v>0.5</v>
      </c>
      <c r="J448" s="0" t="n">
        <f aca="false">ROUND(E448*I448,2)</f>
        <v>8570.38</v>
      </c>
      <c r="K448" s="1" t="n">
        <f aca="false">PV(H448/12,F448/30,0,-E448)</f>
        <v>16499.1332889297</v>
      </c>
      <c r="L448" s="0" t="n">
        <f aca="false">ROUND(E448-K448,2)</f>
        <v>641.62</v>
      </c>
      <c r="M448" s="0" t="n">
        <f aca="false">F448/E448</f>
        <v>0.00700086052243922</v>
      </c>
    </row>
    <row r="449" customFormat="false" ht="12.8" hidden="false" customHeight="false" outlineLevel="0" collapsed="false">
      <c r="A449" s="0" t="s">
        <v>716</v>
      </c>
      <c r="B449" s="0" t="s">
        <v>717</v>
      </c>
      <c r="C449" s="0" t="s">
        <v>31</v>
      </c>
      <c r="D449" s="0" t="s">
        <v>49</v>
      </c>
      <c r="E449" s="0" t="n">
        <v>27776.32</v>
      </c>
      <c r="F449" s="0" t="n">
        <v>215</v>
      </c>
      <c r="G449" s="0" t="str">
        <f aca="false">IF(F449&lt;=30,"Current",IF(F449&lt;=60,"31 to 60 days",IF(F449&lt;=90,"61 to 90 days",IF(F449&lt;=120,"91 to 120 days","Over 120 days"))))</f>
        <v>Over 120 days</v>
      </c>
      <c r="H449" s="0" t="n">
        <f aca="false">VLOOKUP(D449,Rates!$A$4:$B$7,2,FALSE())</f>
        <v>0.02</v>
      </c>
      <c r="I449" s="0" t="n">
        <f aca="false">VLOOKUP(F449,Rates!$D$4:$E$8,2)</f>
        <v>0.85</v>
      </c>
      <c r="J449" s="0" t="n">
        <f aca="false">ROUND(E449*I449,2)</f>
        <v>23609.87</v>
      </c>
      <c r="K449" s="1" t="n">
        <f aca="false">PV(H449/12,F449/30,0,-E449)</f>
        <v>27446.7937364819</v>
      </c>
      <c r="L449" s="0" t="n">
        <f aca="false">ROUND(E449-K449,2)</f>
        <v>329.53</v>
      </c>
      <c r="M449" s="0" t="n">
        <f aca="false">F449/E449</f>
        <v>0.00774040621651824</v>
      </c>
    </row>
    <row r="450" customFormat="false" ht="12.8" hidden="false" customHeight="false" outlineLevel="0" collapsed="false">
      <c r="A450" s="0" t="s">
        <v>718</v>
      </c>
      <c r="B450" s="0" t="s">
        <v>719</v>
      </c>
      <c r="C450" s="0" t="s">
        <v>42</v>
      </c>
      <c r="D450" s="0" t="s">
        <v>16</v>
      </c>
      <c r="E450" s="0" t="n">
        <v>30325.14</v>
      </c>
      <c r="F450" s="0" t="n">
        <v>199</v>
      </c>
      <c r="G450" s="0" t="str">
        <f aca="false">IF(F450&lt;=30,"Current",IF(F450&lt;=60,"31 to 60 days",IF(F450&lt;=90,"61 to 90 days",IF(F450&lt;=120,"91 to 120 days","Over 120 days"))))</f>
        <v>Over 120 days</v>
      </c>
      <c r="H450" s="0" t="n">
        <f aca="false">VLOOKUP(D450,Rates!$A$4:$B$7,2,FALSE())</f>
        <v>0.085</v>
      </c>
      <c r="I450" s="0" t="n">
        <f aca="false">VLOOKUP(F450,Rates!$D$4:$E$8,2)</f>
        <v>0.85</v>
      </c>
      <c r="J450" s="0" t="n">
        <f aca="false">ROUND(E450*I450,2)</f>
        <v>25776.37</v>
      </c>
      <c r="K450" s="1" t="n">
        <f aca="false">PV(H450/12,F450/30,0,-E450)</f>
        <v>28938.0282874905</v>
      </c>
      <c r="L450" s="0" t="n">
        <f aca="false">ROUND(E450-K450,2)</f>
        <v>1387.11</v>
      </c>
      <c r="M450" s="0" t="n">
        <f aca="false">F450/E450</f>
        <v>0.00656221207882305</v>
      </c>
    </row>
    <row r="451" customFormat="false" ht="12.8" hidden="false" customHeight="false" outlineLevel="0" collapsed="false">
      <c r="A451" s="0" t="s">
        <v>720</v>
      </c>
      <c r="B451" s="0" t="s">
        <v>721</v>
      </c>
      <c r="C451" s="0" t="s">
        <v>31</v>
      </c>
      <c r="D451" s="0" t="s">
        <v>49</v>
      </c>
      <c r="E451" s="0" t="n">
        <v>2760.34</v>
      </c>
      <c r="F451" s="0" t="n">
        <v>0</v>
      </c>
      <c r="G451" s="0" t="str">
        <f aca="false">IF(F451&lt;=30,"Current",IF(F451&lt;=60,"31 to 60 days",IF(F451&lt;=90,"61 to 90 days",IF(F451&lt;=120,"91 to 120 days","Over 120 days"))))</f>
        <v>Current</v>
      </c>
      <c r="H451" s="0" t="n">
        <f aca="false">VLOOKUP(D451,Rates!$A$4:$B$7,2,FALSE())</f>
        <v>0.02</v>
      </c>
      <c r="I451" s="0" t="n">
        <f aca="false">VLOOKUP(F451,Rates!$D$4:$E$8,2)</f>
        <v>0.02</v>
      </c>
      <c r="J451" s="0" t="n">
        <f aca="false">ROUND(E451*I451,2)</f>
        <v>55.21</v>
      </c>
      <c r="K451" s="1" t="n">
        <f aca="false">PV(H451/12,F451/30,0,-E451)</f>
        <v>2760.34</v>
      </c>
      <c r="L451" s="0" t="n">
        <f aca="false">ROUND(E451-K451,2)</f>
        <v>0</v>
      </c>
      <c r="M451" s="0" t="n">
        <f aca="false">F451/E451</f>
        <v>0</v>
      </c>
    </row>
    <row r="452" customFormat="false" ht="12.8" hidden="false" customHeight="false" outlineLevel="0" collapsed="false">
      <c r="A452" s="0" t="s">
        <v>722</v>
      </c>
      <c r="B452" s="0" t="s">
        <v>723</v>
      </c>
      <c r="C452" s="0" t="s">
        <v>31</v>
      </c>
      <c r="D452" s="0" t="s">
        <v>49</v>
      </c>
      <c r="E452" s="0" t="n">
        <v>26480.01</v>
      </c>
      <c r="F452" s="0" t="n">
        <v>285</v>
      </c>
      <c r="G452" s="0" t="str">
        <f aca="false">IF(F452&lt;=30,"Current",IF(F452&lt;=60,"31 to 60 days",IF(F452&lt;=90,"61 to 90 days",IF(F452&lt;=120,"91 to 120 days","Over 120 days"))))</f>
        <v>Over 120 days</v>
      </c>
      <c r="H452" s="0" t="n">
        <f aca="false">VLOOKUP(D452,Rates!$A$4:$B$7,2,FALSE())</f>
        <v>0.02</v>
      </c>
      <c r="I452" s="0" t="n">
        <f aca="false">VLOOKUP(F452,Rates!$D$4:$E$8,2)</f>
        <v>0.85</v>
      </c>
      <c r="J452" s="0" t="n">
        <f aca="false">ROUND(E452*I452,2)</f>
        <v>22508.01</v>
      </c>
      <c r="K452" s="1" t="n">
        <f aca="false">PV(H452/12,F452/30,0,-E452)</f>
        <v>26064.3884430653</v>
      </c>
      <c r="L452" s="0" t="n">
        <f aca="false">ROUND(E452-K452,2)</f>
        <v>415.62</v>
      </c>
      <c r="M452" s="0" t="n">
        <f aca="false">F452/E452</f>
        <v>0.010762835814639</v>
      </c>
    </row>
    <row r="453" customFormat="false" ht="12.8" hidden="false" customHeight="false" outlineLevel="0" collapsed="false">
      <c r="A453" s="0" t="s">
        <v>724</v>
      </c>
      <c r="B453" s="0" t="s">
        <v>725</v>
      </c>
      <c r="C453" s="0" t="s">
        <v>15</v>
      </c>
      <c r="D453" s="0" t="s">
        <v>16</v>
      </c>
      <c r="E453" s="0" t="n">
        <v>32516.78</v>
      </c>
      <c r="F453" s="0" t="n">
        <v>135</v>
      </c>
      <c r="G453" s="0" t="str">
        <f aca="false">IF(F453&lt;=30,"Current",IF(F453&lt;=60,"31 to 60 days",IF(F453&lt;=90,"61 to 90 days",IF(F453&lt;=120,"91 to 120 days","Over 120 days"))))</f>
        <v>Over 120 days</v>
      </c>
      <c r="H453" s="0" t="n">
        <f aca="false">VLOOKUP(D453,Rates!$A$4:$B$7,2,FALSE())</f>
        <v>0.085</v>
      </c>
      <c r="I453" s="0" t="n">
        <f aca="false">VLOOKUP(F453,Rates!$D$4:$E$8,2)</f>
        <v>0.85</v>
      </c>
      <c r="J453" s="0" t="n">
        <f aca="false">ROUND(E453*I453,2)</f>
        <v>27639.26</v>
      </c>
      <c r="K453" s="1" t="n">
        <f aca="false">PV(H453/12,F453/30,0,-E453)</f>
        <v>31500.1914670933</v>
      </c>
      <c r="L453" s="0" t="n">
        <f aca="false">ROUND(E453-K453,2)</f>
        <v>1016.59</v>
      </c>
      <c r="M453" s="0" t="n">
        <f aca="false">F453/E453</f>
        <v>0.00415170259785871</v>
      </c>
    </row>
    <row r="454" customFormat="false" ht="12.8" hidden="false" customHeight="false" outlineLevel="0" collapsed="false">
      <c r="A454" s="0" t="s">
        <v>726</v>
      </c>
      <c r="B454" s="0" t="s">
        <v>727</v>
      </c>
      <c r="C454" s="0" t="s">
        <v>15</v>
      </c>
      <c r="D454" s="0" t="s">
        <v>49</v>
      </c>
      <c r="E454" s="0" t="n">
        <v>12155.92</v>
      </c>
      <c r="F454" s="0" t="n">
        <v>151</v>
      </c>
      <c r="G454" s="0" t="str">
        <f aca="false">IF(F454&lt;=30,"Current",IF(F454&lt;=60,"31 to 60 days",IF(F454&lt;=90,"61 to 90 days",IF(F454&lt;=120,"91 to 120 days","Over 120 days"))))</f>
        <v>Over 120 days</v>
      </c>
      <c r="H454" s="0" t="n">
        <f aca="false">VLOOKUP(D454,Rates!$A$4:$B$7,2,FALSE())</f>
        <v>0.02</v>
      </c>
      <c r="I454" s="0" t="n">
        <f aca="false">VLOOKUP(F454,Rates!$D$4:$E$8,2)</f>
        <v>0.85</v>
      </c>
      <c r="J454" s="0" t="n">
        <f aca="false">ROUND(E454*I454,2)</f>
        <v>10332.53</v>
      </c>
      <c r="K454" s="1" t="n">
        <f aca="false">PV(H454/12,F454/30,0,-E454)</f>
        <v>12054.4560470529</v>
      </c>
      <c r="L454" s="0" t="n">
        <f aca="false">ROUND(E454-K454,2)</f>
        <v>101.46</v>
      </c>
      <c r="M454" s="0" t="n">
        <f aca="false">F454/E454</f>
        <v>0.0124219310426525</v>
      </c>
    </row>
    <row r="455" customFormat="false" ht="12.8" hidden="false" customHeight="false" outlineLevel="0" collapsed="false">
      <c r="A455" s="0" t="s">
        <v>728</v>
      </c>
      <c r="B455" s="0" t="s">
        <v>729</v>
      </c>
      <c r="C455" s="0" t="s">
        <v>26</v>
      </c>
      <c r="D455" s="0" t="s">
        <v>16</v>
      </c>
      <c r="E455" s="0" t="n">
        <v>10016.27</v>
      </c>
      <c r="F455" s="0" t="n">
        <v>173</v>
      </c>
      <c r="G455" s="0" t="str">
        <f aca="false">IF(F455&lt;=30,"Current",IF(F455&lt;=60,"31 to 60 days",IF(F455&lt;=90,"61 to 90 days",IF(F455&lt;=120,"91 to 120 days","Over 120 days"))))</f>
        <v>Over 120 days</v>
      </c>
      <c r="H455" s="0" t="n">
        <f aca="false">VLOOKUP(D455,Rates!$A$4:$B$7,2,FALSE())</f>
        <v>0.085</v>
      </c>
      <c r="I455" s="0" t="n">
        <f aca="false">VLOOKUP(F455,Rates!$D$4:$E$8,2)</f>
        <v>0.85</v>
      </c>
      <c r="J455" s="0" t="n">
        <f aca="false">ROUND(E455*I455,2)</f>
        <v>8513.83</v>
      </c>
      <c r="K455" s="1" t="n">
        <f aca="false">PV(H455/12,F455/30,0,-E455)</f>
        <v>9616.76121876058</v>
      </c>
      <c r="L455" s="0" t="n">
        <f aca="false">ROUND(E455-K455,2)</f>
        <v>399.51</v>
      </c>
      <c r="M455" s="0" t="n">
        <f aca="false">F455/E455</f>
        <v>0.0172718986209437</v>
      </c>
    </row>
    <row r="456" customFormat="false" ht="12.8" hidden="false" customHeight="false" outlineLevel="0" collapsed="false">
      <c r="A456" s="0" t="s">
        <v>730</v>
      </c>
      <c r="B456" s="0" t="s">
        <v>682</v>
      </c>
      <c r="C456" s="0" t="s">
        <v>19</v>
      </c>
      <c r="D456" s="0" t="s">
        <v>23</v>
      </c>
      <c r="E456" s="0" t="n">
        <v>40440.87</v>
      </c>
      <c r="F456" s="0" t="n">
        <v>318</v>
      </c>
      <c r="G456" s="0" t="str">
        <f aca="false">IF(F456&lt;=30,"Current",IF(F456&lt;=60,"31 to 60 days",IF(F456&lt;=90,"61 to 90 days",IF(F456&lt;=120,"91 to 120 days","Over 120 days"))))</f>
        <v>Over 120 days</v>
      </c>
      <c r="H456" s="0" t="n">
        <f aca="false">VLOOKUP(D456,Rates!$A$4:$B$7,2,FALSE())</f>
        <v>0.115</v>
      </c>
      <c r="I456" s="0" t="n">
        <f aca="false">VLOOKUP(F456,Rates!$D$4:$E$8,2)</f>
        <v>0.85</v>
      </c>
      <c r="J456" s="0" t="n">
        <f aca="false">ROUND(E456*I456,2)</f>
        <v>34374.74</v>
      </c>
      <c r="K456" s="1" t="n">
        <f aca="false">PV(H456/12,F456/30,0,-E456)</f>
        <v>36552.195024441</v>
      </c>
      <c r="L456" s="0" t="n">
        <f aca="false">ROUND(E456-K456,2)</f>
        <v>3888.67</v>
      </c>
      <c r="M456" s="0" t="n">
        <f aca="false">F456/E456</f>
        <v>0.00786333231703472</v>
      </c>
    </row>
    <row r="457" customFormat="false" ht="12.8" hidden="false" customHeight="false" outlineLevel="0" collapsed="false">
      <c r="A457" s="0" t="s">
        <v>731</v>
      </c>
      <c r="B457" s="0" t="s">
        <v>550</v>
      </c>
      <c r="C457" s="0" t="s">
        <v>36</v>
      </c>
      <c r="D457" s="0" t="s">
        <v>23</v>
      </c>
      <c r="E457" s="0" t="n">
        <v>38891.93</v>
      </c>
      <c r="F457" s="0" t="n">
        <v>194</v>
      </c>
      <c r="G457" s="0" t="str">
        <f aca="false">IF(F457&lt;=30,"Current",IF(F457&lt;=60,"31 to 60 days",IF(F457&lt;=90,"61 to 90 days",IF(F457&lt;=120,"91 to 120 days","Over 120 days"))))</f>
        <v>Over 120 days</v>
      </c>
      <c r="H457" s="0" t="n">
        <f aca="false">VLOOKUP(D457,Rates!$A$4:$B$7,2,FALSE())</f>
        <v>0.115</v>
      </c>
      <c r="I457" s="0" t="n">
        <f aca="false">VLOOKUP(F457,Rates!$D$4:$E$8,2)</f>
        <v>0.85</v>
      </c>
      <c r="J457" s="0" t="n">
        <f aca="false">ROUND(E457*I457,2)</f>
        <v>33058.14</v>
      </c>
      <c r="K457" s="1" t="n">
        <f aca="false">PV(H457/12,F457/30,0,-E457)</f>
        <v>36565.6625537974</v>
      </c>
      <c r="L457" s="0" t="n">
        <f aca="false">ROUND(E457-K457,2)</f>
        <v>2326.27</v>
      </c>
      <c r="M457" s="0" t="n">
        <f aca="false">F457/E457</f>
        <v>0.00498818135278964</v>
      </c>
    </row>
    <row r="458" customFormat="false" ht="12.8" hidden="false" customHeight="false" outlineLevel="0" collapsed="false">
      <c r="A458" s="0" t="s">
        <v>732</v>
      </c>
      <c r="B458" s="0" t="s">
        <v>733</v>
      </c>
      <c r="C458" s="0" t="s">
        <v>15</v>
      </c>
      <c r="D458" s="0" t="s">
        <v>16</v>
      </c>
      <c r="E458" s="0" t="n">
        <v>31626.32</v>
      </c>
      <c r="F458" s="0" t="n">
        <v>204</v>
      </c>
      <c r="G458" s="0" t="str">
        <f aca="false">IF(F458&lt;=30,"Current",IF(F458&lt;=60,"31 to 60 days",IF(F458&lt;=90,"61 to 90 days",IF(F458&lt;=120,"91 to 120 days","Over 120 days"))))</f>
        <v>Over 120 days</v>
      </c>
      <c r="H458" s="0" t="n">
        <f aca="false">VLOOKUP(D458,Rates!$A$4:$B$7,2,FALSE())</f>
        <v>0.085</v>
      </c>
      <c r="I458" s="0" t="n">
        <f aca="false">VLOOKUP(F458,Rates!$D$4:$E$8,2)</f>
        <v>0.85</v>
      </c>
      <c r="J458" s="0" t="n">
        <f aca="false">ROUND(E458*I458,2)</f>
        <v>26882.37</v>
      </c>
      <c r="K458" s="1" t="n">
        <f aca="false">PV(H458/12,F458/30,0,-E458)</f>
        <v>30144.2082720808</v>
      </c>
      <c r="L458" s="0" t="n">
        <f aca="false">ROUND(E458-K458,2)</f>
        <v>1482.11</v>
      </c>
      <c r="M458" s="0" t="n">
        <f aca="false">F458/E458</f>
        <v>0.00645032365447513</v>
      </c>
    </row>
    <row r="459" customFormat="false" ht="12.8" hidden="false" customHeight="false" outlineLevel="0" collapsed="false">
      <c r="A459" s="0" t="s">
        <v>734</v>
      </c>
      <c r="B459" s="0" t="s">
        <v>347</v>
      </c>
      <c r="C459" s="0" t="s">
        <v>42</v>
      </c>
      <c r="D459" s="0" t="s">
        <v>23</v>
      </c>
      <c r="E459" s="0" t="n">
        <v>4974.62</v>
      </c>
      <c r="F459" s="0" t="n">
        <v>332</v>
      </c>
      <c r="G459" s="0" t="str">
        <f aca="false">IF(F459&lt;=30,"Current",IF(F459&lt;=60,"31 to 60 days",IF(F459&lt;=90,"61 to 90 days",IF(F459&lt;=120,"91 to 120 days","Over 120 days"))))</f>
        <v>Over 120 days</v>
      </c>
      <c r="H459" s="0" t="n">
        <f aca="false">VLOOKUP(D459,Rates!$A$4:$B$7,2,FALSE())</f>
        <v>0.115</v>
      </c>
      <c r="I459" s="0" t="n">
        <f aca="false">VLOOKUP(F459,Rates!$D$4:$E$8,2)</f>
        <v>0.85</v>
      </c>
      <c r="J459" s="0" t="n">
        <f aca="false">ROUND(E459*I459,2)</f>
        <v>4228.43</v>
      </c>
      <c r="K459" s="1" t="n">
        <f aca="false">PV(H459/12,F459/30,0,-E459)</f>
        <v>4476.30706002894</v>
      </c>
      <c r="L459" s="0" t="n">
        <f aca="false">ROUND(E459-K459,2)</f>
        <v>498.31</v>
      </c>
      <c r="M459" s="0" t="n">
        <f aca="false">F459/E459</f>
        <v>0.0667387659760947</v>
      </c>
    </row>
    <row r="460" customFormat="false" ht="12.8" hidden="false" customHeight="false" outlineLevel="0" collapsed="false">
      <c r="A460" s="0" t="s">
        <v>735</v>
      </c>
      <c r="B460" s="0" t="s">
        <v>33</v>
      </c>
      <c r="C460" s="0" t="s">
        <v>26</v>
      </c>
      <c r="D460" s="0" t="s">
        <v>20</v>
      </c>
      <c r="E460" s="0" t="n">
        <v>41762.79</v>
      </c>
      <c r="F460" s="0" t="n">
        <v>149</v>
      </c>
      <c r="G460" s="0" t="str">
        <f aca="false">IF(F460&lt;=30,"Current",IF(F460&lt;=60,"31 to 60 days",IF(F460&lt;=90,"61 to 90 days",IF(F460&lt;=120,"91 to 120 days","Over 120 days"))))</f>
        <v>Over 120 days</v>
      </c>
      <c r="H460" s="0" t="n">
        <f aca="false">VLOOKUP(D460,Rates!$A$4:$B$7,2,FALSE())</f>
        <v>0.05</v>
      </c>
      <c r="I460" s="0" t="n">
        <f aca="false">VLOOKUP(F460,Rates!$D$4:$E$8,2)</f>
        <v>0.85</v>
      </c>
      <c r="J460" s="0" t="n">
        <f aca="false">ROUND(E460*I460,2)</f>
        <v>35498.37</v>
      </c>
      <c r="K460" s="1" t="n">
        <f aca="false">PV(H460/12,F460/30,0,-E460)</f>
        <v>40909.1723721187</v>
      </c>
      <c r="L460" s="0" t="n">
        <f aca="false">ROUND(E460-K460,2)</f>
        <v>853.62</v>
      </c>
      <c r="M460" s="0" t="n">
        <f aca="false">F460/E460</f>
        <v>0.00356776929893812</v>
      </c>
    </row>
    <row r="461" customFormat="false" ht="12.8" hidden="false" customHeight="false" outlineLevel="0" collapsed="false">
      <c r="A461" s="0" t="s">
        <v>736</v>
      </c>
      <c r="B461" s="0" t="s">
        <v>737</v>
      </c>
      <c r="C461" s="0" t="s">
        <v>36</v>
      </c>
      <c r="D461" s="0" t="s">
        <v>16</v>
      </c>
      <c r="E461" s="0" t="n">
        <v>32018.9</v>
      </c>
      <c r="F461" s="0" t="n">
        <v>104</v>
      </c>
      <c r="G461" s="0" t="str">
        <f aca="false">IF(F461&lt;=30,"Current",IF(F461&lt;=60,"31 to 60 days",IF(F461&lt;=90,"61 to 90 days",IF(F461&lt;=120,"91 to 120 days","Over 120 days"))))</f>
        <v>91 to 120 days</v>
      </c>
      <c r="H461" s="0" t="n">
        <f aca="false">VLOOKUP(D461,Rates!$A$4:$B$7,2,FALSE())</f>
        <v>0.085</v>
      </c>
      <c r="I461" s="0" t="n">
        <f aca="false">VLOOKUP(F461,Rates!$D$4:$E$8,2)</f>
        <v>0.5</v>
      </c>
      <c r="J461" s="0" t="n">
        <f aca="false">ROUND(E461*I461,2)</f>
        <v>16009.45</v>
      </c>
      <c r="K461" s="1" t="n">
        <f aca="false">PV(H461/12,F461/30,0,-E461)</f>
        <v>31244.9373099252</v>
      </c>
      <c r="L461" s="0" t="n">
        <f aca="false">ROUND(E461-K461,2)</f>
        <v>773.96</v>
      </c>
      <c r="M461" s="0" t="n">
        <f aca="false">F461/E461</f>
        <v>0.00324808160180393</v>
      </c>
    </row>
    <row r="462" customFormat="false" ht="12.8" hidden="false" customHeight="false" outlineLevel="0" collapsed="false">
      <c r="A462" s="0" t="s">
        <v>738</v>
      </c>
      <c r="B462" s="0" t="s">
        <v>357</v>
      </c>
      <c r="C462" s="0" t="s">
        <v>19</v>
      </c>
      <c r="D462" s="0" t="s">
        <v>23</v>
      </c>
      <c r="E462" s="0" t="n">
        <v>34767.56</v>
      </c>
      <c r="F462" s="0" t="n">
        <v>395</v>
      </c>
      <c r="G462" s="0" t="str">
        <f aca="false">IF(F462&lt;=30,"Current",IF(F462&lt;=60,"31 to 60 days",IF(F462&lt;=90,"61 to 90 days",IF(F462&lt;=120,"91 to 120 days","Over 120 days"))))</f>
        <v>Over 120 days</v>
      </c>
      <c r="H462" s="0" t="n">
        <f aca="false">VLOOKUP(D462,Rates!$A$4:$B$7,2,FALSE())</f>
        <v>0.115</v>
      </c>
      <c r="I462" s="0" t="n">
        <f aca="false">VLOOKUP(F462,Rates!$D$4:$E$8,2)</f>
        <v>0.85</v>
      </c>
      <c r="J462" s="0" t="n">
        <f aca="false">ROUND(E462*I462,2)</f>
        <v>29552.43</v>
      </c>
      <c r="K462" s="1" t="n">
        <f aca="false">PV(H462/12,F462/30,0,-E462)</f>
        <v>30664.4803363331</v>
      </c>
      <c r="L462" s="0" t="n">
        <f aca="false">ROUND(E462-K462,2)</f>
        <v>4103.08</v>
      </c>
      <c r="M462" s="0" t="n">
        <f aca="false">F462/E462</f>
        <v>0.0113611654082139</v>
      </c>
    </row>
    <row r="463" customFormat="false" ht="12.8" hidden="false" customHeight="false" outlineLevel="0" collapsed="false">
      <c r="A463" s="0" t="s">
        <v>739</v>
      </c>
      <c r="B463" s="0" t="s">
        <v>28</v>
      </c>
      <c r="C463" s="0" t="s">
        <v>15</v>
      </c>
      <c r="D463" s="0" t="s">
        <v>20</v>
      </c>
      <c r="E463" s="0" t="n">
        <v>15151.15</v>
      </c>
      <c r="F463" s="0" t="n">
        <v>175</v>
      </c>
      <c r="G463" s="0" t="str">
        <f aca="false">IF(F463&lt;=30,"Current",IF(F463&lt;=60,"31 to 60 days",IF(F463&lt;=90,"61 to 90 days",IF(F463&lt;=120,"91 to 120 days","Over 120 days"))))</f>
        <v>Over 120 days</v>
      </c>
      <c r="H463" s="0" t="n">
        <f aca="false">VLOOKUP(D463,Rates!$A$4:$B$7,2,FALSE())</f>
        <v>0.05</v>
      </c>
      <c r="I463" s="0" t="n">
        <f aca="false">VLOOKUP(F463,Rates!$D$4:$E$8,2)</f>
        <v>0.85</v>
      </c>
      <c r="J463" s="0" t="n">
        <f aca="false">ROUND(E463*I463,2)</f>
        <v>12878.48</v>
      </c>
      <c r="K463" s="1" t="n">
        <f aca="false">PV(H463/12,F463/30,0,-E463)</f>
        <v>14788.0789147515</v>
      </c>
      <c r="L463" s="0" t="n">
        <f aca="false">ROUND(E463-K463,2)</f>
        <v>363.07</v>
      </c>
      <c r="M463" s="0" t="n">
        <f aca="false">F463/E463</f>
        <v>0.0115502783617085</v>
      </c>
    </row>
    <row r="464" customFormat="false" ht="12.8" hidden="false" customHeight="false" outlineLevel="0" collapsed="false">
      <c r="A464" s="0" t="s">
        <v>740</v>
      </c>
      <c r="B464" s="0" t="s">
        <v>28</v>
      </c>
      <c r="C464" s="0" t="s">
        <v>15</v>
      </c>
      <c r="D464" s="0" t="s">
        <v>20</v>
      </c>
      <c r="E464" s="0" t="n">
        <v>45010.19</v>
      </c>
      <c r="F464" s="0" t="n">
        <v>30</v>
      </c>
      <c r="G464" s="0" t="str">
        <f aca="false">IF(F464&lt;=30,"Current",IF(F464&lt;=60,"31 to 60 days",IF(F464&lt;=90,"61 to 90 days",IF(F464&lt;=120,"91 to 120 days","Over 120 days"))))</f>
        <v>Current</v>
      </c>
      <c r="H464" s="0" t="n">
        <f aca="false">VLOOKUP(D464,Rates!$A$4:$B$7,2,FALSE())</f>
        <v>0.05</v>
      </c>
      <c r="I464" s="0" t="n">
        <f aca="false">VLOOKUP(F464,Rates!$D$4:$E$8,2)</f>
        <v>0.02</v>
      </c>
      <c r="J464" s="0" t="n">
        <f aca="false">ROUND(E464*I464,2)</f>
        <v>900.2</v>
      </c>
      <c r="K464" s="1" t="n">
        <f aca="false">PV(H464/12,F464/30,0,-E464)</f>
        <v>44823.4257261411</v>
      </c>
      <c r="L464" s="0" t="n">
        <f aca="false">ROUND(E464-K464,2)</f>
        <v>186.76</v>
      </c>
      <c r="M464" s="0" t="n">
        <f aca="false">F464/E464</f>
        <v>0.000666515737880689</v>
      </c>
    </row>
    <row r="465" customFormat="false" ht="12.8" hidden="false" customHeight="false" outlineLevel="0" collapsed="false">
      <c r="A465" s="0" t="s">
        <v>741</v>
      </c>
      <c r="B465" s="0" t="s">
        <v>742</v>
      </c>
      <c r="C465" s="0" t="s">
        <v>42</v>
      </c>
      <c r="D465" s="0" t="s">
        <v>49</v>
      </c>
      <c r="E465" s="0" t="n">
        <v>24973.62</v>
      </c>
      <c r="F465" s="0" t="n">
        <v>13</v>
      </c>
      <c r="G465" s="0" t="str">
        <f aca="false">IF(F465&lt;=30,"Current",IF(F465&lt;=60,"31 to 60 days",IF(F465&lt;=90,"61 to 90 days",IF(F465&lt;=120,"91 to 120 days","Over 120 days"))))</f>
        <v>Current</v>
      </c>
      <c r="H465" s="0" t="n">
        <f aca="false">VLOOKUP(D465,Rates!$A$4:$B$7,2,FALSE())</f>
        <v>0.02</v>
      </c>
      <c r="I465" s="0" t="n">
        <f aca="false">VLOOKUP(F465,Rates!$D$4:$E$8,2)</f>
        <v>0.02</v>
      </c>
      <c r="J465" s="0" t="n">
        <f aca="false">ROUND(E465*I465,2)</f>
        <v>499.47</v>
      </c>
      <c r="K465" s="1" t="n">
        <f aca="false">PV(H465/12,F465/30,0,-E465)</f>
        <v>24955.6050111857</v>
      </c>
      <c r="L465" s="0" t="n">
        <f aca="false">ROUND(E465-K465,2)</f>
        <v>18.01</v>
      </c>
      <c r="M465" s="0" t="n">
        <f aca="false">F465/E465</f>
        <v>0.000520549283604059</v>
      </c>
    </row>
    <row r="466" customFormat="false" ht="12.8" hidden="false" customHeight="false" outlineLevel="0" collapsed="false">
      <c r="A466" s="0" t="s">
        <v>743</v>
      </c>
      <c r="B466" s="0" t="s">
        <v>74</v>
      </c>
      <c r="C466" s="0" t="s">
        <v>31</v>
      </c>
      <c r="D466" s="0" t="s">
        <v>23</v>
      </c>
      <c r="E466" s="0" t="n">
        <v>13914.71</v>
      </c>
      <c r="F466" s="0" t="n">
        <v>337</v>
      </c>
      <c r="G466" s="0" t="str">
        <f aca="false">IF(F466&lt;=30,"Current",IF(F466&lt;=60,"31 to 60 days",IF(F466&lt;=90,"61 to 90 days",IF(F466&lt;=120,"91 to 120 days","Over 120 days"))))</f>
        <v>Over 120 days</v>
      </c>
      <c r="H466" s="0" t="n">
        <f aca="false">VLOOKUP(D466,Rates!$A$4:$B$7,2,FALSE())</f>
        <v>0.115</v>
      </c>
      <c r="I466" s="0" t="n">
        <f aca="false">VLOOKUP(F466,Rates!$D$4:$E$8,2)</f>
        <v>0.85</v>
      </c>
      <c r="J466" s="0" t="n">
        <f aca="false">ROUND(E466*I466,2)</f>
        <v>11827.5</v>
      </c>
      <c r="K466" s="1" t="n">
        <f aca="false">PV(H466/12,F466/30,0,-E466)</f>
        <v>12500.9712373427</v>
      </c>
      <c r="L466" s="0" t="n">
        <f aca="false">ROUND(E466-K466,2)</f>
        <v>1413.74</v>
      </c>
      <c r="M466" s="0" t="n">
        <f aca="false">F466/E466</f>
        <v>0.024218974021018</v>
      </c>
    </row>
    <row r="467" customFormat="false" ht="12.8" hidden="false" customHeight="false" outlineLevel="0" collapsed="false">
      <c r="A467" s="0" t="s">
        <v>744</v>
      </c>
      <c r="B467" s="0" t="s">
        <v>18</v>
      </c>
      <c r="C467" s="0" t="s">
        <v>19</v>
      </c>
      <c r="D467" s="0" t="s">
        <v>20</v>
      </c>
      <c r="E467" s="0" t="n">
        <v>13695.61</v>
      </c>
      <c r="F467" s="0" t="n">
        <v>332</v>
      </c>
      <c r="G467" s="0" t="str">
        <f aca="false">IF(F467&lt;=30,"Current",IF(F467&lt;=60,"31 to 60 days",IF(F467&lt;=90,"61 to 90 days",IF(F467&lt;=120,"91 to 120 days","Over 120 days"))))</f>
        <v>Over 120 days</v>
      </c>
      <c r="H467" s="0" t="n">
        <f aca="false">VLOOKUP(D467,Rates!$A$4:$B$7,2,FALSE())</f>
        <v>0.05</v>
      </c>
      <c r="I467" s="0" t="n">
        <f aca="false">VLOOKUP(F467,Rates!$D$4:$E$8,2)</f>
        <v>0.85</v>
      </c>
      <c r="J467" s="0" t="n">
        <f aca="false">ROUND(E467*I467,2)</f>
        <v>11641.27</v>
      </c>
      <c r="K467" s="1" t="n">
        <f aca="false">PV(H467/12,F467/30,0,-E467)</f>
        <v>13079.6819660959</v>
      </c>
      <c r="L467" s="0" t="n">
        <f aca="false">ROUND(E467-K467,2)</f>
        <v>615.93</v>
      </c>
      <c r="M467" s="0" t="n">
        <f aca="false">F467/E467</f>
        <v>0.0242413444892195</v>
      </c>
    </row>
    <row r="468" customFormat="false" ht="12.8" hidden="false" customHeight="false" outlineLevel="0" collapsed="false">
      <c r="A468" s="0" t="s">
        <v>745</v>
      </c>
      <c r="B468" s="0" t="s">
        <v>534</v>
      </c>
      <c r="C468" s="0" t="s">
        <v>26</v>
      </c>
      <c r="D468" s="0" t="s">
        <v>23</v>
      </c>
      <c r="E468" s="0" t="n">
        <v>5179.72</v>
      </c>
      <c r="F468" s="0" t="n">
        <v>15</v>
      </c>
      <c r="G468" s="0" t="str">
        <f aca="false">IF(F468&lt;=30,"Current",IF(F468&lt;=60,"31 to 60 days",IF(F468&lt;=90,"61 to 90 days",IF(F468&lt;=120,"91 to 120 days","Over 120 days"))))</f>
        <v>Current</v>
      </c>
      <c r="H468" s="0" t="n">
        <f aca="false">VLOOKUP(D468,Rates!$A$4:$B$7,2,FALSE())</f>
        <v>0.115</v>
      </c>
      <c r="I468" s="0" t="n">
        <f aca="false">VLOOKUP(F468,Rates!$D$4:$E$8,2)</f>
        <v>0.02</v>
      </c>
      <c r="J468" s="0" t="n">
        <f aca="false">ROUND(E468*I468,2)</f>
        <v>103.59</v>
      </c>
      <c r="K468" s="1" t="n">
        <f aca="false">PV(H468/12,F468/30,0,-E468)</f>
        <v>5155.07748563064</v>
      </c>
      <c r="L468" s="0" t="n">
        <f aca="false">ROUND(E468-K468,2)</f>
        <v>24.64</v>
      </c>
      <c r="M468" s="0" t="n">
        <f aca="false">F468/E468</f>
        <v>0.00289590943139784</v>
      </c>
    </row>
    <row r="469" customFormat="false" ht="12.8" hidden="false" customHeight="false" outlineLevel="0" collapsed="false">
      <c r="A469" s="0" t="s">
        <v>746</v>
      </c>
      <c r="B469" s="0" t="s">
        <v>82</v>
      </c>
      <c r="C469" s="0" t="s">
        <v>36</v>
      </c>
      <c r="D469" s="0" t="s">
        <v>23</v>
      </c>
      <c r="E469" s="0" t="n">
        <v>44153.15</v>
      </c>
      <c r="F469" s="0" t="n">
        <v>221</v>
      </c>
      <c r="G469" s="0" t="str">
        <f aca="false">IF(F469&lt;=30,"Current",IF(F469&lt;=60,"31 to 60 days",IF(F469&lt;=90,"61 to 90 days",IF(F469&lt;=120,"91 to 120 days","Over 120 days"))))</f>
        <v>Over 120 days</v>
      </c>
      <c r="H469" s="0" t="n">
        <f aca="false">VLOOKUP(D469,Rates!$A$4:$B$7,2,FALSE())</f>
        <v>0.115</v>
      </c>
      <c r="I469" s="0" t="n">
        <f aca="false">VLOOKUP(F469,Rates!$D$4:$E$8,2)</f>
        <v>0.85</v>
      </c>
      <c r="J469" s="0" t="n">
        <f aca="false">ROUND(E469*I469,2)</f>
        <v>37530.18</v>
      </c>
      <c r="K469" s="1" t="n">
        <f aca="false">PV(H469/12,F469/30,0,-E469)</f>
        <v>41157.3770203489</v>
      </c>
      <c r="L469" s="0" t="n">
        <f aca="false">ROUND(E469-K469,2)</f>
        <v>2995.77</v>
      </c>
      <c r="M469" s="0" t="n">
        <f aca="false">F469/E469</f>
        <v>0.00500530539723666</v>
      </c>
    </row>
    <row r="470" customFormat="false" ht="12.8" hidden="false" customHeight="false" outlineLevel="0" collapsed="false">
      <c r="A470" s="0" t="s">
        <v>747</v>
      </c>
      <c r="B470" s="0" t="s">
        <v>33</v>
      </c>
      <c r="C470" s="0" t="s">
        <v>26</v>
      </c>
      <c r="D470" s="0" t="s">
        <v>20</v>
      </c>
      <c r="E470" s="0" t="n">
        <v>36478.35</v>
      </c>
      <c r="F470" s="0" t="n">
        <v>177</v>
      </c>
      <c r="G470" s="0" t="str">
        <f aca="false">IF(F470&lt;=30,"Current",IF(F470&lt;=60,"31 to 60 days",IF(F470&lt;=90,"61 to 90 days",IF(F470&lt;=120,"91 to 120 days","Over 120 days"))))</f>
        <v>Over 120 days</v>
      </c>
      <c r="H470" s="0" t="n">
        <f aca="false">VLOOKUP(D470,Rates!$A$4:$B$7,2,FALSE())</f>
        <v>0.05</v>
      </c>
      <c r="I470" s="0" t="n">
        <f aca="false">VLOOKUP(F470,Rates!$D$4:$E$8,2)</f>
        <v>0.85</v>
      </c>
      <c r="J470" s="0" t="n">
        <f aca="false">ROUND(E470*I470,2)</f>
        <v>31006.6</v>
      </c>
      <c r="K470" s="1" t="n">
        <f aca="false">PV(H470/12,F470/30,0,-E470)</f>
        <v>35594.3413379575</v>
      </c>
      <c r="L470" s="0" t="n">
        <f aca="false">ROUND(E470-K470,2)</f>
        <v>884.01</v>
      </c>
      <c r="M470" s="0" t="n">
        <f aca="false">F470/E470</f>
        <v>0.0048521931501836</v>
      </c>
    </row>
    <row r="471" customFormat="false" ht="12.8" hidden="false" customHeight="false" outlineLevel="0" collapsed="false">
      <c r="A471" s="0" t="s">
        <v>748</v>
      </c>
      <c r="B471" s="0" t="s">
        <v>424</v>
      </c>
      <c r="C471" s="0" t="s">
        <v>19</v>
      </c>
      <c r="D471" s="0" t="s">
        <v>16</v>
      </c>
      <c r="E471" s="0" t="n">
        <v>13223.84</v>
      </c>
      <c r="F471" s="0" t="n">
        <v>130</v>
      </c>
      <c r="G471" s="0" t="str">
        <f aca="false">IF(F471&lt;=30,"Current",IF(F471&lt;=60,"31 to 60 days",IF(F471&lt;=90,"61 to 90 days",IF(F471&lt;=120,"91 to 120 days","Over 120 days"))))</f>
        <v>Over 120 days</v>
      </c>
      <c r="H471" s="0" t="n">
        <f aca="false">VLOOKUP(D471,Rates!$A$4:$B$7,2,FALSE())</f>
        <v>0.085</v>
      </c>
      <c r="I471" s="0" t="n">
        <f aca="false">VLOOKUP(F471,Rates!$D$4:$E$8,2)</f>
        <v>0.85</v>
      </c>
      <c r="J471" s="0" t="n">
        <f aca="false">ROUND(E471*I471,2)</f>
        <v>11240.26</v>
      </c>
      <c r="K471" s="1" t="n">
        <f aca="false">PV(H471/12,F471/30,0,-E471)</f>
        <v>12825.4953698421</v>
      </c>
      <c r="L471" s="0" t="n">
        <f aca="false">ROUND(E471-K471,2)</f>
        <v>398.34</v>
      </c>
      <c r="M471" s="0" t="n">
        <f aca="false">F471/E471</f>
        <v>0.00983072995438541</v>
      </c>
    </row>
    <row r="472" customFormat="false" ht="12.8" hidden="false" customHeight="false" outlineLevel="0" collapsed="false">
      <c r="A472" s="0" t="s">
        <v>749</v>
      </c>
      <c r="B472" s="0" t="s">
        <v>750</v>
      </c>
      <c r="C472" s="0" t="s">
        <v>42</v>
      </c>
      <c r="D472" s="0" t="s">
        <v>16</v>
      </c>
      <c r="E472" s="0" t="n">
        <v>0</v>
      </c>
      <c r="F472" s="0" t="n">
        <v>383</v>
      </c>
      <c r="G472" s="0" t="str">
        <f aca="false">IF(F472&lt;=30,"Current",IF(F472&lt;=60,"31 to 60 days",IF(F472&lt;=90,"61 to 90 days",IF(F472&lt;=120,"91 to 120 days","Over 120 days"))))</f>
        <v>Over 120 days</v>
      </c>
      <c r="H472" s="0" t="n">
        <f aca="false">VLOOKUP(D472,Rates!$A$4:$B$7,2,FALSE())</f>
        <v>0.085</v>
      </c>
      <c r="I472" s="0" t="n">
        <f aca="false">VLOOKUP(F472,Rates!$D$4:$E$8,2)</f>
        <v>0.85</v>
      </c>
      <c r="J472" s="0" t="n">
        <f aca="false">ROUND(E472*I472,2)</f>
        <v>0</v>
      </c>
      <c r="K472" s="1" t="n">
        <f aca="false">PV(H472/12,F472/30,0,-E472)</f>
        <v>-0</v>
      </c>
      <c r="L472" s="0" t="n">
        <f aca="false">ROUND(E472-K472,2)</f>
        <v>0</v>
      </c>
      <c r="M472" s="0" t="e">
        <f aca="false">F472/E472</f>
        <v>#DIV/0!</v>
      </c>
    </row>
    <row r="473" customFormat="false" ht="12.8" hidden="false" customHeight="false" outlineLevel="0" collapsed="false">
      <c r="A473" s="0" t="s">
        <v>751</v>
      </c>
      <c r="B473" s="0" t="s">
        <v>752</v>
      </c>
      <c r="C473" s="0" t="s">
        <v>42</v>
      </c>
      <c r="D473" s="0" t="s">
        <v>49</v>
      </c>
      <c r="E473" s="0" t="n">
        <v>2934.23</v>
      </c>
      <c r="F473" s="0" t="n">
        <v>150</v>
      </c>
      <c r="G473" s="0" t="str">
        <f aca="false">IF(F473&lt;=30,"Current",IF(F473&lt;=60,"31 to 60 days",IF(F473&lt;=90,"61 to 90 days",IF(F473&lt;=120,"91 to 120 days","Over 120 days"))))</f>
        <v>Over 120 days</v>
      </c>
      <c r="H473" s="0" t="n">
        <f aca="false">VLOOKUP(D473,Rates!$A$4:$B$7,2,FALSE())</f>
        <v>0.02</v>
      </c>
      <c r="I473" s="0" t="n">
        <f aca="false">VLOOKUP(F473,Rates!$D$4:$E$8,2)</f>
        <v>0.85</v>
      </c>
      <c r="J473" s="0" t="n">
        <f aca="false">ROUND(E473*I473,2)</f>
        <v>2494.1</v>
      </c>
      <c r="K473" s="1" t="n">
        <f aca="false">PV(H473/12,F473/30,0,-E473)</f>
        <v>2909.89986904284</v>
      </c>
      <c r="L473" s="0" t="n">
        <f aca="false">ROUND(E473-K473,2)</f>
        <v>24.33</v>
      </c>
      <c r="M473" s="0" t="n">
        <f aca="false">F473/E473</f>
        <v>0.051120736956544</v>
      </c>
    </row>
    <row r="474" customFormat="false" ht="12.8" hidden="false" customHeight="false" outlineLevel="0" collapsed="false">
      <c r="A474" s="0" t="s">
        <v>753</v>
      </c>
      <c r="B474" s="0" t="s">
        <v>754</v>
      </c>
      <c r="C474" s="0" t="s">
        <v>36</v>
      </c>
      <c r="D474" s="0" t="s">
        <v>16</v>
      </c>
      <c r="E474" s="0" t="n">
        <v>15574.79</v>
      </c>
      <c r="F474" s="0" t="n">
        <v>164</v>
      </c>
      <c r="G474" s="0" t="str">
        <f aca="false">IF(F474&lt;=30,"Current",IF(F474&lt;=60,"31 to 60 days",IF(F474&lt;=90,"61 to 90 days",IF(F474&lt;=120,"91 to 120 days","Over 120 days"))))</f>
        <v>Over 120 days</v>
      </c>
      <c r="H474" s="0" t="n">
        <f aca="false">VLOOKUP(D474,Rates!$A$4:$B$7,2,FALSE())</f>
        <v>0.085</v>
      </c>
      <c r="I474" s="0" t="n">
        <f aca="false">VLOOKUP(F474,Rates!$D$4:$E$8,2)</f>
        <v>0.85</v>
      </c>
      <c r="J474" s="0" t="n">
        <f aca="false">ROUND(E474*I474,2)</f>
        <v>13238.57</v>
      </c>
      <c r="K474" s="1" t="n">
        <f aca="false">PV(H474/12,F474/30,0,-E474)</f>
        <v>14985.2720620261</v>
      </c>
      <c r="L474" s="0" t="n">
        <f aca="false">ROUND(E474-K474,2)</f>
        <v>589.52</v>
      </c>
      <c r="M474" s="0" t="n">
        <f aca="false">F474/E474</f>
        <v>0.0105298369994074</v>
      </c>
    </row>
    <row r="475" customFormat="false" ht="12.8" hidden="false" customHeight="false" outlineLevel="0" collapsed="false">
      <c r="A475" s="0" t="s">
        <v>755</v>
      </c>
      <c r="B475" s="0" t="s">
        <v>534</v>
      </c>
      <c r="C475" s="0" t="s">
        <v>26</v>
      </c>
      <c r="D475" s="0" t="s">
        <v>23</v>
      </c>
      <c r="E475" s="0" t="n">
        <v>24106.51</v>
      </c>
      <c r="F475" s="0" t="n">
        <v>140</v>
      </c>
      <c r="G475" s="0" t="str">
        <f aca="false">IF(F475&lt;=30,"Current",IF(F475&lt;=60,"31 to 60 days",IF(F475&lt;=90,"61 to 90 days",IF(F475&lt;=120,"91 to 120 days","Over 120 days"))))</f>
        <v>Over 120 days</v>
      </c>
      <c r="H475" s="0" t="n">
        <f aca="false">VLOOKUP(D475,Rates!$A$4:$B$7,2,FALSE())</f>
        <v>0.115</v>
      </c>
      <c r="I475" s="0" t="n">
        <f aca="false">VLOOKUP(F475,Rates!$D$4:$E$8,2)</f>
        <v>0.85</v>
      </c>
      <c r="J475" s="0" t="n">
        <f aca="false">ROUND(E475*I475,2)</f>
        <v>20490.53</v>
      </c>
      <c r="K475" s="1" t="n">
        <f aca="false">PV(H475/12,F475/30,0,-E475)</f>
        <v>23057.0744730958</v>
      </c>
      <c r="L475" s="0" t="n">
        <f aca="false">ROUND(E475-K475,2)</f>
        <v>1049.44</v>
      </c>
      <c r="M475" s="0" t="n">
        <f aca="false">F475/E475</f>
        <v>0.00580755986660865</v>
      </c>
    </row>
    <row r="476" customFormat="false" ht="12.8" hidden="false" customHeight="false" outlineLevel="0" collapsed="false">
      <c r="A476" s="0" t="s">
        <v>756</v>
      </c>
      <c r="B476" s="0" t="s">
        <v>210</v>
      </c>
      <c r="C476" s="0" t="s">
        <v>15</v>
      </c>
      <c r="D476" s="0" t="s">
        <v>16</v>
      </c>
      <c r="E476" s="0" t="n">
        <v>3181.31</v>
      </c>
      <c r="F476" s="0" t="n">
        <v>181</v>
      </c>
      <c r="G476" s="0" t="str">
        <f aca="false">IF(F476&lt;=30,"Current",IF(F476&lt;=60,"31 to 60 days",IF(F476&lt;=90,"61 to 90 days",IF(F476&lt;=120,"91 to 120 days","Over 120 days"))))</f>
        <v>Over 120 days</v>
      </c>
      <c r="H476" s="0" t="n">
        <f aca="false">VLOOKUP(D476,Rates!$A$4:$B$7,2,FALSE())</f>
        <v>0.085</v>
      </c>
      <c r="I476" s="0" t="n">
        <f aca="false">VLOOKUP(F476,Rates!$D$4:$E$8,2)</f>
        <v>0.85</v>
      </c>
      <c r="J476" s="0" t="n">
        <f aca="false">ROUND(E476*I476,2)</f>
        <v>2704.11</v>
      </c>
      <c r="K476" s="1" t="n">
        <f aca="false">PV(H476/12,F476/30,0,-E476)</f>
        <v>3048.67660553426</v>
      </c>
      <c r="L476" s="0" t="n">
        <f aca="false">ROUND(E476-K476,2)</f>
        <v>132.63</v>
      </c>
      <c r="M476" s="0" t="n">
        <f aca="false">F476/E476</f>
        <v>0.0568948011982485</v>
      </c>
    </row>
    <row r="477" customFormat="false" ht="12.8" hidden="false" customHeight="false" outlineLevel="0" collapsed="false">
      <c r="A477" s="0" t="s">
        <v>757</v>
      </c>
      <c r="B477" s="0" t="s">
        <v>53</v>
      </c>
      <c r="C477" s="0" t="s">
        <v>19</v>
      </c>
      <c r="D477" s="0" t="s">
        <v>23</v>
      </c>
      <c r="E477" s="0" t="n">
        <v>20869.25</v>
      </c>
      <c r="F477" s="0" t="n">
        <v>358</v>
      </c>
      <c r="G477" s="0" t="str">
        <f aca="false">IF(F477&lt;=30,"Current",IF(F477&lt;=60,"31 to 60 days",IF(F477&lt;=90,"61 to 90 days",IF(F477&lt;=120,"91 to 120 days","Over 120 days"))))</f>
        <v>Over 120 days</v>
      </c>
      <c r="H477" s="0" t="n">
        <f aca="false">VLOOKUP(D477,Rates!$A$4:$B$7,2,FALSE())</f>
        <v>0.115</v>
      </c>
      <c r="I477" s="0" t="n">
        <f aca="false">VLOOKUP(F477,Rates!$D$4:$E$8,2)</f>
        <v>0.85</v>
      </c>
      <c r="J477" s="0" t="n">
        <f aca="false">ROUND(E477*I477,2)</f>
        <v>17738.86</v>
      </c>
      <c r="K477" s="1" t="n">
        <f aca="false">PV(H477/12,F477/30,0,-E477)</f>
        <v>18624.1695786712</v>
      </c>
      <c r="L477" s="0" t="n">
        <f aca="false">ROUND(E477-K477,2)</f>
        <v>2245.08</v>
      </c>
      <c r="M477" s="0" t="n">
        <f aca="false">F477/E477</f>
        <v>0.0171544257699726</v>
      </c>
    </row>
    <row r="478" customFormat="false" ht="12.8" hidden="false" customHeight="false" outlineLevel="0" collapsed="false">
      <c r="A478" s="0" t="s">
        <v>758</v>
      </c>
      <c r="B478" s="0" t="s">
        <v>759</v>
      </c>
      <c r="C478" s="0" t="s">
        <v>15</v>
      </c>
      <c r="D478" s="0" t="s">
        <v>16</v>
      </c>
      <c r="E478" s="0" t="n">
        <v>18145.55</v>
      </c>
      <c r="F478" s="0" t="n">
        <v>42</v>
      </c>
      <c r="G478" s="0" t="str">
        <f aca="false">IF(F478&lt;=30,"Current",IF(F478&lt;=60,"31 to 60 days",IF(F478&lt;=90,"61 to 90 days",IF(F478&lt;=120,"91 to 120 days","Over 120 days"))))</f>
        <v>31 to 60 days</v>
      </c>
      <c r="H478" s="0" t="n">
        <f aca="false">VLOOKUP(D478,Rates!$A$4:$B$7,2,FALSE())</f>
        <v>0.085</v>
      </c>
      <c r="I478" s="0" t="n">
        <f aca="false">VLOOKUP(F478,Rates!$D$4:$E$8,2)</f>
        <v>0.1</v>
      </c>
      <c r="J478" s="0" t="n">
        <f aca="false">ROUND(E478*I478,2)</f>
        <v>1814.56</v>
      </c>
      <c r="K478" s="1" t="n">
        <f aca="false">PV(H478/12,F478/30,0,-E478)</f>
        <v>17967.1239641275</v>
      </c>
      <c r="L478" s="0" t="n">
        <f aca="false">ROUND(E478-K478,2)</f>
        <v>178.43</v>
      </c>
      <c r="M478" s="0" t="n">
        <f aca="false">F478/E478</f>
        <v>0.00231461708242517</v>
      </c>
    </row>
    <row r="479" customFormat="false" ht="12.8" hidden="false" customHeight="false" outlineLevel="0" collapsed="false">
      <c r="A479" s="0" t="s">
        <v>760</v>
      </c>
      <c r="B479" s="0" t="s">
        <v>761</v>
      </c>
      <c r="C479" s="0" t="s">
        <v>15</v>
      </c>
      <c r="D479" s="0" t="s">
        <v>16</v>
      </c>
      <c r="E479" s="0" t="n">
        <v>27549.81</v>
      </c>
      <c r="F479" s="0" t="n">
        <v>346</v>
      </c>
      <c r="G479" s="0" t="str">
        <f aca="false">IF(F479&lt;=30,"Current",IF(F479&lt;=60,"31 to 60 days",IF(F479&lt;=90,"61 to 90 days",IF(F479&lt;=120,"91 to 120 days","Over 120 days"))))</f>
        <v>Over 120 days</v>
      </c>
      <c r="H479" s="0" t="n">
        <f aca="false">VLOOKUP(D479,Rates!$A$4:$B$7,2,FALSE())</f>
        <v>0.085</v>
      </c>
      <c r="I479" s="0" t="n">
        <f aca="false">VLOOKUP(F479,Rates!$D$4:$E$8,2)</f>
        <v>0.85</v>
      </c>
      <c r="J479" s="0" t="n">
        <f aca="false">ROUND(E479*I479,2)</f>
        <v>23417.34</v>
      </c>
      <c r="K479" s="1" t="n">
        <f aca="false">PV(H479/12,F479/30,0,-E479)</f>
        <v>25395.9362225297</v>
      </c>
      <c r="L479" s="0" t="n">
        <f aca="false">ROUND(E479-K479,2)</f>
        <v>2153.87</v>
      </c>
      <c r="M479" s="0" t="n">
        <f aca="false">F479/E479</f>
        <v>0.0125590702803395</v>
      </c>
    </row>
    <row r="480" customFormat="false" ht="12.8" hidden="false" customHeight="false" outlineLevel="0" collapsed="false">
      <c r="A480" s="0" t="s">
        <v>762</v>
      </c>
      <c r="B480" s="0" t="s">
        <v>51</v>
      </c>
      <c r="C480" s="0" t="s">
        <v>36</v>
      </c>
      <c r="D480" s="0" t="s">
        <v>20</v>
      </c>
      <c r="E480" s="0" t="n">
        <v>26536.89</v>
      </c>
      <c r="F480" s="0" t="n">
        <v>52</v>
      </c>
      <c r="G480" s="0" t="str">
        <f aca="false">IF(F480&lt;=30,"Current",IF(F480&lt;=60,"31 to 60 days",IF(F480&lt;=90,"61 to 90 days",IF(F480&lt;=120,"91 to 120 days","Over 120 days"))))</f>
        <v>31 to 60 days</v>
      </c>
      <c r="H480" s="0" t="n">
        <f aca="false">VLOOKUP(D480,Rates!$A$4:$B$7,2,FALSE())</f>
        <v>0.05</v>
      </c>
      <c r="I480" s="0" t="n">
        <f aca="false">VLOOKUP(F480,Rates!$D$4:$E$8,2)</f>
        <v>0.1</v>
      </c>
      <c r="J480" s="0" t="n">
        <f aca="false">ROUND(E480*I480,2)</f>
        <v>2653.69</v>
      </c>
      <c r="K480" s="1" t="n">
        <f aca="false">PV(H480/12,F480/30,0,-E480)</f>
        <v>26346.3204226973</v>
      </c>
      <c r="L480" s="0" t="n">
        <f aca="false">ROUND(E480-K480,2)</f>
        <v>190.57</v>
      </c>
      <c r="M480" s="0" t="n">
        <f aca="false">F480/E480</f>
        <v>0.00195953632848461</v>
      </c>
    </row>
    <row r="481" customFormat="false" ht="12.8" hidden="false" customHeight="false" outlineLevel="0" collapsed="false">
      <c r="A481" s="0" t="s">
        <v>763</v>
      </c>
      <c r="B481" s="0" t="s">
        <v>764</v>
      </c>
      <c r="C481" s="0" t="s">
        <v>42</v>
      </c>
      <c r="D481" s="0" t="s">
        <v>16</v>
      </c>
      <c r="E481" s="0" t="n">
        <v>16341.46</v>
      </c>
      <c r="F481" s="0" t="n">
        <v>264</v>
      </c>
      <c r="G481" s="0" t="str">
        <f aca="false">IF(F481&lt;=30,"Current",IF(F481&lt;=60,"31 to 60 days",IF(F481&lt;=90,"61 to 90 days",IF(F481&lt;=120,"91 to 120 days","Over 120 days"))))</f>
        <v>Over 120 days</v>
      </c>
      <c r="H481" s="0" t="n">
        <f aca="false">VLOOKUP(D481,Rates!$A$4:$B$7,2,FALSE())</f>
        <v>0.085</v>
      </c>
      <c r="I481" s="0" t="n">
        <f aca="false">VLOOKUP(F481,Rates!$D$4:$E$8,2)</f>
        <v>0.85</v>
      </c>
      <c r="J481" s="0" t="n">
        <f aca="false">ROUND(E481*I481,2)</f>
        <v>13890.24</v>
      </c>
      <c r="K481" s="1" t="n">
        <f aca="false">PV(H481/12,F481/30,0,-E481)</f>
        <v>15357.3138104228</v>
      </c>
      <c r="L481" s="0" t="n">
        <f aca="false">ROUND(E481-K481,2)</f>
        <v>984.15</v>
      </c>
      <c r="M481" s="0" t="n">
        <f aca="false">F481/E481</f>
        <v>0.0161552272563161</v>
      </c>
    </row>
    <row r="482" customFormat="false" ht="12.8" hidden="false" customHeight="false" outlineLevel="0" collapsed="false">
      <c r="A482" s="0" t="s">
        <v>765</v>
      </c>
      <c r="B482" s="0" t="s">
        <v>18</v>
      </c>
      <c r="C482" s="0" t="s">
        <v>19</v>
      </c>
      <c r="D482" s="0" t="s">
        <v>20</v>
      </c>
      <c r="E482" s="0" t="n">
        <v>10797.42</v>
      </c>
      <c r="F482" s="0" t="n">
        <v>1</v>
      </c>
      <c r="G482" s="0" t="str">
        <f aca="false">IF(F482&lt;=30,"Current",IF(F482&lt;=60,"31 to 60 days",IF(F482&lt;=90,"61 to 90 days",IF(F482&lt;=120,"91 to 120 days","Over 120 days"))))</f>
        <v>Current</v>
      </c>
      <c r="H482" s="0" t="n">
        <f aca="false">VLOOKUP(D482,Rates!$A$4:$B$7,2,FALSE())</f>
        <v>0.05</v>
      </c>
      <c r="I482" s="0" t="n">
        <f aca="false">VLOOKUP(F482,Rates!$D$4:$E$8,2)</f>
        <v>0.02</v>
      </c>
      <c r="J482" s="0" t="n">
        <f aca="false">ROUND(E482*I482,2)</f>
        <v>215.95</v>
      </c>
      <c r="K482" s="1" t="n">
        <f aca="false">PV(H482/12,F482/30,0,-E482)</f>
        <v>10795.9235776401</v>
      </c>
      <c r="L482" s="0" t="n">
        <f aca="false">ROUND(E482-K482,2)</f>
        <v>1.5</v>
      </c>
      <c r="M482" s="0" t="n">
        <f aca="false">F482/E482</f>
        <v>9.26147172194839E-005</v>
      </c>
    </row>
    <row r="483" customFormat="false" ht="12.8" hidden="false" customHeight="false" outlineLevel="0" collapsed="false">
      <c r="A483" s="0" t="s">
        <v>766</v>
      </c>
      <c r="B483" s="0" t="s">
        <v>767</v>
      </c>
      <c r="C483" s="0" t="s">
        <v>42</v>
      </c>
      <c r="D483" s="0" t="s">
        <v>16</v>
      </c>
      <c r="E483" s="0" t="n">
        <v>29611.88</v>
      </c>
      <c r="F483" s="0" t="n">
        <v>252</v>
      </c>
      <c r="G483" s="0" t="str">
        <f aca="false">IF(F483&lt;=30,"Current",IF(F483&lt;=60,"31 to 60 days",IF(F483&lt;=90,"61 to 90 days",IF(F483&lt;=120,"91 to 120 days","Over 120 days"))))</f>
        <v>Over 120 days</v>
      </c>
      <c r="H483" s="0" t="n">
        <f aca="false">VLOOKUP(D483,Rates!$A$4:$B$7,2,FALSE())</f>
        <v>0.085</v>
      </c>
      <c r="I483" s="0" t="n">
        <f aca="false">VLOOKUP(F483,Rates!$D$4:$E$8,2)</f>
        <v>0.85</v>
      </c>
      <c r="J483" s="0" t="n">
        <f aca="false">ROUND(E483*I483,2)</f>
        <v>25170.1</v>
      </c>
      <c r="K483" s="1" t="n">
        <f aca="false">PV(H483/12,F483/30,0,-E483)</f>
        <v>27907.2181794364</v>
      </c>
      <c r="L483" s="0" t="n">
        <f aca="false">ROUND(E483-K483,2)</f>
        <v>1704.66</v>
      </c>
      <c r="M483" s="0" t="n">
        <f aca="false">F483/E483</f>
        <v>0.00851009797419144</v>
      </c>
    </row>
    <row r="484" customFormat="false" ht="12.8" hidden="false" customHeight="false" outlineLevel="0" collapsed="false">
      <c r="A484" s="0" t="s">
        <v>768</v>
      </c>
      <c r="B484" s="0" t="s">
        <v>769</v>
      </c>
      <c r="C484" s="0" t="s">
        <v>42</v>
      </c>
      <c r="D484" s="0" t="s">
        <v>49</v>
      </c>
      <c r="E484" s="0" t="n">
        <v>22078.66</v>
      </c>
      <c r="F484" s="0" t="n">
        <v>190</v>
      </c>
      <c r="G484" s="0" t="str">
        <f aca="false">IF(F484&lt;=30,"Current",IF(F484&lt;=60,"31 to 60 days",IF(F484&lt;=90,"61 to 90 days",IF(F484&lt;=120,"91 to 120 days","Over 120 days"))))</f>
        <v>Over 120 days</v>
      </c>
      <c r="H484" s="0" t="n">
        <f aca="false">VLOOKUP(D484,Rates!$A$4:$B$7,2,FALSE())</f>
        <v>0.02</v>
      </c>
      <c r="I484" s="0" t="n">
        <f aca="false">VLOOKUP(F484,Rates!$D$4:$E$8,2)</f>
        <v>0.85</v>
      </c>
      <c r="J484" s="0" t="n">
        <f aca="false">ROUND(E484*I484,2)</f>
        <v>18766.86</v>
      </c>
      <c r="K484" s="1" t="n">
        <f aca="false">PV(H484/12,F484/30,0,-E484)</f>
        <v>21847.0251196252</v>
      </c>
      <c r="L484" s="0" t="n">
        <f aca="false">ROUND(E484-K484,2)</f>
        <v>231.63</v>
      </c>
      <c r="M484" s="0" t="n">
        <f aca="false">F484/E484</f>
        <v>0.00860559472359283</v>
      </c>
    </row>
    <row r="485" customFormat="false" ht="12.8" hidden="false" customHeight="false" outlineLevel="0" collapsed="false">
      <c r="A485" s="0" t="s">
        <v>770</v>
      </c>
      <c r="B485" s="0" t="s">
        <v>771</v>
      </c>
      <c r="C485" s="0" t="s">
        <v>36</v>
      </c>
      <c r="D485" s="0" t="s">
        <v>49</v>
      </c>
      <c r="E485" s="0" t="n">
        <v>25795.92</v>
      </c>
      <c r="F485" s="0" t="n">
        <v>330</v>
      </c>
      <c r="G485" s="0" t="str">
        <f aca="false">IF(F485&lt;=30,"Current",IF(F485&lt;=60,"31 to 60 days",IF(F485&lt;=90,"61 to 90 days",IF(F485&lt;=120,"91 to 120 days","Over 120 days"))))</f>
        <v>Over 120 days</v>
      </c>
      <c r="H485" s="0" t="n">
        <f aca="false">VLOOKUP(D485,Rates!$A$4:$B$7,2,FALSE())</f>
        <v>0.02</v>
      </c>
      <c r="I485" s="0" t="n">
        <f aca="false">VLOOKUP(F485,Rates!$D$4:$E$8,2)</f>
        <v>0.85</v>
      </c>
      <c r="J485" s="0" t="n">
        <f aca="false">ROUND(E485*I485,2)</f>
        <v>21926.53</v>
      </c>
      <c r="K485" s="1" t="n">
        <f aca="false">PV(H485/12,F485/30,0,-E485)</f>
        <v>25327.6900945409</v>
      </c>
      <c r="L485" s="0" t="n">
        <f aca="false">ROUND(E485-K485,2)</f>
        <v>468.23</v>
      </c>
      <c r="M485" s="0" t="n">
        <f aca="false">F485/E485</f>
        <v>0.0127927207093215</v>
      </c>
    </row>
    <row r="486" customFormat="false" ht="12.8" hidden="false" customHeight="false" outlineLevel="0" collapsed="false">
      <c r="A486" s="0" t="s">
        <v>772</v>
      </c>
      <c r="B486" s="0" t="s">
        <v>18</v>
      </c>
      <c r="C486" s="0" t="s">
        <v>19</v>
      </c>
      <c r="D486" s="0" t="s">
        <v>20</v>
      </c>
      <c r="E486" s="0" t="n">
        <v>23815.47</v>
      </c>
      <c r="F486" s="0" t="n">
        <v>9</v>
      </c>
      <c r="G486" s="0" t="str">
        <f aca="false">IF(F486&lt;=30,"Current",IF(F486&lt;=60,"31 to 60 days",IF(F486&lt;=90,"61 to 90 days",IF(F486&lt;=120,"91 to 120 days","Over 120 days"))))</f>
        <v>Current</v>
      </c>
      <c r="H486" s="0" t="n">
        <f aca="false">VLOOKUP(D486,Rates!$A$4:$B$7,2,FALSE())</f>
        <v>0.05</v>
      </c>
      <c r="I486" s="0" t="n">
        <f aca="false">VLOOKUP(F486,Rates!$D$4:$E$8,2)</f>
        <v>0.02</v>
      </c>
      <c r="J486" s="0" t="n">
        <f aca="false">ROUND(E486*I486,2)</f>
        <v>476.31</v>
      </c>
      <c r="K486" s="1" t="n">
        <f aca="false">PV(H486/12,F486/30,0,-E486)</f>
        <v>23785.7810311182</v>
      </c>
      <c r="L486" s="0" t="n">
        <f aca="false">ROUND(E486-K486,2)</f>
        <v>29.69</v>
      </c>
      <c r="M486" s="0" t="n">
        <f aca="false">F486/E486</f>
        <v>0.000377905621849999</v>
      </c>
    </row>
    <row r="487" customFormat="false" ht="12.8" hidden="false" customHeight="false" outlineLevel="0" collapsed="false">
      <c r="A487" s="0" t="s">
        <v>773</v>
      </c>
      <c r="B487" s="0" t="s">
        <v>303</v>
      </c>
      <c r="C487" s="0" t="s">
        <v>31</v>
      </c>
      <c r="D487" s="0" t="s">
        <v>23</v>
      </c>
      <c r="E487" s="0" t="n">
        <v>12907.88</v>
      </c>
      <c r="F487" s="0" t="n">
        <v>252</v>
      </c>
      <c r="G487" s="0" t="str">
        <f aca="false">IF(F487&lt;=30,"Current",IF(F487&lt;=60,"31 to 60 days",IF(F487&lt;=90,"61 to 90 days",IF(F487&lt;=120,"91 to 120 days","Over 120 days"))))</f>
        <v>Over 120 days</v>
      </c>
      <c r="H487" s="0" t="n">
        <f aca="false">VLOOKUP(D487,Rates!$A$4:$B$7,2,FALSE())</f>
        <v>0.115</v>
      </c>
      <c r="I487" s="0" t="n">
        <f aca="false">VLOOKUP(F487,Rates!$D$4:$E$8,2)</f>
        <v>0.85</v>
      </c>
      <c r="J487" s="0" t="n">
        <f aca="false">ROUND(E487*I487,2)</f>
        <v>10971.7</v>
      </c>
      <c r="K487" s="1" t="n">
        <f aca="false">PV(H487/12,F487/30,0,-E487)</f>
        <v>11914.0843602783</v>
      </c>
      <c r="L487" s="0" t="n">
        <f aca="false">ROUND(E487-K487,2)</f>
        <v>993.8</v>
      </c>
      <c r="M487" s="0" t="n">
        <f aca="false">F487/E487</f>
        <v>0.0195229580690245</v>
      </c>
    </row>
    <row r="488" customFormat="false" ht="12.8" hidden="false" customHeight="false" outlineLevel="0" collapsed="false">
      <c r="A488" s="0" t="s">
        <v>774</v>
      </c>
      <c r="B488" s="0" t="s">
        <v>775</v>
      </c>
      <c r="C488" s="0" t="s">
        <v>26</v>
      </c>
      <c r="D488" s="0" t="s">
        <v>16</v>
      </c>
      <c r="E488" s="0" t="n">
        <v>40912.19</v>
      </c>
      <c r="F488" s="0" t="n">
        <v>24</v>
      </c>
      <c r="G488" s="0" t="str">
        <f aca="false">IF(F488&lt;=30,"Current",IF(F488&lt;=60,"31 to 60 days",IF(F488&lt;=90,"61 to 90 days",IF(F488&lt;=120,"91 to 120 days","Over 120 days"))))</f>
        <v>Current</v>
      </c>
      <c r="H488" s="0" t="n">
        <f aca="false">VLOOKUP(D488,Rates!$A$4:$B$7,2,FALSE())</f>
        <v>0.085</v>
      </c>
      <c r="I488" s="0" t="n">
        <f aca="false">VLOOKUP(F488,Rates!$D$4:$E$8,2)</f>
        <v>0.02</v>
      </c>
      <c r="J488" s="0" t="n">
        <f aca="false">ROUND(E488*I488,2)</f>
        <v>818.24</v>
      </c>
      <c r="K488" s="1" t="n">
        <f aca="false">PV(H488/12,F488/30,0,-E488)</f>
        <v>40681.8225039259</v>
      </c>
      <c r="L488" s="0" t="n">
        <f aca="false">ROUND(E488-K488,2)</f>
        <v>230.37</v>
      </c>
      <c r="M488" s="0" t="n">
        <f aca="false">F488/E488</f>
        <v>0.000586622226773976</v>
      </c>
    </row>
    <row r="489" customFormat="false" ht="12.8" hidden="false" customHeight="false" outlineLevel="0" collapsed="false">
      <c r="A489" s="0" t="s">
        <v>776</v>
      </c>
      <c r="B489" s="0" t="s">
        <v>216</v>
      </c>
      <c r="C489" s="0" t="s">
        <v>15</v>
      </c>
      <c r="D489" s="0" t="s">
        <v>23</v>
      </c>
      <c r="E489" s="0" t="n">
        <v>21057.44</v>
      </c>
      <c r="F489" s="0" t="n">
        <v>273</v>
      </c>
      <c r="G489" s="0" t="str">
        <f aca="false">IF(F489&lt;=30,"Current",IF(F489&lt;=60,"31 to 60 days",IF(F489&lt;=90,"61 to 90 days",IF(F489&lt;=120,"91 to 120 days","Over 120 days"))))</f>
        <v>Over 120 days</v>
      </c>
      <c r="H489" s="0" t="n">
        <f aca="false">VLOOKUP(D489,Rates!$A$4:$B$7,2,FALSE())</f>
        <v>0.115</v>
      </c>
      <c r="I489" s="0" t="n">
        <f aca="false">VLOOKUP(F489,Rates!$D$4:$E$8,2)</f>
        <v>0.85</v>
      </c>
      <c r="J489" s="0" t="n">
        <f aca="false">ROUND(E489*I489,2)</f>
        <v>17898.82</v>
      </c>
      <c r="K489" s="1" t="n">
        <f aca="false">PV(H489/12,F489/30,0,-E489)</f>
        <v>19306.866910282</v>
      </c>
      <c r="L489" s="0" t="n">
        <f aca="false">ROUND(E489-K489,2)</f>
        <v>1750.57</v>
      </c>
      <c r="M489" s="0" t="n">
        <f aca="false">F489/E489</f>
        <v>0.0129645388993154</v>
      </c>
    </row>
    <row r="490" customFormat="false" ht="12.8" hidden="false" customHeight="false" outlineLevel="0" collapsed="false">
      <c r="A490" s="0" t="s">
        <v>777</v>
      </c>
      <c r="B490" s="0" t="s">
        <v>413</v>
      </c>
      <c r="C490" s="0" t="s">
        <v>36</v>
      </c>
      <c r="D490" s="0" t="s">
        <v>23</v>
      </c>
      <c r="E490" s="0" t="n">
        <v>44006.8</v>
      </c>
      <c r="F490" s="0" t="n">
        <v>197</v>
      </c>
      <c r="G490" s="0" t="str">
        <f aca="false">IF(F490&lt;=30,"Current",IF(F490&lt;=60,"31 to 60 days",IF(F490&lt;=90,"61 to 90 days",IF(F490&lt;=120,"91 to 120 days","Over 120 days"))))</f>
        <v>Over 120 days</v>
      </c>
      <c r="H490" s="0" t="n">
        <f aca="false">VLOOKUP(D490,Rates!$A$4:$B$7,2,FALSE())</f>
        <v>0.115</v>
      </c>
      <c r="I490" s="0" t="n">
        <f aca="false">VLOOKUP(F490,Rates!$D$4:$E$8,2)</f>
        <v>0.85</v>
      </c>
      <c r="J490" s="0" t="n">
        <f aca="false">ROUND(E490*I490,2)</f>
        <v>37405.78</v>
      </c>
      <c r="K490" s="1" t="n">
        <f aca="false">PV(H490/12,F490/30,0,-E490)</f>
        <v>41335.1505687452</v>
      </c>
      <c r="L490" s="0" t="n">
        <f aca="false">ROUND(E490-K490,2)</f>
        <v>2671.65</v>
      </c>
      <c r="M490" s="0" t="n">
        <f aca="false">F490/E490</f>
        <v>0.00447658089204396</v>
      </c>
    </row>
    <row r="491" customFormat="false" ht="12.8" hidden="false" customHeight="false" outlineLevel="0" collapsed="false">
      <c r="A491" s="0" t="s">
        <v>778</v>
      </c>
      <c r="B491" s="0" t="s">
        <v>779</v>
      </c>
      <c r="C491" s="0" t="s">
        <v>26</v>
      </c>
      <c r="D491" s="0" t="s">
        <v>49</v>
      </c>
      <c r="E491" s="0" t="n">
        <v>37749.49</v>
      </c>
      <c r="F491" s="0" t="n">
        <v>235</v>
      </c>
      <c r="G491" s="0" t="str">
        <f aca="false">IF(F491&lt;=30,"Current",IF(F491&lt;=60,"31 to 60 days",IF(F491&lt;=90,"61 to 90 days",IF(F491&lt;=120,"91 to 120 days","Over 120 days"))))</f>
        <v>Over 120 days</v>
      </c>
      <c r="H491" s="0" t="n">
        <f aca="false">VLOOKUP(D491,Rates!$A$4:$B$7,2,FALSE())</f>
        <v>0.02</v>
      </c>
      <c r="I491" s="0" t="n">
        <f aca="false">VLOOKUP(F491,Rates!$D$4:$E$8,2)</f>
        <v>0.85</v>
      </c>
      <c r="J491" s="0" t="n">
        <f aca="false">ROUND(E491*I491,2)</f>
        <v>32087.07</v>
      </c>
      <c r="K491" s="1" t="n">
        <f aca="false">PV(H491/12,F491/30,0,-E491)</f>
        <v>37260.2575605375</v>
      </c>
      <c r="L491" s="0" t="n">
        <f aca="false">ROUND(E491-K491,2)</f>
        <v>489.23</v>
      </c>
      <c r="M491" s="0" t="n">
        <f aca="false">F491/E491</f>
        <v>0.00622524966562462</v>
      </c>
    </row>
    <row r="492" customFormat="false" ht="12.8" hidden="false" customHeight="false" outlineLevel="0" collapsed="false">
      <c r="A492" s="0" t="s">
        <v>780</v>
      </c>
      <c r="B492" s="0" t="s">
        <v>781</v>
      </c>
      <c r="C492" s="0" t="s">
        <v>26</v>
      </c>
      <c r="D492" s="0" t="s">
        <v>16</v>
      </c>
      <c r="E492" s="0" t="n">
        <v>38422.61</v>
      </c>
      <c r="F492" s="0" t="n">
        <v>106</v>
      </c>
      <c r="G492" s="0" t="str">
        <f aca="false">IF(F492&lt;=30,"Current",IF(F492&lt;=60,"31 to 60 days",IF(F492&lt;=90,"61 to 90 days",IF(F492&lt;=120,"91 to 120 days","Over 120 days"))))</f>
        <v>91 to 120 days</v>
      </c>
      <c r="H492" s="0" t="n">
        <f aca="false">VLOOKUP(D492,Rates!$A$4:$B$7,2,FALSE())</f>
        <v>0.085</v>
      </c>
      <c r="I492" s="0" t="n">
        <f aca="false">VLOOKUP(F492,Rates!$D$4:$E$8,2)</f>
        <v>0.5</v>
      </c>
      <c r="J492" s="0" t="n">
        <f aca="false">ROUND(E492*I492,2)</f>
        <v>19211.31</v>
      </c>
      <c r="K492" s="1" t="n">
        <f aca="false">PV(H492/12,F492/30,0,-E492)</f>
        <v>37476.2175943012</v>
      </c>
      <c r="L492" s="0" t="n">
        <f aca="false">ROUND(E492-K492,2)</f>
        <v>946.39</v>
      </c>
      <c r="M492" s="0" t="n">
        <f aca="false">F492/E492</f>
        <v>0.00275879228402235</v>
      </c>
    </row>
    <row r="493" customFormat="false" ht="12.8" hidden="false" customHeight="false" outlineLevel="0" collapsed="false">
      <c r="A493" s="0" t="s">
        <v>782</v>
      </c>
      <c r="B493" s="0" t="s">
        <v>783</v>
      </c>
      <c r="C493" s="0" t="s">
        <v>15</v>
      </c>
      <c r="D493" s="0" t="s">
        <v>49</v>
      </c>
      <c r="E493" s="0" t="n">
        <v>29278.59</v>
      </c>
      <c r="F493" s="0" t="n">
        <v>327</v>
      </c>
      <c r="G493" s="0" t="str">
        <f aca="false">IF(F493&lt;=30,"Current",IF(F493&lt;=60,"31 to 60 days",IF(F493&lt;=90,"61 to 90 days",IF(F493&lt;=120,"91 to 120 days","Over 120 days"))))</f>
        <v>Over 120 days</v>
      </c>
      <c r="H493" s="0" t="n">
        <f aca="false">VLOOKUP(D493,Rates!$A$4:$B$7,2,FALSE())</f>
        <v>0.02</v>
      </c>
      <c r="I493" s="0" t="n">
        <f aca="false">VLOOKUP(F493,Rates!$D$4:$E$8,2)</f>
        <v>0.85</v>
      </c>
      <c r="J493" s="0" t="n">
        <f aca="false">ROUND(E493*I493,2)</f>
        <v>24886.8</v>
      </c>
      <c r="K493" s="1" t="n">
        <f aca="false">PV(H493/12,F493/30,0,-E493)</f>
        <v>28751.9326507302</v>
      </c>
      <c r="L493" s="0" t="n">
        <f aca="false">ROUND(E493-K493,2)</f>
        <v>526.66</v>
      </c>
      <c r="M493" s="0" t="n">
        <f aca="false">F493/E493</f>
        <v>0.0111685706176424</v>
      </c>
    </row>
    <row r="494" customFormat="false" ht="12.8" hidden="false" customHeight="false" outlineLevel="0" collapsed="false">
      <c r="A494" s="0" t="s">
        <v>784</v>
      </c>
      <c r="B494" s="0" t="s">
        <v>33</v>
      </c>
      <c r="C494" s="0" t="s">
        <v>26</v>
      </c>
      <c r="D494" s="0" t="s">
        <v>20</v>
      </c>
      <c r="E494" s="0" t="n">
        <v>27457.06</v>
      </c>
      <c r="F494" s="0" t="n">
        <v>16</v>
      </c>
      <c r="G494" s="0" t="str">
        <f aca="false">IF(F494&lt;=30,"Current",IF(F494&lt;=60,"31 to 60 days",IF(F494&lt;=90,"61 to 90 days",IF(F494&lt;=120,"91 to 120 days","Over 120 days"))))</f>
        <v>Current</v>
      </c>
      <c r="H494" s="0" t="n">
        <f aca="false">VLOOKUP(D494,Rates!$A$4:$B$7,2,FALSE())</f>
        <v>0.05</v>
      </c>
      <c r="I494" s="0" t="n">
        <f aca="false">VLOOKUP(F494,Rates!$D$4:$E$8,2)</f>
        <v>0.02</v>
      </c>
      <c r="J494" s="0" t="n">
        <f aca="false">ROUND(E494*I494,2)</f>
        <v>549.14</v>
      </c>
      <c r="K494" s="1" t="n">
        <f aca="false">PV(H494/12,F494/30,0,-E494)</f>
        <v>27396.2385390554</v>
      </c>
      <c r="L494" s="0" t="n">
        <f aca="false">ROUND(E494-K494,2)</f>
        <v>60.82</v>
      </c>
      <c r="M494" s="0" t="n">
        <f aca="false">F494/E494</f>
        <v>0.000582728085235637</v>
      </c>
    </row>
    <row r="495" customFormat="false" ht="12.8" hidden="false" customHeight="false" outlineLevel="0" collapsed="false">
      <c r="A495" s="0" t="s">
        <v>785</v>
      </c>
      <c r="B495" s="0" t="s">
        <v>786</v>
      </c>
      <c r="C495" s="0" t="s">
        <v>19</v>
      </c>
      <c r="D495" s="0" t="s">
        <v>16</v>
      </c>
      <c r="E495" s="0" t="n">
        <v>42730.04</v>
      </c>
      <c r="F495" s="0" t="n">
        <v>117</v>
      </c>
      <c r="G495" s="0" t="str">
        <f aca="false">IF(F495&lt;=30,"Current",IF(F495&lt;=60,"31 to 60 days",IF(F495&lt;=90,"61 to 90 days",IF(F495&lt;=120,"91 to 120 days","Over 120 days"))))</f>
        <v>91 to 120 days</v>
      </c>
      <c r="H495" s="0" t="n">
        <f aca="false">VLOOKUP(D495,Rates!$A$4:$B$7,2,FALSE())</f>
        <v>0.085</v>
      </c>
      <c r="I495" s="0" t="n">
        <f aca="false">VLOOKUP(F495,Rates!$D$4:$E$8,2)</f>
        <v>0.5</v>
      </c>
      <c r="J495" s="0" t="n">
        <f aca="false">ROUND(E495*I495,2)</f>
        <v>21365.02</v>
      </c>
      <c r="K495" s="1" t="n">
        <f aca="false">PV(H495/12,F495/30,0,-E495)</f>
        <v>41569.8258831048</v>
      </c>
      <c r="L495" s="0" t="n">
        <f aca="false">ROUND(E495-K495,2)</f>
        <v>1160.21</v>
      </c>
      <c r="M495" s="0" t="n">
        <f aca="false">F495/E495</f>
        <v>0.00273812053534235</v>
      </c>
    </row>
    <row r="496" customFormat="false" ht="12.8" hidden="false" customHeight="false" outlineLevel="0" collapsed="false">
      <c r="A496" s="0" t="s">
        <v>787</v>
      </c>
      <c r="B496" s="0" t="s">
        <v>490</v>
      </c>
      <c r="C496" s="0" t="s">
        <v>42</v>
      </c>
      <c r="D496" s="0" t="s">
        <v>23</v>
      </c>
      <c r="E496" s="0" t="n">
        <v>41307.88</v>
      </c>
      <c r="F496" s="0" t="n">
        <v>316</v>
      </c>
      <c r="G496" s="0" t="str">
        <f aca="false">IF(F496&lt;=30,"Current",IF(F496&lt;=60,"31 to 60 days",IF(F496&lt;=90,"61 to 90 days",IF(F496&lt;=120,"91 to 120 days","Over 120 days"))))</f>
        <v>Over 120 days</v>
      </c>
      <c r="H496" s="0" t="n">
        <f aca="false">VLOOKUP(D496,Rates!$A$4:$B$7,2,FALSE())</f>
        <v>0.115</v>
      </c>
      <c r="I496" s="0" t="n">
        <f aca="false">VLOOKUP(F496,Rates!$D$4:$E$8,2)</f>
        <v>0.85</v>
      </c>
      <c r="J496" s="0" t="n">
        <f aca="false">ROUND(E496*I496,2)</f>
        <v>35111.7</v>
      </c>
      <c r="K496" s="1" t="n">
        <f aca="false">PV(H496/12,F496/30,0,-E496)</f>
        <v>37359.5833228882</v>
      </c>
      <c r="L496" s="0" t="n">
        <f aca="false">ROUND(E496-K496,2)</f>
        <v>3948.3</v>
      </c>
      <c r="M496" s="0" t="n">
        <f aca="false">F496/E496</f>
        <v>0.00764987213093483</v>
      </c>
    </row>
    <row r="497" customFormat="false" ht="12.8" hidden="false" customHeight="false" outlineLevel="0" collapsed="false">
      <c r="A497" s="0" t="s">
        <v>788</v>
      </c>
      <c r="B497" s="0" t="s">
        <v>30</v>
      </c>
      <c r="C497" s="0" t="s">
        <v>31</v>
      </c>
      <c r="D497" s="0" t="s">
        <v>20</v>
      </c>
      <c r="E497" s="0" t="n">
        <v>39160.74</v>
      </c>
      <c r="F497" s="0" t="n">
        <v>28</v>
      </c>
      <c r="G497" s="0" t="str">
        <f aca="false">IF(F497&lt;=30,"Current",IF(F497&lt;=60,"31 to 60 days",IF(F497&lt;=90,"61 to 90 days",IF(F497&lt;=120,"91 to 120 days","Over 120 days"))))</f>
        <v>Current</v>
      </c>
      <c r="H497" s="0" t="n">
        <f aca="false">VLOOKUP(D497,Rates!$A$4:$B$7,2,FALSE())</f>
        <v>0.05</v>
      </c>
      <c r="I497" s="0" t="n">
        <f aca="false">VLOOKUP(F497,Rates!$D$4:$E$8,2)</f>
        <v>0.02</v>
      </c>
      <c r="J497" s="0" t="n">
        <f aca="false">ROUND(E497*I497,2)</f>
        <v>783.21</v>
      </c>
      <c r="K497" s="1" t="n">
        <f aca="false">PV(H497/12,F497/30,0,-E497)</f>
        <v>39009.0591418976</v>
      </c>
      <c r="L497" s="0" t="n">
        <f aca="false">ROUND(E497-K497,2)</f>
        <v>151.68</v>
      </c>
      <c r="M497" s="0" t="n">
        <f aca="false">F497/E497</f>
        <v>0.000715001810486727</v>
      </c>
    </row>
    <row r="498" customFormat="false" ht="12.8" hidden="false" customHeight="false" outlineLevel="0" collapsed="false">
      <c r="A498" s="0" t="s">
        <v>789</v>
      </c>
      <c r="B498" s="0" t="s">
        <v>38</v>
      </c>
      <c r="C498" s="0" t="s">
        <v>15</v>
      </c>
      <c r="D498" s="0" t="s">
        <v>23</v>
      </c>
      <c r="E498" s="0" t="n">
        <v>13811.76</v>
      </c>
      <c r="F498" s="0" t="n">
        <v>398</v>
      </c>
      <c r="G498" s="0" t="str">
        <f aca="false">IF(F498&lt;=30,"Current",IF(F498&lt;=60,"31 to 60 days",IF(F498&lt;=90,"61 to 90 days",IF(F498&lt;=120,"91 to 120 days","Over 120 days"))))</f>
        <v>Over 120 days</v>
      </c>
      <c r="H498" s="0" t="n">
        <f aca="false">VLOOKUP(D498,Rates!$A$4:$B$7,2,FALSE())</f>
        <v>0.115</v>
      </c>
      <c r="I498" s="0" t="n">
        <f aca="false">VLOOKUP(F498,Rates!$D$4:$E$8,2)</f>
        <v>0.85</v>
      </c>
      <c r="J498" s="0" t="n">
        <f aca="false">ROUND(E498*I498,2)</f>
        <v>11740</v>
      </c>
      <c r="K498" s="1" t="n">
        <f aca="false">PV(H498/12,F498/30,0,-E498)</f>
        <v>12170.1576034322</v>
      </c>
      <c r="L498" s="0" t="n">
        <f aca="false">ROUND(E498-K498,2)</f>
        <v>1641.6</v>
      </c>
      <c r="M498" s="0" t="n">
        <f aca="false">F498/E498</f>
        <v>0.028816023446686</v>
      </c>
    </row>
    <row r="499" customFormat="false" ht="12.8" hidden="false" customHeight="false" outlineLevel="0" collapsed="false">
      <c r="A499" s="0" t="s">
        <v>790</v>
      </c>
      <c r="B499" s="0" t="s">
        <v>791</v>
      </c>
      <c r="C499" s="0" t="s">
        <v>36</v>
      </c>
      <c r="D499" s="0" t="s">
        <v>49</v>
      </c>
      <c r="E499" s="0" t="n">
        <v>19105.58</v>
      </c>
      <c r="F499" s="0" t="n">
        <v>64</v>
      </c>
      <c r="G499" s="0" t="str">
        <f aca="false">IF(F499&lt;=30,"Current",IF(F499&lt;=60,"31 to 60 days",IF(F499&lt;=90,"61 to 90 days",IF(F499&lt;=120,"91 to 120 days","Over 120 days"))))</f>
        <v>61 to 90 days</v>
      </c>
      <c r="H499" s="0" t="n">
        <f aca="false">VLOOKUP(D499,Rates!$A$4:$B$7,2,FALSE())</f>
        <v>0.02</v>
      </c>
      <c r="I499" s="0" t="n">
        <f aca="false">VLOOKUP(F499,Rates!$D$4:$E$8,2)</f>
        <v>0.25</v>
      </c>
      <c r="J499" s="0" t="n">
        <f aca="false">ROUND(E499*I499,2)</f>
        <v>4776.4</v>
      </c>
      <c r="K499" s="1" t="n">
        <f aca="false">PV(H499/12,F499/30,0,-E499)</f>
        <v>19037.8260177134</v>
      </c>
      <c r="L499" s="0" t="n">
        <f aca="false">ROUND(E499-K499,2)</f>
        <v>67.75</v>
      </c>
      <c r="M499" s="0" t="n">
        <f aca="false">F499/E499</f>
        <v>0.00334980670568494</v>
      </c>
    </row>
    <row r="500" customFormat="false" ht="12.8" hidden="false" customHeight="false" outlineLevel="0" collapsed="false">
      <c r="A500" s="0" t="s">
        <v>792</v>
      </c>
      <c r="B500" s="0" t="s">
        <v>51</v>
      </c>
      <c r="C500" s="0" t="s">
        <v>36</v>
      </c>
      <c r="D500" s="0" t="s">
        <v>20</v>
      </c>
      <c r="E500" s="0" t="n">
        <v>31518.02</v>
      </c>
      <c r="F500" s="0" t="n">
        <v>100</v>
      </c>
      <c r="G500" s="0" t="str">
        <f aca="false">IF(F500&lt;=30,"Current",IF(F500&lt;=60,"31 to 60 days",IF(F500&lt;=90,"61 to 90 days",IF(F500&lt;=120,"91 to 120 days","Over 120 days"))))</f>
        <v>91 to 120 days</v>
      </c>
      <c r="H500" s="0" t="n">
        <f aca="false">VLOOKUP(D500,Rates!$A$4:$B$7,2,FALSE())</f>
        <v>0.05</v>
      </c>
      <c r="I500" s="0" t="n">
        <f aca="false">VLOOKUP(F500,Rates!$D$4:$E$8,2)</f>
        <v>0.5</v>
      </c>
      <c r="J500" s="0" t="n">
        <f aca="false">ROUND(E500*I500,2)</f>
        <v>15759.01</v>
      </c>
      <c r="K500" s="1" t="n">
        <f aca="false">PV(H500/12,F500/30,0,-E500)</f>
        <v>31084.1925529781</v>
      </c>
      <c r="L500" s="0" t="n">
        <f aca="false">ROUND(E500-K500,2)</f>
        <v>433.83</v>
      </c>
      <c r="M500" s="0" t="n">
        <f aca="false">F500/E500</f>
        <v>0.00317278813834118</v>
      </c>
    </row>
    <row r="501" customFormat="false" ht="12.8" hidden="false" customHeight="false" outlineLevel="0" collapsed="false">
      <c r="A501" s="0" t="s">
        <v>793</v>
      </c>
      <c r="B501" s="0" t="s">
        <v>794</v>
      </c>
      <c r="C501" s="0" t="s">
        <v>26</v>
      </c>
      <c r="D501" s="0" t="s">
        <v>16</v>
      </c>
      <c r="E501" s="0" t="n">
        <v>43302.33</v>
      </c>
      <c r="F501" s="0" t="n">
        <v>105</v>
      </c>
      <c r="G501" s="0" t="str">
        <f aca="false">IF(F501&lt;=30,"Current",IF(F501&lt;=60,"31 to 60 days",IF(F501&lt;=90,"61 to 90 days",IF(F501&lt;=120,"91 to 120 days","Over 120 days"))))</f>
        <v>91 to 120 days</v>
      </c>
      <c r="H501" s="0" t="n">
        <f aca="false">VLOOKUP(D501,Rates!$A$4:$B$7,2,FALSE())</f>
        <v>0.085</v>
      </c>
      <c r="I501" s="0" t="n">
        <f aca="false">VLOOKUP(F501,Rates!$D$4:$E$8,2)</f>
        <v>0.5</v>
      </c>
      <c r="J501" s="0" t="n">
        <f aca="false">ROUND(E501*I501,2)</f>
        <v>21651.17</v>
      </c>
      <c r="K501" s="1" t="n">
        <f aca="false">PV(H501/12,F501/30,0,-E501)</f>
        <v>42245.682908339</v>
      </c>
      <c r="L501" s="0" t="n">
        <f aca="false">ROUND(E501-K501,2)</f>
        <v>1056.65</v>
      </c>
      <c r="M501" s="0" t="n">
        <f aca="false">F501/E501</f>
        <v>0.00242481178264541</v>
      </c>
    </row>
    <row r="502" customFormat="false" ht="12.8" hidden="false" customHeight="false" outlineLevel="0" collapsed="false">
      <c r="A502" s="0" t="s">
        <v>795</v>
      </c>
      <c r="B502" s="0" t="s">
        <v>796</v>
      </c>
      <c r="C502" s="0" t="s">
        <v>19</v>
      </c>
      <c r="D502" s="0" t="s">
        <v>49</v>
      </c>
      <c r="E502" s="0" t="n">
        <v>43661.09</v>
      </c>
      <c r="F502" s="0" t="n">
        <v>285</v>
      </c>
      <c r="G502" s="0" t="str">
        <f aca="false">IF(F502&lt;=30,"Current",IF(F502&lt;=60,"31 to 60 days",IF(F502&lt;=90,"61 to 90 days",IF(F502&lt;=120,"91 to 120 days","Over 120 days"))))</f>
        <v>Over 120 days</v>
      </c>
      <c r="H502" s="0" t="n">
        <f aca="false">VLOOKUP(D502,Rates!$A$4:$B$7,2,FALSE())</f>
        <v>0.02</v>
      </c>
      <c r="I502" s="0" t="n">
        <f aca="false">VLOOKUP(F502,Rates!$D$4:$E$8,2)</f>
        <v>0.85</v>
      </c>
      <c r="J502" s="0" t="n">
        <f aca="false">ROUND(E502*I502,2)</f>
        <v>37111.93</v>
      </c>
      <c r="K502" s="1" t="n">
        <f aca="false">PV(H502/12,F502/30,0,-E502)</f>
        <v>42975.7998432642</v>
      </c>
      <c r="L502" s="0" t="n">
        <f aca="false">ROUND(E502-K502,2)</f>
        <v>685.29</v>
      </c>
      <c r="M502" s="0" t="n">
        <f aca="false">F502/E502</f>
        <v>0.00652755119031614</v>
      </c>
    </row>
    <row r="503" customFormat="false" ht="12.8" hidden="false" customHeight="false" outlineLevel="0" collapsed="false">
      <c r="A503" s="0" t="s">
        <v>797</v>
      </c>
      <c r="B503" s="0" t="s">
        <v>53</v>
      </c>
      <c r="C503" s="0" t="s">
        <v>19</v>
      </c>
      <c r="D503" s="0" t="s">
        <v>23</v>
      </c>
      <c r="E503" s="0" t="n">
        <v>15978.13</v>
      </c>
      <c r="F503" s="0" t="n">
        <v>187</v>
      </c>
      <c r="G503" s="0" t="str">
        <f aca="false">IF(F503&lt;=30,"Current",IF(F503&lt;=60,"31 to 60 days",IF(F503&lt;=90,"61 to 90 days",IF(F503&lt;=120,"91 to 120 days","Over 120 days"))))</f>
        <v>Over 120 days</v>
      </c>
      <c r="H503" s="0" t="n">
        <f aca="false">VLOOKUP(D503,Rates!$A$4:$B$7,2,FALSE())</f>
        <v>0.115</v>
      </c>
      <c r="I503" s="0" t="n">
        <f aca="false">VLOOKUP(F503,Rates!$D$4:$E$8,2)</f>
        <v>0.85</v>
      </c>
      <c r="J503" s="0" t="n">
        <f aca="false">ROUND(E503*I503,2)</f>
        <v>13581.41</v>
      </c>
      <c r="K503" s="1" t="n">
        <f aca="false">PV(H503/12,F503/30,0,-E503)</f>
        <v>15055.8891597812</v>
      </c>
      <c r="L503" s="0" t="n">
        <f aca="false">ROUND(E503-K503,2)</f>
        <v>922.24</v>
      </c>
      <c r="M503" s="0" t="n">
        <f aca="false">F503/E503</f>
        <v>0.0117034972177595</v>
      </c>
    </row>
    <row r="504" customFormat="false" ht="12.8" hidden="false" customHeight="false" outlineLevel="0" collapsed="false">
      <c r="A504" s="0" t="s">
        <v>798</v>
      </c>
      <c r="B504" s="0" t="s">
        <v>799</v>
      </c>
      <c r="C504" s="0" t="s">
        <v>31</v>
      </c>
      <c r="D504" s="0" t="s">
        <v>49</v>
      </c>
      <c r="E504" s="0" t="n">
        <v>4274.37</v>
      </c>
      <c r="F504" s="0" t="n">
        <v>197</v>
      </c>
      <c r="G504" s="0" t="str">
        <f aca="false">IF(F504&lt;=30,"Current",IF(F504&lt;=60,"31 to 60 days",IF(F504&lt;=90,"61 to 90 days",IF(F504&lt;=120,"91 to 120 days","Over 120 days"))))</f>
        <v>Over 120 days</v>
      </c>
      <c r="H504" s="0" t="n">
        <f aca="false">VLOOKUP(D504,Rates!$A$4:$B$7,2,FALSE())</f>
        <v>0.02</v>
      </c>
      <c r="I504" s="0" t="n">
        <f aca="false">VLOOKUP(F504,Rates!$D$4:$E$8,2)</f>
        <v>0.85</v>
      </c>
      <c r="J504" s="0" t="n">
        <f aca="false">ROUND(E504*I504,2)</f>
        <v>3633.21</v>
      </c>
      <c r="K504" s="1" t="n">
        <f aca="false">PV(H504/12,F504/30,0,-E504)</f>
        <v>4227.88297440474</v>
      </c>
      <c r="L504" s="0" t="n">
        <f aca="false">ROUND(E504-K504,2)</f>
        <v>46.49</v>
      </c>
      <c r="M504" s="0" t="n">
        <f aca="false">F504/E504</f>
        <v>0.0460886633585768</v>
      </c>
    </row>
    <row r="505" customFormat="false" ht="12.8" hidden="false" customHeight="false" outlineLevel="0" collapsed="false">
      <c r="A505" s="0" t="s">
        <v>800</v>
      </c>
      <c r="B505" s="0" t="s">
        <v>242</v>
      </c>
      <c r="C505" s="0" t="s">
        <v>36</v>
      </c>
      <c r="D505" s="0" t="s">
        <v>23</v>
      </c>
      <c r="E505" s="0" t="n">
        <v>2601.21</v>
      </c>
      <c r="F505" s="0" t="n">
        <v>196</v>
      </c>
      <c r="G505" s="0" t="str">
        <f aca="false">IF(F505&lt;=30,"Current",IF(F505&lt;=60,"31 to 60 days",IF(F505&lt;=90,"61 to 90 days",IF(F505&lt;=120,"91 to 120 days","Over 120 days"))))</f>
        <v>Over 120 days</v>
      </c>
      <c r="H505" s="0" t="n">
        <f aca="false">VLOOKUP(D505,Rates!$A$4:$B$7,2,FALSE())</f>
        <v>0.115</v>
      </c>
      <c r="I505" s="0" t="n">
        <f aca="false">VLOOKUP(F505,Rates!$D$4:$E$8,2)</f>
        <v>0.85</v>
      </c>
      <c r="J505" s="0" t="n">
        <f aca="false">ROUND(E505*I505,2)</f>
        <v>2211.03</v>
      </c>
      <c r="K505" s="1" t="n">
        <f aca="false">PV(H505/12,F505/30,0,-E505)</f>
        <v>2444.06764467225</v>
      </c>
      <c r="L505" s="0" t="n">
        <f aca="false">ROUND(E505-K505,2)</f>
        <v>157.14</v>
      </c>
      <c r="M505" s="0" t="n">
        <f aca="false">F505/E505</f>
        <v>0.075349548863798</v>
      </c>
    </row>
    <row r="506" customFormat="false" ht="12.8" hidden="false" customHeight="false" outlineLevel="0" collapsed="false">
      <c r="A506" s="0" t="s">
        <v>801</v>
      </c>
      <c r="B506" s="0" t="s">
        <v>802</v>
      </c>
      <c r="C506" s="0" t="s">
        <v>31</v>
      </c>
      <c r="D506" s="0" t="s">
        <v>49</v>
      </c>
      <c r="E506" s="0" t="n">
        <v>19336.28</v>
      </c>
      <c r="F506" s="0" t="n">
        <v>106</v>
      </c>
      <c r="G506" s="0" t="str">
        <f aca="false">IF(F506&lt;=30,"Current",IF(F506&lt;=60,"31 to 60 days",IF(F506&lt;=90,"61 to 90 days",IF(F506&lt;=120,"91 to 120 days","Over 120 days"))))</f>
        <v>91 to 120 days</v>
      </c>
      <c r="H506" s="0" t="n">
        <f aca="false">VLOOKUP(D506,Rates!$A$4:$B$7,2,FALSE())</f>
        <v>0.02</v>
      </c>
      <c r="I506" s="0" t="n">
        <f aca="false">VLOOKUP(F506,Rates!$D$4:$E$8,2)</f>
        <v>0.5</v>
      </c>
      <c r="J506" s="0" t="n">
        <f aca="false">ROUND(E506*I506,2)</f>
        <v>9668.14</v>
      </c>
      <c r="K506" s="1" t="n">
        <f aca="false">PV(H506/12,F506/30,0,-E506)</f>
        <v>19222.8396493142</v>
      </c>
      <c r="L506" s="0" t="n">
        <f aca="false">ROUND(E506-K506,2)</f>
        <v>113.44</v>
      </c>
      <c r="M506" s="0" t="n">
        <f aca="false">F506/E506</f>
        <v>0.00548192309999648</v>
      </c>
    </row>
    <row r="507" customFormat="false" ht="12.8" hidden="false" customHeight="false" outlineLevel="0" collapsed="false">
      <c r="A507" s="0" t="s">
        <v>803</v>
      </c>
      <c r="B507" s="0" t="s">
        <v>22</v>
      </c>
      <c r="C507" s="0" t="s">
        <v>15</v>
      </c>
      <c r="D507" s="0" t="s">
        <v>23</v>
      </c>
      <c r="E507" s="0" t="n">
        <v>23609.2</v>
      </c>
      <c r="F507" s="0" t="n">
        <v>161</v>
      </c>
      <c r="G507" s="0" t="str">
        <f aca="false">IF(F507&lt;=30,"Current",IF(F507&lt;=60,"31 to 60 days",IF(F507&lt;=90,"61 to 90 days",IF(F507&lt;=120,"91 to 120 days","Over 120 days"))))</f>
        <v>Over 120 days</v>
      </c>
      <c r="H507" s="0" t="n">
        <f aca="false">VLOOKUP(D507,Rates!$A$4:$B$7,2,FALSE())</f>
        <v>0.115</v>
      </c>
      <c r="I507" s="0" t="n">
        <f aca="false">VLOOKUP(F507,Rates!$D$4:$E$8,2)</f>
        <v>0.85</v>
      </c>
      <c r="J507" s="0" t="n">
        <f aca="false">ROUND(E507*I507,2)</f>
        <v>20067.82</v>
      </c>
      <c r="K507" s="1" t="n">
        <f aca="false">PV(H507/12,F507/30,0,-E507)</f>
        <v>22431.1537690253</v>
      </c>
      <c r="L507" s="0" t="n">
        <f aca="false">ROUND(E507-K507,2)</f>
        <v>1178.05</v>
      </c>
      <c r="M507" s="0" t="n">
        <f aca="false">F507/E507</f>
        <v>0.00681937549768734</v>
      </c>
    </row>
    <row r="508" customFormat="false" ht="12.8" hidden="false" customHeight="false" outlineLevel="0" collapsed="false">
      <c r="A508" s="0" t="s">
        <v>804</v>
      </c>
      <c r="B508" s="0" t="s">
        <v>805</v>
      </c>
      <c r="C508" s="0" t="s">
        <v>26</v>
      </c>
      <c r="D508" s="0" t="s">
        <v>16</v>
      </c>
      <c r="E508" s="0" t="n">
        <v>14598.04</v>
      </c>
      <c r="F508" s="0" t="n">
        <v>225</v>
      </c>
      <c r="G508" s="0" t="str">
        <f aca="false">IF(F508&lt;=30,"Current",IF(F508&lt;=60,"31 to 60 days",IF(F508&lt;=90,"61 to 90 days",IF(F508&lt;=120,"91 to 120 days","Over 120 days"))))</f>
        <v>Over 120 days</v>
      </c>
      <c r="H508" s="0" t="n">
        <f aca="false">VLOOKUP(D508,Rates!$A$4:$B$7,2,FALSE())</f>
        <v>0.085</v>
      </c>
      <c r="I508" s="0" t="n">
        <f aca="false">VLOOKUP(F508,Rates!$D$4:$E$8,2)</f>
        <v>0.85</v>
      </c>
      <c r="J508" s="0" t="n">
        <f aca="false">ROUND(E508*I508,2)</f>
        <v>12408.33</v>
      </c>
      <c r="K508" s="1" t="n">
        <f aca="false">PV(H508/12,F508/30,0,-E508)</f>
        <v>13845.3514424557</v>
      </c>
      <c r="L508" s="0" t="n">
        <f aca="false">ROUND(E508-K508,2)</f>
        <v>752.69</v>
      </c>
      <c r="M508" s="0" t="n">
        <f aca="false">F508/E508</f>
        <v>0.015413028050341</v>
      </c>
    </row>
    <row r="509" customFormat="false" ht="12.8" hidden="false" customHeight="false" outlineLevel="0" collapsed="false">
      <c r="A509" s="0" t="s">
        <v>806</v>
      </c>
      <c r="B509" s="0" t="s">
        <v>216</v>
      </c>
      <c r="C509" s="0" t="s">
        <v>15</v>
      </c>
      <c r="D509" s="0" t="s">
        <v>23</v>
      </c>
      <c r="E509" s="0" t="n">
        <v>27396.28</v>
      </c>
      <c r="F509" s="0" t="n">
        <v>240</v>
      </c>
      <c r="G509" s="0" t="str">
        <f aca="false">IF(F509&lt;=30,"Current",IF(F509&lt;=60,"31 to 60 days",IF(F509&lt;=90,"61 to 90 days",IF(F509&lt;=120,"91 to 120 days","Over 120 days"))))</f>
        <v>Over 120 days</v>
      </c>
      <c r="H509" s="0" t="n">
        <f aca="false">VLOOKUP(D509,Rates!$A$4:$B$7,2,FALSE())</f>
        <v>0.115</v>
      </c>
      <c r="I509" s="0" t="n">
        <f aca="false">VLOOKUP(F509,Rates!$D$4:$E$8,2)</f>
        <v>0.85</v>
      </c>
      <c r="J509" s="0" t="n">
        <f aca="false">ROUND(E509*I509,2)</f>
        <v>23286.84</v>
      </c>
      <c r="K509" s="1" t="n">
        <f aca="false">PV(H509/12,F509/30,0,-E509)</f>
        <v>25383.6585273055</v>
      </c>
      <c r="L509" s="0" t="n">
        <f aca="false">ROUND(E509-K509,2)</f>
        <v>2012.62</v>
      </c>
      <c r="M509" s="0" t="n">
        <f aca="false">F509/E509</f>
        <v>0.00876031344401503</v>
      </c>
    </row>
    <row r="510" customFormat="false" ht="12.8" hidden="false" customHeight="false" outlineLevel="0" collapsed="false">
      <c r="A510" s="0" t="s">
        <v>807</v>
      </c>
      <c r="B510" s="0" t="s">
        <v>808</v>
      </c>
      <c r="C510" s="0" t="s">
        <v>26</v>
      </c>
      <c r="D510" s="0" t="s">
        <v>16</v>
      </c>
      <c r="E510" s="0" t="n">
        <v>35031.74</v>
      </c>
      <c r="F510" s="0" t="n">
        <v>178</v>
      </c>
      <c r="G510" s="0" t="str">
        <f aca="false">IF(F510&lt;=30,"Current",IF(F510&lt;=60,"31 to 60 days",IF(F510&lt;=90,"61 to 90 days",IF(F510&lt;=120,"91 to 120 days","Over 120 days"))))</f>
        <v>Over 120 days</v>
      </c>
      <c r="H510" s="0" t="n">
        <f aca="false">VLOOKUP(D510,Rates!$A$4:$B$7,2,FALSE())</f>
        <v>0.085</v>
      </c>
      <c r="I510" s="0" t="n">
        <f aca="false">VLOOKUP(F510,Rates!$D$4:$E$8,2)</f>
        <v>0.85</v>
      </c>
      <c r="J510" s="0" t="n">
        <f aca="false">ROUND(E510*I510,2)</f>
        <v>29776.98</v>
      </c>
      <c r="K510" s="1" t="n">
        <f aca="false">PV(H510/12,F510/30,0,-E510)</f>
        <v>33594.9204717749</v>
      </c>
      <c r="L510" s="0" t="n">
        <f aca="false">ROUND(E510-K510,2)</f>
        <v>1436.82</v>
      </c>
      <c r="M510" s="0" t="n">
        <f aca="false">F510/E510</f>
        <v>0.00508110644803827</v>
      </c>
    </row>
    <row r="511" customFormat="false" ht="12.8" hidden="false" customHeight="false" outlineLevel="0" collapsed="false">
      <c r="A511" s="0" t="s">
        <v>809</v>
      </c>
      <c r="B511" s="0" t="s">
        <v>810</v>
      </c>
      <c r="C511" s="0" t="s">
        <v>36</v>
      </c>
      <c r="D511" s="0" t="s">
        <v>49</v>
      </c>
      <c r="E511" s="0" t="n">
        <v>17981.43</v>
      </c>
      <c r="F511" s="0" t="n">
        <v>318</v>
      </c>
      <c r="G511" s="0" t="str">
        <f aca="false">IF(F511&lt;=30,"Current",IF(F511&lt;=60,"31 to 60 days",IF(F511&lt;=90,"61 to 90 days",IF(F511&lt;=120,"91 to 120 days","Over 120 days"))))</f>
        <v>Over 120 days</v>
      </c>
      <c r="H511" s="0" t="n">
        <f aca="false">VLOOKUP(D511,Rates!$A$4:$B$7,2,FALSE())</f>
        <v>0.02</v>
      </c>
      <c r="I511" s="0" t="n">
        <f aca="false">VLOOKUP(F511,Rates!$D$4:$E$8,2)</f>
        <v>0.85</v>
      </c>
      <c r="J511" s="0" t="n">
        <f aca="false">ROUND(E511*I511,2)</f>
        <v>15284.22</v>
      </c>
      <c r="K511" s="1" t="n">
        <f aca="false">PV(H511/12,F511/30,0,-E511)</f>
        <v>17666.8075240754</v>
      </c>
      <c r="L511" s="0" t="n">
        <f aca="false">ROUND(E511-K511,2)</f>
        <v>314.62</v>
      </c>
      <c r="M511" s="0" t="n">
        <f aca="false">F511/E511</f>
        <v>0.0176849116004678</v>
      </c>
    </row>
    <row r="512" customFormat="false" ht="12.8" hidden="false" customHeight="false" outlineLevel="0" collapsed="false">
      <c r="A512" s="0" t="s">
        <v>811</v>
      </c>
      <c r="B512" s="0" t="s">
        <v>97</v>
      </c>
      <c r="C512" s="0" t="s">
        <v>42</v>
      </c>
      <c r="D512" s="0" t="s">
        <v>20</v>
      </c>
      <c r="E512" s="0" t="n">
        <v>32809.74</v>
      </c>
      <c r="F512" s="0" t="n">
        <v>207</v>
      </c>
      <c r="G512" s="0" t="str">
        <f aca="false">IF(F512&lt;=30,"Current",IF(F512&lt;=60,"31 to 60 days",IF(F512&lt;=90,"61 to 90 days",IF(F512&lt;=120,"91 to 120 days","Over 120 days"))))</f>
        <v>Over 120 days</v>
      </c>
      <c r="H512" s="0" t="n">
        <f aca="false">VLOOKUP(D512,Rates!$A$4:$B$7,2,FALSE())</f>
        <v>0.05</v>
      </c>
      <c r="I512" s="0" t="n">
        <f aca="false">VLOOKUP(F512,Rates!$D$4:$E$8,2)</f>
        <v>0.85</v>
      </c>
      <c r="J512" s="0" t="n">
        <f aca="false">ROUND(E512*I512,2)</f>
        <v>27888.28</v>
      </c>
      <c r="K512" s="1" t="n">
        <f aca="false">PV(H512/12,F512/30,0,-E512)</f>
        <v>31881.7948492705</v>
      </c>
      <c r="L512" s="0" t="n">
        <f aca="false">ROUND(E512-K512,2)</f>
        <v>927.95</v>
      </c>
      <c r="M512" s="0" t="n">
        <f aca="false">F512/E512</f>
        <v>0.00630910211418926</v>
      </c>
    </row>
    <row r="513" customFormat="false" ht="12.8" hidden="false" customHeight="false" outlineLevel="0" collapsed="false">
      <c r="A513" s="0" t="s">
        <v>812</v>
      </c>
      <c r="B513" s="0" t="s">
        <v>813</v>
      </c>
      <c r="C513" s="0" t="s">
        <v>19</v>
      </c>
      <c r="D513" s="0" t="s">
        <v>16</v>
      </c>
      <c r="E513" s="0" t="n">
        <v>14510.88</v>
      </c>
      <c r="F513" s="0" t="n">
        <v>277</v>
      </c>
      <c r="G513" s="0" t="str">
        <f aca="false">IF(F513&lt;=30,"Current",IF(F513&lt;=60,"31 to 60 days",IF(F513&lt;=90,"61 to 90 days",IF(F513&lt;=120,"91 to 120 days","Over 120 days"))))</f>
        <v>Over 120 days</v>
      </c>
      <c r="H513" s="0" t="n">
        <f aca="false">VLOOKUP(D513,Rates!$A$4:$B$7,2,FALSE())</f>
        <v>0.085</v>
      </c>
      <c r="I513" s="0" t="n">
        <f aca="false">VLOOKUP(F513,Rates!$D$4:$E$8,2)</f>
        <v>0.85</v>
      </c>
      <c r="J513" s="0" t="n">
        <f aca="false">ROUND(E513*I513,2)</f>
        <v>12334.25</v>
      </c>
      <c r="K513" s="1" t="n">
        <f aca="false">PV(H513/12,F513/30,0,-E513)</f>
        <v>13595.3317738315</v>
      </c>
      <c r="L513" s="0" t="n">
        <f aca="false">ROUND(E513-K513,2)</f>
        <v>915.55</v>
      </c>
      <c r="M513" s="0" t="n">
        <f aca="false">F513/E513</f>
        <v>0.0190891248497679</v>
      </c>
    </row>
    <row r="514" customFormat="false" ht="12.8" hidden="false" customHeight="false" outlineLevel="0" collapsed="false">
      <c r="A514" s="0" t="s">
        <v>814</v>
      </c>
      <c r="B514" s="0" t="s">
        <v>51</v>
      </c>
      <c r="C514" s="0" t="s">
        <v>36</v>
      </c>
      <c r="D514" s="0" t="s">
        <v>20</v>
      </c>
      <c r="E514" s="0" t="n">
        <v>6744.72</v>
      </c>
      <c r="F514" s="0" t="n">
        <v>287</v>
      </c>
      <c r="G514" s="0" t="str">
        <f aca="false">IF(F514&lt;=30,"Current",IF(F514&lt;=60,"31 to 60 days",IF(F514&lt;=90,"61 to 90 days",IF(F514&lt;=120,"91 to 120 days","Over 120 days"))))</f>
        <v>Over 120 days</v>
      </c>
      <c r="H514" s="0" t="n">
        <f aca="false">VLOOKUP(D514,Rates!$A$4:$B$7,2,FALSE())</f>
        <v>0.05</v>
      </c>
      <c r="I514" s="0" t="n">
        <f aca="false">VLOOKUP(F514,Rates!$D$4:$E$8,2)</f>
        <v>0.85</v>
      </c>
      <c r="J514" s="0" t="n">
        <f aca="false">ROUND(E514*I514,2)</f>
        <v>5733.01</v>
      </c>
      <c r="K514" s="1" t="n">
        <f aca="false">PV(H514/12,F514/30,0,-E514)</f>
        <v>6481.69259687426</v>
      </c>
      <c r="L514" s="0" t="n">
        <f aca="false">ROUND(E514-K514,2)</f>
        <v>263.03</v>
      </c>
      <c r="M514" s="0" t="n">
        <f aca="false">F514/E514</f>
        <v>0.0425518034848</v>
      </c>
    </row>
    <row r="515" customFormat="false" ht="12.8" hidden="false" customHeight="false" outlineLevel="0" collapsed="false">
      <c r="A515" s="0" t="s">
        <v>815</v>
      </c>
      <c r="B515" s="0" t="s">
        <v>816</v>
      </c>
      <c r="C515" s="0" t="s">
        <v>19</v>
      </c>
      <c r="D515" s="0" t="s">
        <v>49</v>
      </c>
      <c r="E515" s="0" t="n">
        <v>39957.44</v>
      </c>
      <c r="F515" s="0" t="n">
        <v>3</v>
      </c>
      <c r="G515" s="0" t="str">
        <f aca="false">IF(F515&lt;=30,"Current",IF(F515&lt;=60,"31 to 60 days",IF(F515&lt;=90,"61 to 90 days",IF(F515&lt;=120,"91 to 120 days","Over 120 days"))))</f>
        <v>Current</v>
      </c>
      <c r="H515" s="0" t="n">
        <f aca="false">VLOOKUP(D515,Rates!$A$4:$B$7,2,FALSE())</f>
        <v>0.02</v>
      </c>
      <c r="I515" s="0" t="n">
        <f aca="false">VLOOKUP(F515,Rates!$D$4:$E$8,2)</f>
        <v>0.02</v>
      </c>
      <c r="J515" s="0" t="n">
        <f aca="false">ROUND(E515*I515,2)</f>
        <v>799.15</v>
      </c>
      <c r="K515" s="1" t="n">
        <f aca="false">PV(H515/12,F515/30,0,-E515)</f>
        <v>39950.7865241627</v>
      </c>
      <c r="L515" s="0" t="n">
        <f aca="false">ROUND(E515-K515,2)</f>
        <v>6.65</v>
      </c>
      <c r="M515" s="0" t="n">
        <f aca="false">F515/E515</f>
        <v>7.50798849976375E-005</v>
      </c>
    </row>
    <row r="516" customFormat="false" ht="12.8" hidden="false" customHeight="false" outlineLevel="0" collapsed="false">
      <c r="A516" s="0" t="s">
        <v>817</v>
      </c>
      <c r="B516" s="0" t="s">
        <v>18</v>
      </c>
      <c r="C516" s="0" t="s">
        <v>19</v>
      </c>
      <c r="D516" s="0" t="s">
        <v>20</v>
      </c>
      <c r="E516" s="0" t="n">
        <v>17899.51</v>
      </c>
      <c r="F516" s="0" t="n">
        <v>290</v>
      </c>
      <c r="G516" s="0" t="str">
        <f aca="false">IF(F516&lt;=30,"Current",IF(F516&lt;=60,"31 to 60 days",IF(F516&lt;=90,"61 to 90 days",IF(F516&lt;=120,"91 to 120 days","Over 120 days"))))</f>
        <v>Over 120 days</v>
      </c>
      <c r="H516" s="0" t="n">
        <f aca="false">VLOOKUP(D516,Rates!$A$4:$B$7,2,FALSE())</f>
        <v>0.05</v>
      </c>
      <c r="I516" s="0" t="n">
        <f aca="false">VLOOKUP(F516,Rates!$D$4:$E$8,2)</f>
        <v>0.85</v>
      </c>
      <c r="J516" s="0" t="n">
        <f aca="false">ROUND(E516*I516,2)</f>
        <v>15214.58</v>
      </c>
      <c r="K516" s="1" t="n">
        <f aca="false">PV(H516/12,F516/30,0,-E516)</f>
        <v>17194.3224647047</v>
      </c>
      <c r="L516" s="0" t="n">
        <f aca="false">ROUND(E516-K516,2)</f>
        <v>705.19</v>
      </c>
      <c r="M516" s="0" t="n">
        <f aca="false">F516/E516</f>
        <v>0.0162015608248494</v>
      </c>
    </row>
    <row r="517" customFormat="false" ht="12.8" hidden="false" customHeight="false" outlineLevel="0" collapsed="false">
      <c r="A517" s="0" t="s">
        <v>818</v>
      </c>
      <c r="B517" s="0" t="s">
        <v>239</v>
      </c>
      <c r="C517" s="0" t="s">
        <v>42</v>
      </c>
      <c r="D517" s="0" t="s">
        <v>23</v>
      </c>
      <c r="E517" s="0" t="n">
        <v>25281.97</v>
      </c>
      <c r="F517" s="0" t="n">
        <v>188</v>
      </c>
      <c r="G517" s="0" t="str">
        <f aca="false">IF(F517&lt;=30,"Current",IF(F517&lt;=60,"31 to 60 days",IF(F517&lt;=90,"61 to 90 days",IF(F517&lt;=120,"91 to 120 days","Over 120 days"))))</f>
        <v>Over 120 days</v>
      </c>
      <c r="H517" s="0" t="n">
        <f aca="false">VLOOKUP(D517,Rates!$A$4:$B$7,2,FALSE())</f>
        <v>0.115</v>
      </c>
      <c r="I517" s="0" t="n">
        <f aca="false">VLOOKUP(F517,Rates!$D$4:$E$8,2)</f>
        <v>0.85</v>
      </c>
      <c r="J517" s="0" t="n">
        <f aca="false">ROUND(E517*I517,2)</f>
        <v>21489.67</v>
      </c>
      <c r="K517" s="1" t="n">
        <f aca="false">PV(H517/12,F517/30,0,-E517)</f>
        <v>23815.1487122902</v>
      </c>
      <c r="L517" s="0" t="n">
        <f aca="false">ROUND(E517-K517,2)</f>
        <v>1466.82</v>
      </c>
      <c r="M517" s="0" t="n">
        <f aca="false">F517/E517</f>
        <v>0.00743612938390481</v>
      </c>
    </row>
    <row r="518" customFormat="false" ht="12.8" hidden="false" customHeight="false" outlineLevel="0" collapsed="false">
      <c r="A518" s="0" t="s">
        <v>819</v>
      </c>
      <c r="B518" s="0" t="s">
        <v>30</v>
      </c>
      <c r="C518" s="0" t="s">
        <v>31</v>
      </c>
      <c r="D518" s="0" t="s">
        <v>20</v>
      </c>
      <c r="E518" s="0" t="n">
        <v>7099.96</v>
      </c>
      <c r="F518" s="0" t="n">
        <v>141</v>
      </c>
      <c r="G518" s="0" t="str">
        <f aca="false">IF(F518&lt;=30,"Current",IF(F518&lt;=60,"31 to 60 days",IF(F518&lt;=90,"61 to 90 days",IF(F518&lt;=120,"91 to 120 days","Over 120 days"))))</f>
        <v>Over 120 days</v>
      </c>
      <c r="H518" s="0" t="n">
        <f aca="false">VLOOKUP(D518,Rates!$A$4:$B$7,2,FALSE())</f>
        <v>0.05</v>
      </c>
      <c r="I518" s="0" t="n">
        <f aca="false">VLOOKUP(F518,Rates!$D$4:$E$8,2)</f>
        <v>0.85</v>
      </c>
      <c r="J518" s="0" t="n">
        <f aca="false">ROUND(E518*I518,2)</f>
        <v>6034.97</v>
      </c>
      <c r="K518" s="1" t="n">
        <f aca="false">PV(H518/12,F518/30,0,-E518)</f>
        <v>6962.55498500448</v>
      </c>
      <c r="L518" s="0" t="n">
        <f aca="false">ROUND(E518-K518,2)</f>
        <v>137.41</v>
      </c>
      <c r="M518" s="0" t="n">
        <f aca="false">F518/E518</f>
        <v>0.0198592668127708</v>
      </c>
    </row>
    <row r="519" customFormat="false" ht="12.8" hidden="false" customHeight="false" outlineLevel="0" collapsed="false">
      <c r="A519" s="0" t="s">
        <v>820</v>
      </c>
      <c r="B519" s="0" t="s">
        <v>44</v>
      </c>
      <c r="C519" s="0" t="s">
        <v>36</v>
      </c>
      <c r="D519" s="0" t="s">
        <v>23</v>
      </c>
      <c r="E519" s="0" t="n">
        <v>0</v>
      </c>
      <c r="F519" s="0" t="n">
        <v>223</v>
      </c>
      <c r="G519" s="0" t="str">
        <f aca="false">IF(F519&lt;=30,"Current",IF(F519&lt;=60,"31 to 60 days",IF(F519&lt;=90,"61 to 90 days",IF(F519&lt;=120,"91 to 120 days","Over 120 days"))))</f>
        <v>Over 120 days</v>
      </c>
      <c r="H519" s="0" t="n">
        <f aca="false">VLOOKUP(D519,Rates!$A$4:$B$7,2,FALSE())</f>
        <v>0.115</v>
      </c>
      <c r="I519" s="0" t="n">
        <f aca="false">VLOOKUP(F519,Rates!$D$4:$E$8,2)</f>
        <v>0.85</v>
      </c>
      <c r="J519" s="0" t="n">
        <f aca="false">ROUND(E519*I519,2)</f>
        <v>0</v>
      </c>
      <c r="K519" s="1" t="n">
        <f aca="false">PV(H519/12,F519/30,0,-E519)</f>
        <v>-0</v>
      </c>
      <c r="L519" s="0" t="n">
        <f aca="false">ROUND(E519-K519,2)</f>
        <v>0</v>
      </c>
      <c r="M519" s="0" t="e">
        <f aca="false">F519/E519</f>
        <v>#DIV/0!</v>
      </c>
    </row>
    <row r="520" customFormat="false" ht="12.8" hidden="false" customHeight="false" outlineLevel="0" collapsed="false">
      <c r="A520" s="0" t="s">
        <v>821</v>
      </c>
      <c r="B520" s="0" t="s">
        <v>97</v>
      </c>
      <c r="C520" s="0" t="s">
        <v>42</v>
      </c>
      <c r="D520" s="0" t="s">
        <v>20</v>
      </c>
      <c r="E520" s="0" t="n">
        <v>13859.72</v>
      </c>
      <c r="F520" s="0" t="n">
        <v>267</v>
      </c>
      <c r="G520" s="0" t="str">
        <f aca="false">IF(F520&lt;=30,"Current",IF(F520&lt;=60,"31 to 60 days",IF(F520&lt;=90,"61 to 90 days",IF(F520&lt;=120,"91 to 120 days","Over 120 days"))))</f>
        <v>Over 120 days</v>
      </c>
      <c r="H520" s="0" t="n">
        <f aca="false">VLOOKUP(D520,Rates!$A$4:$B$7,2,FALSE())</f>
        <v>0.05</v>
      </c>
      <c r="I520" s="0" t="n">
        <f aca="false">VLOOKUP(F520,Rates!$D$4:$E$8,2)</f>
        <v>0.85</v>
      </c>
      <c r="J520" s="0" t="n">
        <f aca="false">ROUND(E520*I520,2)</f>
        <v>11780.76</v>
      </c>
      <c r="K520" s="1" t="n">
        <f aca="false">PV(H520/12,F520/30,0,-E520)</f>
        <v>13356.1973915587</v>
      </c>
      <c r="L520" s="0" t="n">
        <f aca="false">ROUND(E520-K520,2)</f>
        <v>503.52</v>
      </c>
      <c r="M520" s="0" t="n">
        <f aca="false">F520/E520</f>
        <v>0.019264458445048</v>
      </c>
    </row>
    <row r="521" customFormat="false" ht="12.8" hidden="false" customHeight="false" outlineLevel="0" collapsed="false">
      <c r="A521" s="0" t="s">
        <v>822</v>
      </c>
      <c r="B521" s="0" t="s">
        <v>823</v>
      </c>
      <c r="C521" s="0" t="s">
        <v>26</v>
      </c>
      <c r="D521" s="0" t="s">
        <v>16</v>
      </c>
      <c r="E521" s="0" t="n">
        <v>40078.38</v>
      </c>
      <c r="F521" s="0" t="n">
        <v>3</v>
      </c>
      <c r="G521" s="0" t="str">
        <f aca="false">IF(F521&lt;=30,"Current",IF(F521&lt;=60,"31 to 60 days",IF(F521&lt;=90,"61 to 90 days",IF(F521&lt;=120,"91 to 120 days","Over 120 days"))))</f>
        <v>Current</v>
      </c>
      <c r="H521" s="0" t="n">
        <f aca="false">VLOOKUP(D521,Rates!$A$4:$B$7,2,FALSE())</f>
        <v>0.085</v>
      </c>
      <c r="I521" s="0" t="n">
        <f aca="false">VLOOKUP(F521,Rates!$D$4:$E$8,2)</f>
        <v>0.02</v>
      </c>
      <c r="J521" s="0" t="n">
        <f aca="false">ROUND(E521*I521,2)</f>
        <v>801.57</v>
      </c>
      <c r="K521" s="1" t="n">
        <f aca="false">PV(H521/12,F521/30,0,-E521)</f>
        <v>40050.1012003479</v>
      </c>
      <c r="L521" s="0" t="n">
        <f aca="false">ROUND(E521-K521,2)</f>
        <v>28.28</v>
      </c>
      <c r="M521" s="0" t="n">
        <f aca="false">F521/E521</f>
        <v>7.48533249098392E-005</v>
      </c>
    </row>
    <row r="522" customFormat="false" ht="12.8" hidden="false" customHeight="false" outlineLevel="0" collapsed="false">
      <c r="A522" s="0" t="s">
        <v>824</v>
      </c>
      <c r="B522" s="0" t="s">
        <v>825</v>
      </c>
      <c r="C522" s="0" t="s">
        <v>42</v>
      </c>
      <c r="D522" s="0" t="s">
        <v>49</v>
      </c>
      <c r="E522" s="0" t="n">
        <v>10980.69</v>
      </c>
      <c r="F522" s="0" t="n">
        <v>383</v>
      </c>
      <c r="G522" s="0" t="str">
        <f aca="false">IF(F522&lt;=30,"Current",IF(F522&lt;=60,"31 to 60 days",IF(F522&lt;=90,"61 to 90 days",IF(F522&lt;=120,"91 to 120 days","Over 120 days"))))</f>
        <v>Over 120 days</v>
      </c>
      <c r="H522" s="0" t="n">
        <f aca="false">VLOOKUP(D522,Rates!$A$4:$B$7,2,FALSE())</f>
        <v>0.02</v>
      </c>
      <c r="I522" s="0" t="n">
        <f aca="false">VLOOKUP(F522,Rates!$D$4:$E$8,2)</f>
        <v>0.85</v>
      </c>
      <c r="J522" s="0" t="n">
        <f aca="false">ROUND(E522*I522,2)</f>
        <v>9333.59</v>
      </c>
      <c r="K522" s="1" t="n">
        <f aca="false">PV(H522/12,F522/30,0,-E522)</f>
        <v>10749.7038962953</v>
      </c>
      <c r="L522" s="0" t="n">
        <f aca="false">ROUND(E522-K522,2)</f>
        <v>230.99</v>
      </c>
      <c r="M522" s="0" t="n">
        <f aca="false">F522/E522</f>
        <v>0.0348794110388327</v>
      </c>
    </row>
    <row r="523" customFormat="false" ht="12.8" hidden="false" customHeight="false" outlineLevel="0" collapsed="false">
      <c r="A523" s="0" t="s">
        <v>826</v>
      </c>
      <c r="B523" s="0" t="s">
        <v>283</v>
      </c>
      <c r="C523" s="0" t="s">
        <v>26</v>
      </c>
      <c r="D523" s="0" t="s">
        <v>49</v>
      </c>
      <c r="E523" s="0" t="n">
        <v>33146.52</v>
      </c>
      <c r="F523" s="0" t="n">
        <v>208</v>
      </c>
      <c r="G523" s="0" t="str">
        <f aca="false">IF(F523&lt;=30,"Current",IF(F523&lt;=60,"31 to 60 days",IF(F523&lt;=90,"61 to 90 days",IF(F523&lt;=120,"91 to 120 days","Over 120 days"))))</f>
        <v>Over 120 days</v>
      </c>
      <c r="H523" s="0" t="n">
        <f aca="false">VLOOKUP(D523,Rates!$A$4:$B$7,2,FALSE())</f>
        <v>0.02</v>
      </c>
      <c r="I523" s="0" t="n">
        <f aca="false">VLOOKUP(F523,Rates!$D$4:$E$8,2)</f>
        <v>0.85</v>
      </c>
      <c r="J523" s="0" t="n">
        <f aca="false">ROUND(E523*I523,2)</f>
        <v>28174.54</v>
      </c>
      <c r="K523" s="1" t="n">
        <f aca="false">PV(H523/12,F523/30,0,-E523)</f>
        <v>32766.0132615682</v>
      </c>
      <c r="L523" s="0" t="n">
        <f aca="false">ROUND(E523-K523,2)</f>
        <v>380.51</v>
      </c>
      <c r="M523" s="0" t="n">
        <f aca="false">F523/E523</f>
        <v>0.00627516855464767</v>
      </c>
    </row>
    <row r="524" customFormat="false" ht="12.8" hidden="false" customHeight="false" outlineLevel="0" collapsed="false">
      <c r="A524" s="0" t="s">
        <v>827</v>
      </c>
      <c r="B524" s="0" t="s">
        <v>330</v>
      </c>
      <c r="C524" s="0" t="s">
        <v>15</v>
      </c>
      <c r="D524" s="0" t="s">
        <v>23</v>
      </c>
      <c r="E524" s="0" t="n">
        <v>19551.22</v>
      </c>
      <c r="F524" s="0" t="n">
        <v>383</v>
      </c>
      <c r="G524" s="0" t="str">
        <f aca="false">IF(F524&lt;=30,"Current",IF(F524&lt;=60,"31 to 60 days",IF(F524&lt;=90,"61 to 90 days",IF(F524&lt;=120,"91 to 120 days","Over 120 days"))))</f>
        <v>Over 120 days</v>
      </c>
      <c r="H524" s="0" t="n">
        <f aca="false">VLOOKUP(D524,Rates!$A$4:$B$7,2,FALSE())</f>
        <v>0.115</v>
      </c>
      <c r="I524" s="0" t="n">
        <f aca="false">VLOOKUP(F524,Rates!$D$4:$E$8,2)</f>
        <v>0.85</v>
      </c>
      <c r="J524" s="0" t="n">
        <f aca="false">ROUND(E524*I524,2)</f>
        <v>16618.54</v>
      </c>
      <c r="K524" s="1" t="n">
        <f aca="false">PV(H524/12,F524/30,0,-E524)</f>
        <v>17309.8031088831</v>
      </c>
      <c r="L524" s="0" t="n">
        <f aca="false">ROUND(E524-K524,2)</f>
        <v>2241.42</v>
      </c>
      <c r="M524" s="0" t="n">
        <f aca="false">F524/E524</f>
        <v>0.0195895703695217</v>
      </c>
    </row>
    <row r="525" customFormat="false" ht="12.8" hidden="false" customHeight="false" outlineLevel="0" collapsed="false">
      <c r="A525" s="0" t="s">
        <v>828</v>
      </c>
      <c r="B525" s="0" t="s">
        <v>829</v>
      </c>
      <c r="C525" s="0" t="s">
        <v>15</v>
      </c>
      <c r="D525" s="0" t="s">
        <v>49</v>
      </c>
      <c r="E525" s="0" t="n">
        <v>11453</v>
      </c>
      <c r="F525" s="0" t="n">
        <v>17</v>
      </c>
      <c r="G525" s="0" t="str">
        <f aca="false">IF(F525&lt;=30,"Current",IF(F525&lt;=60,"31 to 60 days",IF(F525&lt;=90,"61 to 90 days",IF(F525&lt;=120,"91 to 120 days","Over 120 days"))))</f>
        <v>Current</v>
      </c>
      <c r="H525" s="0" t="n">
        <f aca="false">VLOOKUP(D525,Rates!$A$4:$B$7,2,FALSE())</f>
        <v>0.02</v>
      </c>
      <c r="I525" s="0" t="n">
        <f aca="false">VLOOKUP(F525,Rates!$D$4:$E$8,2)</f>
        <v>0.02</v>
      </c>
      <c r="J525" s="0" t="n">
        <f aca="false">ROUND(E525*I525,2)</f>
        <v>229.06</v>
      </c>
      <c r="K525" s="1" t="n">
        <f aca="false">PV(H525/12,F525/30,0,-E525)</f>
        <v>11442.1973795028</v>
      </c>
      <c r="L525" s="0" t="n">
        <f aca="false">ROUND(E525-K525,2)</f>
        <v>10.8</v>
      </c>
      <c r="M525" s="0" t="n">
        <f aca="false">F525/E525</f>
        <v>0.00148432725050205</v>
      </c>
    </row>
    <row r="526" customFormat="false" ht="12.8" hidden="false" customHeight="false" outlineLevel="0" collapsed="false">
      <c r="A526" s="0" t="s">
        <v>830</v>
      </c>
      <c r="B526" s="0" t="s">
        <v>831</v>
      </c>
      <c r="C526" s="0" t="s">
        <v>19</v>
      </c>
      <c r="D526" s="0" t="s">
        <v>16</v>
      </c>
      <c r="E526" s="0" t="n">
        <v>9609.08</v>
      </c>
      <c r="F526" s="0" t="n">
        <v>187</v>
      </c>
      <c r="G526" s="0" t="str">
        <f aca="false">IF(F526&lt;=30,"Current",IF(F526&lt;=60,"31 to 60 days",IF(F526&lt;=90,"61 to 90 days",IF(F526&lt;=120,"91 to 120 days","Over 120 days"))))</f>
        <v>Over 120 days</v>
      </c>
      <c r="H526" s="0" t="n">
        <f aca="false">VLOOKUP(D526,Rates!$A$4:$B$7,2,FALSE())</f>
        <v>0.085</v>
      </c>
      <c r="I526" s="0" t="n">
        <f aca="false">VLOOKUP(F526,Rates!$D$4:$E$8,2)</f>
        <v>0.85</v>
      </c>
      <c r="J526" s="0" t="n">
        <f aca="false">ROUND(E526*I526,2)</f>
        <v>8167.72</v>
      </c>
      <c r="K526" s="1" t="n">
        <f aca="false">PV(H526/12,F526/30,0,-E526)</f>
        <v>9195.47345209016</v>
      </c>
      <c r="L526" s="0" t="n">
        <f aca="false">ROUND(E526-K526,2)</f>
        <v>413.61</v>
      </c>
      <c r="M526" s="0" t="n">
        <f aca="false">F526/E526</f>
        <v>0.0194607600311372</v>
      </c>
    </row>
    <row r="527" customFormat="false" ht="12.8" hidden="false" customHeight="false" outlineLevel="0" collapsed="false">
      <c r="A527" s="0" t="s">
        <v>832</v>
      </c>
      <c r="B527" s="0" t="s">
        <v>833</v>
      </c>
      <c r="C527" s="0" t="s">
        <v>36</v>
      </c>
      <c r="D527" s="0" t="s">
        <v>49</v>
      </c>
      <c r="E527" s="0" t="n">
        <v>44370.82</v>
      </c>
      <c r="F527" s="0" t="n">
        <v>366</v>
      </c>
      <c r="G527" s="0" t="str">
        <f aca="false">IF(F527&lt;=30,"Current",IF(F527&lt;=60,"31 to 60 days",IF(F527&lt;=90,"61 to 90 days",IF(F527&lt;=120,"91 to 120 days","Over 120 days"))))</f>
        <v>Over 120 days</v>
      </c>
      <c r="H527" s="0" t="n">
        <f aca="false">VLOOKUP(D527,Rates!$A$4:$B$7,2,FALSE())</f>
        <v>0.02</v>
      </c>
      <c r="I527" s="0" t="n">
        <f aca="false">VLOOKUP(F527,Rates!$D$4:$E$8,2)</f>
        <v>0.85</v>
      </c>
      <c r="J527" s="0" t="n">
        <f aca="false">ROUND(E527*I527,2)</f>
        <v>37715.2</v>
      </c>
      <c r="K527" s="1" t="n">
        <f aca="false">PV(H527/12,F527/30,0,-E527)</f>
        <v>43478.4598017644</v>
      </c>
      <c r="L527" s="0" t="n">
        <f aca="false">ROUND(E527-K527,2)</f>
        <v>892.36</v>
      </c>
      <c r="M527" s="0" t="n">
        <f aca="false">F527/E527</f>
        <v>0.00824866432488739</v>
      </c>
    </row>
    <row r="528" customFormat="false" ht="12.8" hidden="false" customHeight="false" outlineLevel="0" collapsed="false">
      <c r="A528" s="0" t="s">
        <v>834</v>
      </c>
      <c r="B528" s="0" t="s">
        <v>228</v>
      </c>
      <c r="C528" s="0" t="s">
        <v>36</v>
      </c>
      <c r="D528" s="0" t="s">
        <v>16</v>
      </c>
      <c r="E528" s="0" t="n">
        <v>10565.21</v>
      </c>
      <c r="F528" s="0" t="n">
        <v>182</v>
      </c>
      <c r="G528" s="0" t="str">
        <f aca="false">IF(F528&lt;=30,"Current",IF(F528&lt;=60,"31 to 60 days",IF(F528&lt;=90,"61 to 90 days",IF(F528&lt;=120,"91 to 120 days","Over 120 days"))))</f>
        <v>Over 120 days</v>
      </c>
      <c r="H528" s="0" t="n">
        <f aca="false">VLOOKUP(D528,Rates!$A$4:$B$7,2,FALSE())</f>
        <v>0.085</v>
      </c>
      <c r="I528" s="0" t="n">
        <f aca="false">VLOOKUP(F528,Rates!$D$4:$E$8,2)</f>
        <v>0.85</v>
      </c>
      <c r="J528" s="0" t="n">
        <f aca="false">ROUND(E528*I528,2)</f>
        <v>8980.43</v>
      </c>
      <c r="K528" s="1" t="n">
        <f aca="false">PV(H528/12,F528/30,0,-E528)</f>
        <v>10122.3493284106</v>
      </c>
      <c r="L528" s="0" t="n">
        <f aca="false">ROUND(E528-K528,2)</f>
        <v>442.86</v>
      </c>
      <c r="M528" s="0" t="n">
        <f aca="false">F528/E528</f>
        <v>0.0172263494999153</v>
      </c>
    </row>
    <row r="529" customFormat="false" ht="12.8" hidden="false" customHeight="false" outlineLevel="0" collapsed="false">
      <c r="A529" s="0" t="s">
        <v>835</v>
      </c>
      <c r="B529" s="0" t="s">
        <v>18</v>
      </c>
      <c r="C529" s="0" t="s">
        <v>19</v>
      </c>
      <c r="D529" s="0" t="s">
        <v>20</v>
      </c>
      <c r="E529" s="0" t="n">
        <v>40855.73</v>
      </c>
      <c r="F529" s="0" t="n">
        <v>214</v>
      </c>
      <c r="G529" s="0" t="str">
        <f aca="false">IF(F529&lt;=30,"Current",IF(F529&lt;=60,"31 to 60 days",IF(F529&lt;=90,"61 to 90 days",IF(F529&lt;=120,"91 to 120 days","Over 120 days"))))</f>
        <v>Over 120 days</v>
      </c>
      <c r="H529" s="0" t="n">
        <f aca="false">VLOOKUP(D529,Rates!$A$4:$B$7,2,FALSE())</f>
        <v>0.05</v>
      </c>
      <c r="I529" s="0" t="n">
        <f aca="false">VLOOKUP(F529,Rates!$D$4:$E$8,2)</f>
        <v>0.85</v>
      </c>
      <c r="J529" s="0" t="n">
        <f aca="false">ROUND(E529*I529,2)</f>
        <v>34727.37</v>
      </c>
      <c r="K529" s="1" t="n">
        <f aca="false">PV(H529/12,F529/30,0,-E529)</f>
        <v>39661.7246629732</v>
      </c>
      <c r="L529" s="0" t="n">
        <f aca="false">ROUND(E529-K529,2)</f>
        <v>1194.01</v>
      </c>
      <c r="M529" s="0" t="n">
        <f aca="false">F529/E529</f>
        <v>0.00523794336804164</v>
      </c>
    </row>
    <row r="530" customFormat="false" ht="12.8" hidden="false" customHeight="false" outlineLevel="0" collapsed="false">
      <c r="A530" s="0" t="s">
        <v>836</v>
      </c>
      <c r="B530" s="0" t="s">
        <v>357</v>
      </c>
      <c r="C530" s="0" t="s">
        <v>19</v>
      </c>
      <c r="D530" s="0" t="s">
        <v>23</v>
      </c>
      <c r="E530" s="0" t="n">
        <v>10682.19</v>
      </c>
      <c r="F530" s="0" t="n">
        <v>256</v>
      </c>
      <c r="G530" s="0" t="str">
        <f aca="false">IF(F530&lt;=30,"Current",IF(F530&lt;=60,"31 to 60 days",IF(F530&lt;=90,"61 to 90 days",IF(F530&lt;=120,"91 to 120 days","Over 120 days"))))</f>
        <v>Over 120 days</v>
      </c>
      <c r="H530" s="0" t="n">
        <f aca="false">VLOOKUP(D530,Rates!$A$4:$B$7,2,FALSE())</f>
        <v>0.115</v>
      </c>
      <c r="I530" s="0" t="n">
        <f aca="false">VLOOKUP(F530,Rates!$D$4:$E$8,2)</f>
        <v>0.85</v>
      </c>
      <c r="J530" s="0" t="n">
        <f aca="false">ROUND(E530*I530,2)</f>
        <v>9079.86</v>
      </c>
      <c r="K530" s="1" t="n">
        <f aca="false">PV(H530/12,F530/30,0,-E530)</f>
        <v>9847.22271072097</v>
      </c>
      <c r="L530" s="0" t="n">
        <f aca="false">ROUND(E530-K530,2)</f>
        <v>834.97</v>
      </c>
      <c r="M530" s="0" t="n">
        <f aca="false">F530/E530</f>
        <v>0.0239651232565607</v>
      </c>
    </row>
    <row r="531" customFormat="false" ht="12.8" hidden="false" customHeight="false" outlineLevel="0" collapsed="false">
      <c r="A531" s="0" t="s">
        <v>837</v>
      </c>
      <c r="B531" s="0" t="s">
        <v>97</v>
      </c>
      <c r="C531" s="0" t="s">
        <v>42</v>
      </c>
      <c r="D531" s="0" t="s">
        <v>20</v>
      </c>
      <c r="E531" s="0" t="n">
        <v>3578.42</v>
      </c>
      <c r="F531" s="0" t="n">
        <v>167</v>
      </c>
      <c r="G531" s="0" t="str">
        <f aca="false">IF(F531&lt;=30,"Current",IF(F531&lt;=60,"31 to 60 days",IF(F531&lt;=90,"61 to 90 days",IF(F531&lt;=120,"91 to 120 days","Over 120 days"))))</f>
        <v>Over 120 days</v>
      </c>
      <c r="H531" s="0" t="n">
        <f aca="false">VLOOKUP(D531,Rates!$A$4:$B$7,2,FALSE())</f>
        <v>0.05</v>
      </c>
      <c r="I531" s="0" t="n">
        <f aca="false">VLOOKUP(F531,Rates!$D$4:$E$8,2)</f>
        <v>0.85</v>
      </c>
      <c r="J531" s="0" t="n">
        <f aca="false">ROUND(E531*I531,2)</f>
        <v>3041.66</v>
      </c>
      <c r="K531" s="1" t="n">
        <f aca="false">PV(H531/12,F531/30,0,-E531)</f>
        <v>3496.54418749015</v>
      </c>
      <c r="L531" s="0" t="n">
        <f aca="false">ROUND(E531-K531,2)</f>
        <v>81.88</v>
      </c>
      <c r="M531" s="0" t="n">
        <f aca="false">F531/E531</f>
        <v>0.0466686414674633</v>
      </c>
    </row>
    <row r="532" customFormat="false" ht="12.8" hidden="false" customHeight="false" outlineLevel="0" collapsed="false">
      <c r="A532" s="0" t="s">
        <v>838</v>
      </c>
      <c r="B532" s="0" t="s">
        <v>839</v>
      </c>
      <c r="C532" s="0" t="s">
        <v>31</v>
      </c>
      <c r="D532" s="0" t="s">
        <v>16</v>
      </c>
      <c r="E532" s="0" t="n">
        <v>34528.37</v>
      </c>
      <c r="F532" s="0" t="n">
        <v>178</v>
      </c>
      <c r="G532" s="0" t="str">
        <f aca="false">IF(F532&lt;=30,"Current",IF(F532&lt;=60,"31 to 60 days",IF(F532&lt;=90,"61 to 90 days",IF(F532&lt;=120,"91 to 120 days","Over 120 days"))))</f>
        <v>Over 120 days</v>
      </c>
      <c r="H532" s="0" t="n">
        <f aca="false">VLOOKUP(D532,Rates!$A$4:$B$7,2,FALSE())</f>
        <v>0.085</v>
      </c>
      <c r="I532" s="0" t="n">
        <f aca="false">VLOOKUP(F532,Rates!$D$4:$E$8,2)</f>
        <v>0.85</v>
      </c>
      <c r="J532" s="0" t="n">
        <f aca="false">ROUND(E532*I532,2)</f>
        <v>29349.11</v>
      </c>
      <c r="K532" s="1" t="n">
        <f aca="false">PV(H532/12,F532/30,0,-E532)</f>
        <v>33112.1960876057</v>
      </c>
      <c r="L532" s="0" t="n">
        <f aca="false">ROUND(E532-K532,2)</f>
        <v>1416.17</v>
      </c>
      <c r="M532" s="0" t="n">
        <f aca="false">F532/E532</f>
        <v>0.00515518108732037</v>
      </c>
    </row>
    <row r="533" customFormat="false" ht="12.8" hidden="false" customHeight="false" outlineLevel="0" collapsed="false">
      <c r="A533" s="0" t="s">
        <v>840</v>
      </c>
      <c r="B533" s="0" t="s">
        <v>33</v>
      </c>
      <c r="C533" s="0" t="s">
        <v>26</v>
      </c>
      <c r="D533" s="0" t="s">
        <v>20</v>
      </c>
      <c r="E533" s="0" t="n">
        <v>325.4</v>
      </c>
      <c r="F533" s="0" t="n">
        <v>323</v>
      </c>
      <c r="G533" s="0" t="str">
        <f aca="false">IF(F533&lt;=30,"Current",IF(F533&lt;=60,"31 to 60 days",IF(F533&lt;=90,"61 to 90 days",IF(F533&lt;=120,"91 to 120 days","Over 120 days"))))</f>
        <v>Over 120 days</v>
      </c>
      <c r="H533" s="0" t="n">
        <f aca="false">VLOOKUP(D533,Rates!$A$4:$B$7,2,FALSE())</f>
        <v>0.05</v>
      </c>
      <c r="I533" s="0" t="n">
        <f aca="false">VLOOKUP(F533,Rates!$D$4:$E$8,2)</f>
        <v>0.85</v>
      </c>
      <c r="J533" s="0" t="n">
        <f aca="false">ROUND(E533*I533,2)</f>
        <v>276.59</v>
      </c>
      <c r="K533" s="1" t="n">
        <f aca="false">PV(H533/12,F533/30,0,-E533)</f>
        <v>311.153788119491</v>
      </c>
      <c r="L533" s="0" t="n">
        <f aca="false">ROUND(E533-K533,2)</f>
        <v>14.25</v>
      </c>
      <c r="M533" s="0" t="n">
        <f aca="false">F533/E533</f>
        <v>0.992624462200369</v>
      </c>
    </row>
    <row r="534" customFormat="false" ht="12.8" hidden="false" customHeight="false" outlineLevel="0" collapsed="false">
      <c r="A534" s="0" t="s">
        <v>841</v>
      </c>
      <c r="B534" s="0" t="s">
        <v>198</v>
      </c>
      <c r="C534" s="0" t="s">
        <v>19</v>
      </c>
      <c r="D534" s="0" t="s">
        <v>23</v>
      </c>
      <c r="E534" s="0" t="n">
        <v>23662.69</v>
      </c>
      <c r="F534" s="0" t="n">
        <v>138</v>
      </c>
      <c r="G534" s="0" t="str">
        <f aca="false">IF(F534&lt;=30,"Current",IF(F534&lt;=60,"31 to 60 days",IF(F534&lt;=90,"61 to 90 days",IF(F534&lt;=120,"91 to 120 days","Over 120 days"))))</f>
        <v>Over 120 days</v>
      </c>
      <c r="H534" s="0" t="n">
        <f aca="false">VLOOKUP(D534,Rates!$A$4:$B$7,2,FALSE())</f>
        <v>0.115</v>
      </c>
      <c r="I534" s="0" t="n">
        <f aca="false">VLOOKUP(F534,Rates!$D$4:$E$8,2)</f>
        <v>0.85</v>
      </c>
      <c r="J534" s="0" t="n">
        <f aca="false">ROUND(E534*I534,2)</f>
        <v>20113.29</v>
      </c>
      <c r="K534" s="1" t="n">
        <f aca="false">PV(H534/12,F534/30,0,-E534)</f>
        <v>22646.970845404</v>
      </c>
      <c r="L534" s="0" t="n">
        <f aca="false">ROUND(E534-K534,2)</f>
        <v>1015.72</v>
      </c>
      <c r="M534" s="0" t="n">
        <f aca="false">F534/E534</f>
        <v>0.00583196585003649</v>
      </c>
    </row>
    <row r="535" customFormat="false" ht="12.8" hidden="false" customHeight="false" outlineLevel="0" collapsed="false">
      <c r="A535" s="0" t="s">
        <v>842</v>
      </c>
      <c r="B535" s="0" t="s">
        <v>55</v>
      </c>
      <c r="C535" s="0" t="s">
        <v>26</v>
      </c>
      <c r="D535" s="0" t="s">
        <v>23</v>
      </c>
      <c r="E535" s="0" t="n">
        <v>6626.94</v>
      </c>
      <c r="F535" s="0" t="n">
        <v>61</v>
      </c>
      <c r="G535" s="0" t="str">
        <f aca="false">IF(F535&lt;=30,"Current",IF(F535&lt;=60,"31 to 60 days",IF(F535&lt;=90,"61 to 90 days",IF(F535&lt;=120,"91 to 120 days","Over 120 days"))))</f>
        <v>61 to 90 days</v>
      </c>
      <c r="H535" s="0" t="n">
        <f aca="false">VLOOKUP(D535,Rates!$A$4:$B$7,2,FALSE())</f>
        <v>0.115</v>
      </c>
      <c r="I535" s="0" t="n">
        <f aca="false">VLOOKUP(F535,Rates!$D$4:$E$8,2)</f>
        <v>0.25</v>
      </c>
      <c r="J535" s="0" t="n">
        <f aca="false">ROUND(E535*I535,2)</f>
        <v>1656.74</v>
      </c>
      <c r="K535" s="1" t="n">
        <f aca="false">PV(H535/12,F535/30,0,-E535)</f>
        <v>6499.65973292719</v>
      </c>
      <c r="L535" s="0" t="n">
        <f aca="false">ROUND(E535-K535,2)</f>
        <v>127.28</v>
      </c>
      <c r="M535" s="0" t="n">
        <f aca="false">F535/E535</f>
        <v>0.00920485171134792</v>
      </c>
    </row>
    <row r="536" customFormat="false" ht="12.8" hidden="false" customHeight="false" outlineLevel="0" collapsed="false">
      <c r="A536" s="0" t="s">
        <v>843</v>
      </c>
      <c r="B536" s="0" t="s">
        <v>844</v>
      </c>
      <c r="C536" s="0" t="s">
        <v>26</v>
      </c>
      <c r="D536" s="0" t="s">
        <v>16</v>
      </c>
      <c r="E536" s="0" t="n">
        <v>31570.52</v>
      </c>
      <c r="F536" s="0" t="n">
        <v>208</v>
      </c>
      <c r="G536" s="0" t="str">
        <f aca="false">IF(F536&lt;=30,"Current",IF(F536&lt;=60,"31 to 60 days",IF(F536&lt;=90,"61 to 90 days",IF(F536&lt;=120,"91 to 120 days","Over 120 days"))))</f>
        <v>Over 120 days</v>
      </c>
      <c r="H536" s="0" t="n">
        <f aca="false">VLOOKUP(D536,Rates!$A$4:$B$7,2,FALSE())</f>
        <v>0.085</v>
      </c>
      <c r="I536" s="0" t="n">
        <f aca="false">VLOOKUP(F536,Rates!$D$4:$E$8,2)</f>
        <v>0.85</v>
      </c>
      <c r="J536" s="0" t="n">
        <f aca="false">ROUND(E536*I536,2)</f>
        <v>26834.94</v>
      </c>
      <c r="K536" s="1" t="n">
        <f aca="false">PV(H536/12,F536/30,0,-E536)</f>
        <v>30062.7174414717</v>
      </c>
      <c r="L536" s="0" t="n">
        <f aca="false">ROUND(E536-K536,2)</f>
        <v>1507.8</v>
      </c>
      <c r="M536" s="0" t="n">
        <f aca="false">F536/E536</f>
        <v>0.00658842489765769</v>
      </c>
    </row>
    <row r="537" customFormat="false" ht="12.8" hidden="false" customHeight="false" outlineLevel="0" collapsed="false">
      <c r="A537" s="0" t="s">
        <v>845</v>
      </c>
      <c r="B537" s="0" t="s">
        <v>28</v>
      </c>
      <c r="C537" s="0" t="s">
        <v>15</v>
      </c>
      <c r="D537" s="0" t="s">
        <v>20</v>
      </c>
      <c r="E537" s="0" t="n">
        <v>10104.22</v>
      </c>
      <c r="F537" s="0" t="n">
        <v>80</v>
      </c>
      <c r="G537" s="0" t="str">
        <f aca="false">IF(F537&lt;=30,"Current",IF(F537&lt;=60,"31 to 60 days",IF(F537&lt;=90,"61 to 90 days",IF(F537&lt;=120,"91 to 120 days","Over 120 days"))))</f>
        <v>61 to 90 days</v>
      </c>
      <c r="H537" s="0" t="n">
        <f aca="false">VLOOKUP(D537,Rates!$A$4:$B$7,2,FALSE())</f>
        <v>0.05</v>
      </c>
      <c r="I537" s="0" t="n">
        <f aca="false">VLOOKUP(F537,Rates!$D$4:$E$8,2)</f>
        <v>0.25</v>
      </c>
      <c r="J537" s="0" t="n">
        <f aca="false">ROUND(E537*I537,2)</f>
        <v>2526.06</v>
      </c>
      <c r="K537" s="1" t="n">
        <f aca="false">PV(H537/12,F537/30,0,-E537)</f>
        <v>9992.8029741926</v>
      </c>
      <c r="L537" s="0" t="n">
        <f aca="false">ROUND(E537-K537,2)</f>
        <v>111.42</v>
      </c>
      <c r="M537" s="0" t="n">
        <f aca="false">F537/E537</f>
        <v>0.00791748398194022</v>
      </c>
    </row>
    <row r="538" customFormat="false" ht="12.8" hidden="false" customHeight="false" outlineLevel="0" collapsed="false">
      <c r="A538" s="0" t="s">
        <v>846</v>
      </c>
      <c r="B538" s="0" t="s">
        <v>682</v>
      </c>
      <c r="C538" s="0" t="s">
        <v>19</v>
      </c>
      <c r="D538" s="0" t="s">
        <v>23</v>
      </c>
      <c r="E538" s="0" t="n">
        <v>35999.81</v>
      </c>
      <c r="F538" s="0" t="n">
        <v>137</v>
      </c>
      <c r="G538" s="0" t="str">
        <f aca="false">IF(F538&lt;=30,"Current",IF(F538&lt;=60,"31 to 60 days",IF(F538&lt;=90,"61 to 90 days",IF(F538&lt;=120,"91 to 120 days","Over 120 days"))))</f>
        <v>Over 120 days</v>
      </c>
      <c r="H538" s="0" t="n">
        <f aca="false">VLOOKUP(D538,Rates!$A$4:$B$7,2,FALSE())</f>
        <v>0.115</v>
      </c>
      <c r="I538" s="0" t="n">
        <f aca="false">VLOOKUP(F538,Rates!$D$4:$E$8,2)</f>
        <v>0.85</v>
      </c>
      <c r="J538" s="0" t="n">
        <f aca="false">ROUND(E538*I538,2)</f>
        <v>30599.84</v>
      </c>
      <c r="K538" s="1" t="n">
        <f aca="false">PV(H538/12,F538/30,0,-E538)</f>
        <v>34465.476557716</v>
      </c>
      <c r="L538" s="0" t="n">
        <f aca="false">ROUND(E538-K538,2)</f>
        <v>1534.33</v>
      </c>
      <c r="M538" s="0" t="n">
        <f aca="false">F538/E538</f>
        <v>0.0038055756405381</v>
      </c>
    </row>
    <row r="539" customFormat="false" ht="12.8" hidden="false" customHeight="false" outlineLevel="0" collapsed="false">
      <c r="A539" s="0" t="s">
        <v>847</v>
      </c>
      <c r="B539" s="0" t="s">
        <v>848</v>
      </c>
      <c r="C539" s="0" t="s">
        <v>15</v>
      </c>
      <c r="D539" s="0" t="s">
        <v>49</v>
      </c>
      <c r="E539" s="0" t="n">
        <v>17921.39</v>
      </c>
      <c r="F539" s="0" t="n">
        <v>37</v>
      </c>
      <c r="G539" s="0" t="str">
        <f aca="false">IF(F539&lt;=30,"Current",IF(F539&lt;=60,"31 to 60 days",IF(F539&lt;=90,"61 to 90 days",IF(F539&lt;=120,"91 to 120 days","Over 120 days"))))</f>
        <v>31 to 60 days</v>
      </c>
      <c r="H539" s="0" t="n">
        <f aca="false">VLOOKUP(D539,Rates!$A$4:$B$7,2,FALSE())</f>
        <v>0.02</v>
      </c>
      <c r="I539" s="0" t="n">
        <f aca="false">VLOOKUP(F539,Rates!$D$4:$E$8,2)</f>
        <v>0.1</v>
      </c>
      <c r="J539" s="0" t="n">
        <f aca="false">ROUND(E539*I539,2)</f>
        <v>1792.14</v>
      </c>
      <c r="K539" s="1" t="n">
        <f aca="false">PV(H539/12,F539/30,0,-E539)</f>
        <v>17884.6200246637</v>
      </c>
      <c r="L539" s="0" t="n">
        <f aca="false">ROUND(E539-K539,2)</f>
        <v>36.77</v>
      </c>
      <c r="M539" s="0" t="n">
        <f aca="false">F539/E539</f>
        <v>0.00206457200027453</v>
      </c>
    </row>
    <row r="540" customFormat="false" ht="12.8" hidden="false" customHeight="false" outlineLevel="0" collapsed="false">
      <c r="A540" s="0" t="s">
        <v>849</v>
      </c>
      <c r="B540" s="0" t="s">
        <v>850</v>
      </c>
      <c r="C540" s="0" t="s">
        <v>31</v>
      </c>
      <c r="D540" s="0" t="s">
        <v>49</v>
      </c>
      <c r="E540" s="0" t="n">
        <v>20131.79</v>
      </c>
      <c r="F540" s="0" t="n">
        <v>284</v>
      </c>
      <c r="G540" s="0" t="str">
        <f aca="false">IF(F540&lt;=30,"Current",IF(F540&lt;=60,"31 to 60 days",IF(F540&lt;=90,"61 to 90 days",IF(F540&lt;=120,"91 to 120 days","Over 120 days"))))</f>
        <v>Over 120 days</v>
      </c>
      <c r="H540" s="0" t="n">
        <f aca="false">VLOOKUP(D540,Rates!$A$4:$B$7,2,FALSE())</f>
        <v>0.02</v>
      </c>
      <c r="I540" s="0" t="n">
        <f aca="false">VLOOKUP(F540,Rates!$D$4:$E$8,2)</f>
        <v>0.85</v>
      </c>
      <c r="J540" s="0" t="n">
        <f aca="false">ROUND(E540*I540,2)</f>
        <v>17112.02</v>
      </c>
      <c r="K540" s="1" t="n">
        <f aca="false">PV(H540/12,F540/30,0,-E540)</f>
        <v>19816.9080156407</v>
      </c>
      <c r="L540" s="0" t="n">
        <f aca="false">ROUND(E540-K540,2)</f>
        <v>314.88</v>
      </c>
      <c r="M540" s="0" t="n">
        <f aca="false">F540/E540</f>
        <v>0.0141070416490536</v>
      </c>
    </row>
    <row r="541" customFormat="false" ht="12.8" hidden="false" customHeight="false" outlineLevel="0" collapsed="false">
      <c r="A541" s="0" t="s">
        <v>851</v>
      </c>
      <c r="B541" s="0" t="s">
        <v>852</v>
      </c>
      <c r="C541" s="0" t="s">
        <v>36</v>
      </c>
      <c r="D541" s="0" t="s">
        <v>16</v>
      </c>
      <c r="E541" s="0" t="n">
        <v>31518.23</v>
      </c>
      <c r="F541" s="0" t="n">
        <v>94</v>
      </c>
      <c r="G541" s="0" t="str">
        <f aca="false">IF(F541&lt;=30,"Current",IF(F541&lt;=60,"31 to 60 days",IF(F541&lt;=90,"61 to 90 days",IF(F541&lt;=120,"91 to 120 days","Over 120 days"))))</f>
        <v>91 to 120 days</v>
      </c>
      <c r="H541" s="0" t="n">
        <f aca="false">VLOOKUP(D541,Rates!$A$4:$B$7,2,FALSE())</f>
        <v>0.085</v>
      </c>
      <c r="I541" s="0" t="n">
        <f aca="false">VLOOKUP(F541,Rates!$D$4:$E$8,2)</f>
        <v>0.5</v>
      </c>
      <c r="J541" s="0" t="n">
        <f aca="false">ROUND(E541*I541,2)</f>
        <v>15759.12</v>
      </c>
      <c r="K541" s="1" t="n">
        <f aca="false">PV(H541/12,F541/30,0,-E541)</f>
        <v>30828.8179493206</v>
      </c>
      <c r="L541" s="0" t="n">
        <f aca="false">ROUND(E541-K541,2)</f>
        <v>689.41</v>
      </c>
      <c r="M541" s="0" t="n">
        <f aca="false">F541/E541</f>
        <v>0.00298240097873516</v>
      </c>
    </row>
    <row r="542" customFormat="false" ht="12.8" hidden="false" customHeight="false" outlineLevel="0" collapsed="false">
      <c r="A542" s="0" t="s">
        <v>853</v>
      </c>
      <c r="B542" s="0" t="s">
        <v>30</v>
      </c>
      <c r="C542" s="0" t="s">
        <v>31</v>
      </c>
      <c r="D542" s="0" t="s">
        <v>20</v>
      </c>
      <c r="E542" s="0" t="n">
        <v>43833.13</v>
      </c>
      <c r="F542" s="0" t="n">
        <v>138</v>
      </c>
      <c r="G542" s="0" t="str">
        <f aca="false">IF(F542&lt;=30,"Current",IF(F542&lt;=60,"31 to 60 days",IF(F542&lt;=90,"61 to 90 days",IF(F542&lt;=120,"91 to 120 days","Over 120 days"))))</f>
        <v>Over 120 days</v>
      </c>
      <c r="H542" s="0" t="n">
        <f aca="false">VLOOKUP(D542,Rates!$A$4:$B$7,2,FALSE())</f>
        <v>0.05</v>
      </c>
      <c r="I542" s="0" t="n">
        <f aca="false">VLOOKUP(F542,Rates!$D$4:$E$8,2)</f>
        <v>0.85</v>
      </c>
      <c r="J542" s="0" t="n">
        <f aca="false">ROUND(E542*I542,2)</f>
        <v>37258.16</v>
      </c>
      <c r="K542" s="1" t="n">
        <f aca="false">PV(H542/12,F542/30,0,-E542)</f>
        <v>43002.7074416972</v>
      </c>
      <c r="L542" s="0" t="n">
        <f aca="false">ROUND(E542-K542,2)</f>
        <v>830.42</v>
      </c>
      <c r="M542" s="0" t="n">
        <f aca="false">F542/E542</f>
        <v>0.003148303577682</v>
      </c>
    </row>
    <row r="543" customFormat="false" ht="12.8" hidden="false" customHeight="false" outlineLevel="0" collapsed="false">
      <c r="A543" s="0" t="s">
        <v>854</v>
      </c>
      <c r="B543" s="0" t="s">
        <v>855</v>
      </c>
      <c r="C543" s="0" t="s">
        <v>15</v>
      </c>
      <c r="D543" s="0" t="s">
        <v>49</v>
      </c>
      <c r="E543" s="0" t="n">
        <v>8682.73</v>
      </c>
      <c r="F543" s="0" t="n">
        <v>358</v>
      </c>
      <c r="G543" s="0" t="str">
        <f aca="false">IF(F543&lt;=30,"Current",IF(F543&lt;=60,"31 to 60 days",IF(F543&lt;=90,"61 to 90 days",IF(F543&lt;=120,"91 to 120 days","Over 120 days"))))</f>
        <v>Over 120 days</v>
      </c>
      <c r="H543" s="0" t="n">
        <f aca="false">VLOOKUP(D543,Rates!$A$4:$B$7,2,FALSE())</f>
        <v>0.02</v>
      </c>
      <c r="I543" s="0" t="n">
        <f aca="false">VLOOKUP(F543,Rates!$D$4:$E$8,2)</f>
        <v>0.85</v>
      </c>
      <c r="J543" s="0" t="n">
        <f aca="false">ROUND(E543*I543,2)</f>
        <v>7380.32</v>
      </c>
      <c r="K543" s="1" t="n">
        <f aca="false">PV(H543/12,F543/30,0,-E543)</f>
        <v>8511.88704263406</v>
      </c>
      <c r="L543" s="0" t="n">
        <f aca="false">ROUND(E543-K543,2)</f>
        <v>170.84</v>
      </c>
      <c r="M543" s="0" t="n">
        <f aca="false">F543/E543</f>
        <v>0.0412312717313564</v>
      </c>
    </row>
    <row r="544" customFormat="false" ht="12.8" hidden="false" customHeight="false" outlineLevel="0" collapsed="false">
      <c r="A544" s="0" t="s">
        <v>856</v>
      </c>
      <c r="B544" s="0" t="s">
        <v>857</v>
      </c>
      <c r="C544" s="0" t="s">
        <v>26</v>
      </c>
      <c r="D544" s="0" t="s">
        <v>16</v>
      </c>
      <c r="E544" s="0" t="n">
        <v>44148.58</v>
      </c>
      <c r="F544" s="0" t="n">
        <v>214</v>
      </c>
      <c r="G544" s="0" t="str">
        <f aca="false">IF(F544&lt;=30,"Current",IF(F544&lt;=60,"31 to 60 days",IF(F544&lt;=90,"61 to 90 days",IF(F544&lt;=120,"91 to 120 days","Over 120 days"))))</f>
        <v>Over 120 days</v>
      </c>
      <c r="H544" s="0" t="n">
        <f aca="false">VLOOKUP(D544,Rates!$A$4:$B$7,2,FALSE())</f>
        <v>0.085</v>
      </c>
      <c r="I544" s="0" t="n">
        <f aca="false">VLOOKUP(F544,Rates!$D$4:$E$8,2)</f>
        <v>0.85</v>
      </c>
      <c r="J544" s="0" t="n">
        <f aca="false">ROUND(E544*I544,2)</f>
        <v>37526.29</v>
      </c>
      <c r="K544" s="1" t="n">
        <f aca="false">PV(H544/12,F544/30,0,-E544)</f>
        <v>41980.7465469993</v>
      </c>
      <c r="L544" s="0" t="n">
        <f aca="false">ROUND(E544-K544,2)</f>
        <v>2167.83</v>
      </c>
      <c r="M544" s="0" t="n">
        <f aca="false">F544/E544</f>
        <v>0.00484726802085141</v>
      </c>
    </row>
    <row r="545" customFormat="false" ht="12.8" hidden="false" customHeight="false" outlineLevel="0" collapsed="false">
      <c r="A545" s="0" t="s">
        <v>858</v>
      </c>
      <c r="B545" s="0" t="s">
        <v>859</v>
      </c>
      <c r="C545" s="0" t="s">
        <v>26</v>
      </c>
      <c r="D545" s="0" t="s">
        <v>49</v>
      </c>
      <c r="E545" s="0" t="n">
        <v>15160.42</v>
      </c>
      <c r="F545" s="0" t="n">
        <v>152</v>
      </c>
      <c r="G545" s="0" t="str">
        <f aca="false">IF(F545&lt;=30,"Current",IF(F545&lt;=60,"31 to 60 days",IF(F545&lt;=90,"61 to 90 days",IF(F545&lt;=120,"91 to 120 days","Over 120 days"))))</f>
        <v>Over 120 days</v>
      </c>
      <c r="H545" s="0" t="n">
        <f aca="false">VLOOKUP(D545,Rates!$A$4:$B$7,2,FALSE())</f>
        <v>0.02</v>
      </c>
      <c r="I545" s="0" t="n">
        <f aca="false">VLOOKUP(F545,Rates!$D$4:$E$8,2)</f>
        <v>0.85</v>
      </c>
      <c r="J545" s="0" t="n">
        <f aca="false">ROUND(E545*I545,2)</f>
        <v>12886.36</v>
      </c>
      <c r="K545" s="1" t="n">
        <f aca="false">PV(H545/12,F545/30,0,-E545)</f>
        <v>15033.0433620547</v>
      </c>
      <c r="L545" s="0" t="n">
        <f aca="false">ROUND(E545-K545,2)</f>
        <v>127.38</v>
      </c>
      <c r="M545" s="0" t="n">
        <f aca="false">F545/E545</f>
        <v>0.0100261074561259</v>
      </c>
    </row>
    <row r="546" customFormat="false" ht="12.8" hidden="false" customHeight="false" outlineLevel="0" collapsed="false">
      <c r="A546" s="0" t="s">
        <v>860</v>
      </c>
      <c r="B546" s="0" t="s">
        <v>194</v>
      </c>
      <c r="C546" s="0" t="s">
        <v>15</v>
      </c>
      <c r="D546" s="0" t="s">
        <v>23</v>
      </c>
      <c r="E546" s="0" t="n">
        <v>44037.34</v>
      </c>
      <c r="F546" s="0" t="n">
        <v>196</v>
      </c>
      <c r="G546" s="0" t="str">
        <f aca="false">IF(F546&lt;=30,"Current",IF(F546&lt;=60,"31 to 60 days",IF(F546&lt;=90,"61 to 90 days",IF(F546&lt;=120,"91 to 120 days","Over 120 days"))))</f>
        <v>Over 120 days</v>
      </c>
      <c r="H546" s="0" t="n">
        <f aca="false">VLOOKUP(D546,Rates!$A$4:$B$7,2,FALSE())</f>
        <v>0.115</v>
      </c>
      <c r="I546" s="0" t="n">
        <f aca="false">VLOOKUP(F546,Rates!$D$4:$E$8,2)</f>
        <v>0.85</v>
      </c>
      <c r="J546" s="0" t="n">
        <f aca="false">ROUND(E546*I546,2)</f>
        <v>37431.74</v>
      </c>
      <c r="K546" s="1" t="n">
        <f aca="false">PV(H546/12,F546/30,0,-E546)</f>
        <v>41376.9891133092</v>
      </c>
      <c r="L546" s="0" t="n">
        <f aca="false">ROUND(E546-K546,2)</f>
        <v>2660.35</v>
      </c>
      <c r="M546" s="0" t="n">
        <f aca="false">F546/E546</f>
        <v>0.00445076837065999</v>
      </c>
    </row>
    <row r="547" customFormat="false" ht="12.8" hidden="false" customHeight="false" outlineLevel="0" collapsed="false">
      <c r="A547" s="0" t="s">
        <v>861</v>
      </c>
      <c r="B547" s="0" t="s">
        <v>862</v>
      </c>
      <c r="C547" s="0" t="s">
        <v>36</v>
      </c>
      <c r="D547" s="0" t="s">
        <v>16</v>
      </c>
      <c r="E547" s="0" t="n">
        <v>17239.81</v>
      </c>
      <c r="F547" s="0" t="n">
        <v>357</v>
      </c>
      <c r="G547" s="0" t="str">
        <f aca="false">IF(F547&lt;=30,"Current",IF(F547&lt;=60,"31 to 60 days",IF(F547&lt;=90,"61 to 90 days",IF(F547&lt;=120,"91 to 120 days","Over 120 days"))))</f>
        <v>Over 120 days</v>
      </c>
      <c r="H547" s="0" t="n">
        <f aca="false">VLOOKUP(D547,Rates!$A$4:$B$7,2,FALSE())</f>
        <v>0.085</v>
      </c>
      <c r="I547" s="0" t="n">
        <f aca="false">VLOOKUP(F547,Rates!$D$4:$E$8,2)</f>
        <v>0.85</v>
      </c>
      <c r="J547" s="0" t="n">
        <f aca="false">ROUND(E547*I547,2)</f>
        <v>14653.84</v>
      </c>
      <c r="K547" s="1" t="n">
        <f aca="false">PV(H547/12,F547/30,0,-E547)</f>
        <v>15850.9067726935</v>
      </c>
      <c r="L547" s="0" t="n">
        <f aca="false">ROUND(E547-K547,2)</f>
        <v>1388.9</v>
      </c>
      <c r="M547" s="0" t="n">
        <f aca="false">F547/E547</f>
        <v>0.0207078848316774</v>
      </c>
    </row>
    <row r="548" customFormat="false" ht="12.8" hidden="false" customHeight="false" outlineLevel="0" collapsed="false">
      <c r="A548" s="0" t="s">
        <v>863</v>
      </c>
      <c r="B548" s="0" t="s">
        <v>864</v>
      </c>
      <c r="C548" s="0" t="s">
        <v>36</v>
      </c>
      <c r="D548" s="0" t="s">
        <v>16</v>
      </c>
      <c r="E548" s="0" t="n">
        <v>579.18</v>
      </c>
      <c r="F548" s="0" t="n">
        <v>353</v>
      </c>
      <c r="G548" s="0" t="str">
        <f aca="false">IF(F548&lt;=30,"Current",IF(F548&lt;=60,"31 to 60 days",IF(F548&lt;=90,"61 to 90 days",IF(F548&lt;=120,"91 to 120 days","Over 120 days"))))</f>
        <v>Over 120 days</v>
      </c>
      <c r="H548" s="0" t="n">
        <f aca="false">VLOOKUP(D548,Rates!$A$4:$B$7,2,FALSE())</f>
        <v>0.085</v>
      </c>
      <c r="I548" s="0" t="n">
        <f aca="false">VLOOKUP(F548,Rates!$D$4:$E$8,2)</f>
        <v>0.85</v>
      </c>
      <c r="J548" s="0" t="n">
        <f aca="false">ROUND(E548*I548,2)</f>
        <v>492.3</v>
      </c>
      <c r="K548" s="1" t="n">
        <f aca="false">PV(H548/12,F548/30,0,-E548)</f>
        <v>533.020502345441</v>
      </c>
      <c r="L548" s="0" t="n">
        <f aca="false">ROUND(E548-K548,2)</f>
        <v>46.16</v>
      </c>
      <c r="M548" s="0" t="n">
        <f aca="false">F548/E548</f>
        <v>0.609482371628855</v>
      </c>
    </row>
    <row r="549" customFormat="false" ht="12.8" hidden="false" customHeight="false" outlineLevel="0" collapsed="false">
      <c r="A549" s="0" t="s">
        <v>865</v>
      </c>
      <c r="B549" s="0" t="s">
        <v>866</v>
      </c>
      <c r="C549" s="0" t="s">
        <v>26</v>
      </c>
      <c r="D549" s="0" t="s">
        <v>16</v>
      </c>
      <c r="E549" s="0" t="n">
        <v>38503.38</v>
      </c>
      <c r="F549" s="0" t="n">
        <v>226</v>
      </c>
      <c r="G549" s="0" t="str">
        <f aca="false">IF(F549&lt;=30,"Current",IF(F549&lt;=60,"31 to 60 days",IF(F549&lt;=90,"61 to 90 days",IF(F549&lt;=120,"91 to 120 days","Over 120 days"))))</f>
        <v>Over 120 days</v>
      </c>
      <c r="H549" s="0" t="n">
        <f aca="false">VLOOKUP(D549,Rates!$A$4:$B$7,2,FALSE())</f>
        <v>0.085</v>
      </c>
      <c r="I549" s="0" t="n">
        <f aca="false">VLOOKUP(F549,Rates!$D$4:$E$8,2)</f>
        <v>0.85</v>
      </c>
      <c r="J549" s="0" t="n">
        <f aca="false">ROUND(E549*I549,2)</f>
        <v>32727.87</v>
      </c>
      <c r="K549" s="1" t="n">
        <f aca="false">PV(H549/12,F549/30,0,-E549)</f>
        <v>36509.518889446</v>
      </c>
      <c r="L549" s="0" t="n">
        <f aca="false">ROUND(E549-K549,2)</f>
        <v>1993.86</v>
      </c>
      <c r="M549" s="0" t="n">
        <f aca="false">F549/E549</f>
        <v>0.00586961456370843</v>
      </c>
    </row>
    <row r="550" customFormat="false" ht="12.8" hidden="false" customHeight="false" outlineLevel="0" collapsed="false">
      <c r="A550" s="0" t="s">
        <v>867</v>
      </c>
      <c r="B550" s="0" t="s">
        <v>868</v>
      </c>
      <c r="C550" s="0" t="s">
        <v>42</v>
      </c>
      <c r="D550" s="0" t="s">
        <v>16</v>
      </c>
      <c r="E550" s="0" t="n">
        <v>14615.8</v>
      </c>
      <c r="F550" s="0" t="n">
        <v>148</v>
      </c>
      <c r="G550" s="0" t="str">
        <f aca="false">IF(F550&lt;=30,"Current",IF(F550&lt;=60,"31 to 60 days",IF(F550&lt;=90,"61 to 90 days",IF(F550&lt;=120,"91 to 120 days","Over 120 days"))))</f>
        <v>Over 120 days</v>
      </c>
      <c r="H550" s="0" t="n">
        <f aca="false">VLOOKUP(D550,Rates!$A$4:$B$7,2,FALSE())</f>
        <v>0.085</v>
      </c>
      <c r="I550" s="0" t="n">
        <f aca="false">VLOOKUP(F550,Rates!$D$4:$E$8,2)</f>
        <v>0.85</v>
      </c>
      <c r="J550" s="0" t="n">
        <f aca="false">ROUND(E550*I550,2)</f>
        <v>12423.43</v>
      </c>
      <c r="K550" s="1" t="n">
        <f aca="false">PV(H550/12,F550/30,0,-E550)</f>
        <v>14115.6183836432</v>
      </c>
      <c r="L550" s="0" t="n">
        <f aca="false">ROUND(E550-K550,2)</f>
        <v>500.18</v>
      </c>
      <c r="M550" s="0" t="n">
        <f aca="false">F550/E550</f>
        <v>0.010126027997099</v>
      </c>
    </row>
    <row r="551" customFormat="false" ht="12.8" hidden="false" customHeight="false" outlineLevel="0" collapsed="false">
      <c r="A551" s="0" t="s">
        <v>869</v>
      </c>
      <c r="B551" s="0" t="s">
        <v>606</v>
      </c>
      <c r="C551" s="0" t="s">
        <v>19</v>
      </c>
      <c r="D551" s="0" t="s">
        <v>23</v>
      </c>
      <c r="E551" s="0" t="n">
        <v>10413.8</v>
      </c>
      <c r="F551" s="0" t="n">
        <v>71</v>
      </c>
      <c r="G551" s="0" t="str">
        <f aca="false">IF(F551&lt;=30,"Current",IF(F551&lt;=60,"31 to 60 days",IF(F551&lt;=90,"61 to 90 days",IF(F551&lt;=120,"91 to 120 days","Over 120 days"))))</f>
        <v>61 to 90 days</v>
      </c>
      <c r="H551" s="0" t="n">
        <f aca="false">VLOOKUP(D551,Rates!$A$4:$B$7,2,FALSE())</f>
        <v>0.115</v>
      </c>
      <c r="I551" s="0" t="n">
        <f aca="false">VLOOKUP(F551,Rates!$D$4:$E$8,2)</f>
        <v>0.25</v>
      </c>
      <c r="J551" s="0" t="n">
        <f aca="false">ROUND(E551*I551,2)</f>
        <v>2603.45</v>
      </c>
      <c r="K551" s="1" t="n">
        <f aca="false">PV(H551/12,F551/30,0,-E551)</f>
        <v>10181.3669730646</v>
      </c>
      <c r="L551" s="0" t="n">
        <f aca="false">ROUND(E551-K551,2)</f>
        <v>232.43</v>
      </c>
      <c r="M551" s="0" t="n">
        <f aca="false">F551/E551</f>
        <v>0.00681787627955213</v>
      </c>
    </row>
    <row r="552" customFormat="false" ht="12.8" hidden="false" customHeight="false" outlineLevel="0" collapsed="false">
      <c r="A552" s="0" t="s">
        <v>870</v>
      </c>
      <c r="B552" s="0" t="s">
        <v>30</v>
      </c>
      <c r="C552" s="0" t="s">
        <v>31</v>
      </c>
      <c r="D552" s="0" t="s">
        <v>20</v>
      </c>
      <c r="E552" s="0" t="n">
        <v>4984.7</v>
      </c>
      <c r="F552" s="0" t="n">
        <v>220</v>
      </c>
      <c r="G552" s="0" t="str">
        <f aca="false">IF(F552&lt;=30,"Current",IF(F552&lt;=60,"31 to 60 days",IF(F552&lt;=90,"61 to 90 days",IF(F552&lt;=120,"91 to 120 days","Over 120 days"))))</f>
        <v>Over 120 days</v>
      </c>
      <c r="H552" s="0" t="n">
        <f aca="false">VLOOKUP(D552,Rates!$A$4:$B$7,2,FALSE())</f>
        <v>0.05</v>
      </c>
      <c r="I552" s="0" t="n">
        <f aca="false">VLOOKUP(F552,Rates!$D$4:$E$8,2)</f>
        <v>0.85</v>
      </c>
      <c r="J552" s="0" t="n">
        <f aca="false">ROUND(E552*I552,2)</f>
        <v>4237</v>
      </c>
      <c r="K552" s="1" t="n">
        <f aca="false">PV(H552/12,F552/30,0,-E552)</f>
        <v>4835.00008573646</v>
      </c>
      <c r="L552" s="0" t="n">
        <f aca="false">ROUND(E552-K552,2)</f>
        <v>149.7</v>
      </c>
      <c r="M552" s="0" t="n">
        <f aca="false">F552/E552</f>
        <v>0.0441350532629847</v>
      </c>
    </row>
    <row r="553" customFormat="false" ht="12.8" hidden="false" customHeight="false" outlineLevel="0" collapsed="false">
      <c r="A553" s="0" t="s">
        <v>871</v>
      </c>
      <c r="B553" s="0" t="s">
        <v>872</v>
      </c>
      <c r="C553" s="0" t="s">
        <v>31</v>
      </c>
      <c r="D553" s="0" t="s">
        <v>49</v>
      </c>
      <c r="E553" s="0" t="n">
        <v>24249</v>
      </c>
      <c r="F553" s="0" t="n">
        <v>167</v>
      </c>
      <c r="G553" s="0" t="str">
        <f aca="false">IF(F553&lt;=30,"Current",IF(F553&lt;=60,"31 to 60 days",IF(F553&lt;=90,"61 to 90 days",IF(F553&lt;=120,"91 to 120 days","Over 120 days"))))</f>
        <v>Over 120 days</v>
      </c>
      <c r="H553" s="0" t="n">
        <f aca="false">VLOOKUP(D553,Rates!$A$4:$B$7,2,FALSE())</f>
        <v>0.02</v>
      </c>
      <c r="I553" s="0" t="n">
        <f aca="false">VLOOKUP(F553,Rates!$D$4:$E$8,2)</f>
        <v>0.85</v>
      </c>
      <c r="J553" s="0" t="n">
        <f aca="false">ROUND(E553*I553,2)</f>
        <v>20611.65</v>
      </c>
      <c r="K553" s="1" t="n">
        <f aca="false">PV(H553/12,F553/30,0,-E553)</f>
        <v>24025.2491330304</v>
      </c>
      <c r="L553" s="0" t="n">
        <f aca="false">ROUND(E553-K553,2)</f>
        <v>223.75</v>
      </c>
      <c r="M553" s="0" t="n">
        <f aca="false">F553/E553</f>
        <v>0.0068868819332756</v>
      </c>
    </row>
    <row r="554" customFormat="false" ht="12.8" hidden="false" customHeight="false" outlineLevel="0" collapsed="false">
      <c r="A554" s="0" t="s">
        <v>873</v>
      </c>
      <c r="B554" s="0" t="s">
        <v>874</v>
      </c>
      <c r="C554" s="0" t="s">
        <v>31</v>
      </c>
      <c r="D554" s="0" t="s">
        <v>16</v>
      </c>
      <c r="E554" s="0" t="n">
        <v>29457.16</v>
      </c>
      <c r="F554" s="0" t="n">
        <v>331</v>
      </c>
      <c r="G554" s="0" t="str">
        <f aca="false">IF(F554&lt;=30,"Current",IF(F554&lt;=60,"31 to 60 days",IF(F554&lt;=90,"61 to 90 days",IF(F554&lt;=120,"91 to 120 days","Over 120 days"))))</f>
        <v>Over 120 days</v>
      </c>
      <c r="H554" s="0" t="n">
        <f aca="false">VLOOKUP(D554,Rates!$A$4:$B$7,2,FALSE())</f>
        <v>0.085</v>
      </c>
      <c r="I554" s="0" t="n">
        <f aca="false">VLOOKUP(F554,Rates!$D$4:$E$8,2)</f>
        <v>0.85</v>
      </c>
      <c r="J554" s="0" t="n">
        <f aca="false">ROUND(E554*I554,2)</f>
        <v>25038.59</v>
      </c>
      <c r="K554" s="1" t="n">
        <f aca="false">PV(H554/12,F554/30,0,-E554)</f>
        <v>27250.1688557812</v>
      </c>
      <c r="L554" s="0" t="n">
        <f aca="false">ROUND(E554-K554,2)</f>
        <v>2206.99</v>
      </c>
      <c r="M554" s="0" t="n">
        <f aca="false">F554/E554</f>
        <v>0.0112366568942831</v>
      </c>
    </row>
    <row r="555" customFormat="false" ht="12.8" hidden="false" customHeight="false" outlineLevel="0" collapsed="false">
      <c r="A555" s="0" t="s">
        <v>875</v>
      </c>
      <c r="B555" s="0" t="s">
        <v>28</v>
      </c>
      <c r="C555" s="0" t="s">
        <v>15</v>
      </c>
      <c r="D555" s="0" t="s">
        <v>20</v>
      </c>
      <c r="E555" s="0" t="n">
        <v>34569.8</v>
      </c>
      <c r="F555" s="0" t="n">
        <v>92</v>
      </c>
      <c r="G555" s="0" t="str">
        <f aca="false">IF(F555&lt;=30,"Current",IF(F555&lt;=60,"31 to 60 days",IF(F555&lt;=90,"61 to 90 days",IF(F555&lt;=120,"91 to 120 days","Over 120 days"))))</f>
        <v>91 to 120 days</v>
      </c>
      <c r="H555" s="0" t="n">
        <f aca="false">VLOOKUP(D555,Rates!$A$4:$B$7,2,FALSE())</f>
        <v>0.05</v>
      </c>
      <c r="I555" s="0" t="n">
        <f aca="false">VLOOKUP(F555,Rates!$D$4:$E$8,2)</f>
        <v>0.5</v>
      </c>
      <c r="J555" s="0" t="n">
        <f aca="false">ROUND(E555*I555,2)</f>
        <v>17284.9</v>
      </c>
      <c r="K555" s="1" t="n">
        <f aca="false">PV(H555/12,F555/30,0,-E555)</f>
        <v>34131.791002105</v>
      </c>
      <c r="L555" s="0" t="n">
        <f aca="false">ROUND(E555-K555,2)</f>
        <v>438.01</v>
      </c>
      <c r="M555" s="0" t="n">
        <f aca="false">F555/E555</f>
        <v>0.00266128239098867</v>
      </c>
    </row>
    <row r="556" customFormat="false" ht="12.8" hidden="false" customHeight="false" outlineLevel="0" collapsed="false">
      <c r="A556" s="0" t="s">
        <v>876</v>
      </c>
      <c r="B556" s="0" t="s">
        <v>877</v>
      </c>
      <c r="C556" s="0" t="s">
        <v>42</v>
      </c>
      <c r="D556" s="0" t="s">
        <v>49</v>
      </c>
      <c r="E556" s="0" t="n">
        <v>27895.01</v>
      </c>
      <c r="F556" s="0" t="n">
        <v>135</v>
      </c>
      <c r="G556" s="0" t="str">
        <f aca="false">IF(F556&lt;=30,"Current",IF(F556&lt;=60,"31 to 60 days",IF(F556&lt;=90,"61 to 90 days",IF(F556&lt;=120,"91 to 120 days","Over 120 days"))))</f>
        <v>Over 120 days</v>
      </c>
      <c r="H556" s="0" t="n">
        <f aca="false">VLOOKUP(D556,Rates!$A$4:$B$7,2,FALSE())</f>
        <v>0.02</v>
      </c>
      <c r="I556" s="0" t="n">
        <f aca="false">VLOOKUP(F556,Rates!$D$4:$E$8,2)</f>
        <v>0.85</v>
      </c>
      <c r="J556" s="0" t="n">
        <f aca="false">ROUND(E556*I556,2)</f>
        <v>23710.76</v>
      </c>
      <c r="K556" s="1" t="n">
        <f aca="false">PV(H556/12,F556/30,0,-E556)</f>
        <v>27686.7528640972</v>
      </c>
      <c r="L556" s="0" t="n">
        <f aca="false">ROUND(E556-K556,2)</f>
        <v>208.26</v>
      </c>
      <c r="M556" s="0" t="n">
        <f aca="false">F556/E556</f>
        <v>0.00483957525019708</v>
      </c>
    </row>
    <row r="557" customFormat="false" ht="12.8" hidden="false" customHeight="false" outlineLevel="0" collapsed="false">
      <c r="A557" s="0" t="s">
        <v>878</v>
      </c>
      <c r="B557" s="0" t="s">
        <v>91</v>
      </c>
      <c r="C557" s="0" t="s">
        <v>26</v>
      </c>
      <c r="D557" s="0" t="s">
        <v>16</v>
      </c>
      <c r="E557" s="0" t="n">
        <v>31069.68</v>
      </c>
      <c r="F557" s="0" t="n">
        <v>235</v>
      </c>
      <c r="G557" s="0" t="str">
        <f aca="false">IF(F557&lt;=30,"Current",IF(F557&lt;=60,"31 to 60 days",IF(F557&lt;=90,"61 to 90 days",IF(F557&lt;=120,"91 to 120 days","Over 120 days"))))</f>
        <v>Over 120 days</v>
      </c>
      <c r="H557" s="0" t="n">
        <f aca="false">VLOOKUP(D557,Rates!$A$4:$B$7,2,FALSE())</f>
        <v>0.085</v>
      </c>
      <c r="I557" s="0" t="n">
        <f aca="false">VLOOKUP(F557,Rates!$D$4:$E$8,2)</f>
        <v>0.85</v>
      </c>
      <c r="J557" s="0" t="n">
        <f aca="false">ROUND(E557*I557,2)</f>
        <v>26409.23</v>
      </c>
      <c r="K557" s="1" t="n">
        <f aca="false">PV(H557/12,F557/30,0,-E557)</f>
        <v>29398.4485677983</v>
      </c>
      <c r="L557" s="0" t="n">
        <f aca="false">ROUND(E557-K557,2)</f>
        <v>1671.23</v>
      </c>
      <c r="M557" s="0" t="n">
        <f aca="false">F557/E557</f>
        <v>0.00756364404139341</v>
      </c>
    </row>
    <row r="558" customFormat="false" ht="12.8" hidden="false" customHeight="false" outlineLevel="0" collapsed="false">
      <c r="A558" s="0" t="s">
        <v>879</v>
      </c>
      <c r="B558" s="0" t="s">
        <v>186</v>
      </c>
      <c r="C558" s="0" t="s">
        <v>31</v>
      </c>
      <c r="D558" s="0" t="s">
        <v>23</v>
      </c>
      <c r="E558" s="0" t="n">
        <v>32913.16</v>
      </c>
      <c r="F558" s="0" t="n">
        <v>337</v>
      </c>
      <c r="G558" s="0" t="str">
        <f aca="false">IF(F558&lt;=30,"Current",IF(F558&lt;=60,"31 to 60 days",IF(F558&lt;=90,"61 to 90 days",IF(F558&lt;=120,"91 to 120 days","Over 120 days"))))</f>
        <v>Over 120 days</v>
      </c>
      <c r="H558" s="0" t="n">
        <f aca="false">VLOOKUP(D558,Rates!$A$4:$B$7,2,FALSE())</f>
        <v>0.115</v>
      </c>
      <c r="I558" s="0" t="n">
        <f aca="false">VLOOKUP(F558,Rates!$D$4:$E$8,2)</f>
        <v>0.85</v>
      </c>
      <c r="J558" s="0" t="n">
        <f aca="false">ROUND(E558*I558,2)</f>
        <v>27976.19</v>
      </c>
      <c r="K558" s="1" t="n">
        <f aca="false">PV(H558/12,F558/30,0,-E558)</f>
        <v>29569.1729464761</v>
      </c>
      <c r="L558" s="0" t="n">
        <f aca="false">ROUND(E558-K558,2)</f>
        <v>3343.99</v>
      </c>
      <c r="M558" s="0" t="n">
        <f aca="false">F558/E558</f>
        <v>0.0102390654680377</v>
      </c>
    </row>
    <row r="559" customFormat="false" ht="12.8" hidden="false" customHeight="false" outlineLevel="0" collapsed="false">
      <c r="A559" s="0" t="s">
        <v>880</v>
      </c>
      <c r="B559" s="0" t="s">
        <v>30</v>
      </c>
      <c r="C559" s="0" t="s">
        <v>31</v>
      </c>
      <c r="D559" s="0" t="s">
        <v>20</v>
      </c>
      <c r="E559" s="0" t="n">
        <v>14151.29</v>
      </c>
      <c r="F559" s="0" t="n">
        <v>181</v>
      </c>
      <c r="G559" s="0" t="str">
        <f aca="false">IF(F559&lt;=30,"Current",IF(F559&lt;=60,"31 to 60 days",IF(F559&lt;=90,"61 to 90 days",IF(F559&lt;=120,"91 to 120 days","Over 120 days"))))</f>
        <v>Over 120 days</v>
      </c>
      <c r="H559" s="0" t="n">
        <f aca="false">VLOOKUP(D559,Rates!$A$4:$B$7,2,FALSE())</f>
        <v>0.05</v>
      </c>
      <c r="I559" s="0" t="n">
        <f aca="false">VLOOKUP(F559,Rates!$D$4:$E$8,2)</f>
        <v>0.85</v>
      </c>
      <c r="J559" s="0" t="n">
        <f aca="false">ROUND(E559*I559,2)</f>
        <v>12028.6</v>
      </c>
      <c r="K559" s="1" t="n">
        <f aca="false">PV(H559/12,F559/30,0,-E559)</f>
        <v>13800.6973677507</v>
      </c>
      <c r="L559" s="0" t="n">
        <f aca="false">ROUND(E559-K559,2)</f>
        <v>350.59</v>
      </c>
      <c r="M559" s="0" t="n">
        <f aca="false">F559/E559</f>
        <v>0.0127903533882777</v>
      </c>
    </row>
    <row r="560" customFormat="false" ht="12.8" hidden="false" customHeight="false" outlineLevel="0" collapsed="false">
      <c r="A560" s="0" t="s">
        <v>881</v>
      </c>
      <c r="B560" s="0" t="s">
        <v>97</v>
      </c>
      <c r="C560" s="0" t="s">
        <v>42</v>
      </c>
      <c r="D560" s="0" t="s">
        <v>20</v>
      </c>
      <c r="E560" s="0" t="n">
        <v>26640.23</v>
      </c>
      <c r="F560" s="0" t="n">
        <v>87</v>
      </c>
      <c r="G560" s="0" t="str">
        <f aca="false">IF(F560&lt;=30,"Current",IF(F560&lt;=60,"31 to 60 days",IF(F560&lt;=90,"61 to 90 days",IF(F560&lt;=120,"91 to 120 days","Over 120 days"))))</f>
        <v>61 to 90 days</v>
      </c>
      <c r="H560" s="0" t="n">
        <f aca="false">VLOOKUP(D560,Rates!$A$4:$B$7,2,FALSE())</f>
        <v>0.05</v>
      </c>
      <c r="I560" s="0" t="n">
        <f aca="false">VLOOKUP(F560,Rates!$D$4:$E$8,2)</f>
        <v>0.25</v>
      </c>
      <c r="J560" s="0" t="n">
        <f aca="false">ROUND(E560*I560,2)</f>
        <v>6660.06</v>
      </c>
      <c r="K560" s="1" t="n">
        <f aca="false">PV(H560/12,F560/30,0,-E560)</f>
        <v>26320.9249900233</v>
      </c>
      <c r="L560" s="0" t="n">
        <f aca="false">ROUND(E560-K560,2)</f>
        <v>319.31</v>
      </c>
      <c r="M560" s="0" t="n">
        <f aca="false">F560/E560</f>
        <v>0.00326573757058404</v>
      </c>
    </row>
    <row r="561" customFormat="false" ht="12.8" hidden="false" customHeight="false" outlineLevel="0" collapsed="false">
      <c r="A561" s="0" t="s">
        <v>882</v>
      </c>
      <c r="B561" s="0" t="s">
        <v>883</v>
      </c>
      <c r="C561" s="0" t="s">
        <v>36</v>
      </c>
      <c r="D561" s="0" t="s">
        <v>16</v>
      </c>
      <c r="E561" s="0" t="n">
        <v>16643.84</v>
      </c>
      <c r="F561" s="0" t="n">
        <v>28</v>
      </c>
      <c r="G561" s="0" t="str">
        <f aca="false">IF(F561&lt;=30,"Current",IF(F561&lt;=60,"31 to 60 days",IF(F561&lt;=90,"61 to 90 days",IF(F561&lt;=120,"91 to 120 days","Over 120 days"))))</f>
        <v>Current</v>
      </c>
      <c r="H561" s="0" t="n">
        <f aca="false">VLOOKUP(D561,Rates!$A$4:$B$7,2,FALSE())</f>
        <v>0.085</v>
      </c>
      <c r="I561" s="0" t="n">
        <f aca="false">VLOOKUP(F561,Rates!$D$4:$E$8,2)</f>
        <v>0.02</v>
      </c>
      <c r="J561" s="0" t="n">
        <f aca="false">ROUND(E561*I561,2)</f>
        <v>332.88</v>
      </c>
      <c r="K561" s="1" t="n">
        <f aca="false">PV(H561/12,F561/30,0,-E561)</f>
        <v>16534.5539714808</v>
      </c>
      <c r="L561" s="0" t="n">
        <f aca="false">ROUND(E561-K561,2)</f>
        <v>109.29</v>
      </c>
      <c r="M561" s="0" t="n">
        <f aca="false">F561/E561</f>
        <v>0.001682304083673</v>
      </c>
    </row>
    <row r="562" customFormat="false" ht="12.8" hidden="false" customHeight="false" outlineLevel="0" collapsed="false">
      <c r="A562" s="0" t="s">
        <v>884</v>
      </c>
      <c r="B562" s="0" t="s">
        <v>885</v>
      </c>
      <c r="C562" s="0" t="s">
        <v>19</v>
      </c>
      <c r="D562" s="0" t="s">
        <v>49</v>
      </c>
      <c r="E562" s="0" t="n">
        <v>42620.42</v>
      </c>
      <c r="F562" s="0" t="n">
        <v>358</v>
      </c>
      <c r="G562" s="0" t="str">
        <f aca="false">IF(F562&lt;=30,"Current",IF(F562&lt;=60,"31 to 60 days",IF(F562&lt;=90,"61 to 90 days",IF(F562&lt;=120,"91 to 120 days","Over 120 days"))))</f>
        <v>Over 120 days</v>
      </c>
      <c r="H562" s="0" t="n">
        <f aca="false">VLOOKUP(D562,Rates!$A$4:$B$7,2,FALSE())</f>
        <v>0.02</v>
      </c>
      <c r="I562" s="0" t="n">
        <f aca="false">VLOOKUP(F562,Rates!$D$4:$E$8,2)</f>
        <v>0.85</v>
      </c>
      <c r="J562" s="0" t="n">
        <f aca="false">ROUND(E562*I562,2)</f>
        <v>36227.36</v>
      </c>
      <c r="K562" s="1" t="n">
        <f aca="false">PV(H562/12,F562/30,0,-E562)</f>
        <v>41781.8129493398</v>
      </c>
      <c r="L562" s="0" t="n">
        <f aca="false">ROUND(E562-K562,2)</f>
        <v>838.61</v>
      </c>
      <c r="M562" s="0" t="n">
        <f aca="false">F562/E562</f>
        <v>0.00839972951932431</v>
      </c>
    </row>
    <row r="563" customFormat="false" ht="12.8" hidden="false" customHeight="false" outlineLevel="0" collapsed="false">
      <c r="A563" s="0" t="s">
        <v>886</v>
      </c>
      <c r="B563" s="0" t="s">
        <v>887</v>
      </c>
      <c r="C563" s="0" t="s">
        <v>15</v>
      </c>
      <c r="D563" s="0" t="s">
        <v>49</v>
      </c>
      <c r="E563" s="0" t="n">
        <v>6678.76</v>
      </c>
      <c r="F563" s="0" t="n">
        <v>132</v>
      </c>
      <c r="G563" s="0" t="str">
        <f aca="false">IF(F563&lt;=30,"Current",IF(F563&lt;=60,"31 to 60 days",IF(F563&lt;=90,"61 to 90 days",IF(F563&lt;=120,"91 to 120 days","Over 120 days"))))</f>
        <v>Over 120 days</v>
      </c>
      <c r="H563" s="0" t="n">
        <f aca="false">VLOOKUP(D563,Rates!$A$4:$B$7,2,FALSE())</f>
        <v>0.02</v>
      </c>
      <c r="I563" s="0" t="n">
        <f aca="false">VLOOKUP(F563,Rates!$D$4:$E$8,2)</f>
        <v>0.85</v>
      </c>
      <c r="J563" s="0" t="n">
        <f aca="false">ROUND(E563*I563,2)</f>
        <v>5676.95</v>
      </c>
      <c r="K563" s="1" t="n">
        <f aca="false">PV(H563/12,F563/30,0,-E563)</f>
        <v>6630.00204451497</v>
      </c>
      <c r="L563" s="0" t="n">
        <f aca="false">ROUND(E563-K563,2)</f>
        <v>48.76</v>
      </c>
      <c r="M563" s="0" t="n">
        <f aca="false">F563/E563</f>
        <v>0.0197641478358258</v>
      </c>
    </row>
    <row r="564" customFormat="false" ht="12.8" hidden="false" customHeight="false" outlineLevel="0" collapsed="false">
      <c r="A564" s="0" t="s">
        <v>888</v>
      </c>
      <c r="B564" s="0" t="s">
        <v>848</v>
      </c>
      <c r="C564" s="0" t="s">
        <v>15</v>
      </c>
      <c r="D564" s="0" t="s">
        <v>16</v>
      </c>
      <c r="E564" s="0" t="n">
        <v>41799.63</v>
      </c>
      <c r="F564" s="0" t="n">
        <v>213</v>
      </c>
      <c r="G564" s="0" t="str">
        <f aca="false">IF(F564&lt;=30,"Current",IF(F564&lt;=60,"31 to 60 days",IF(F564&lt;=90,"61 to 90 days",IF(F564&lt;=120,"91 to 120 days","Over 120 days"))))</f>
        <v>Over 120 days</v>
      </c>
      <c r="H564" s="0" t="n">
        <f aca="false">VLOOKUP(D564,Rates!$A$4:$B$7,2,FALSE())</f>
        <v>0.085</v>
      </c>
      <c r="I564" s="0" t="n">
        <f aca="false">VLOOKUP(F564,Rates!$D$4:$E$8,2)</f>
        <v>0.85</v>
      </c>
      <c r="J564" s="0" t="n">
        <f aca="false">ROUND(E564*I564,2)</f>
        <v>35529.69</v>
      </c>
      <c r="K564" s="1" t="n">
        <f aca="false">PV(H564/12,F564/30,0,-E564)</f>
        <v>39756.4901031523</v>
      </c>
      <c r="L564" s="0" t="n">
        <f aca="false">ROUND(E564-K564,2)</f>
        <v>2043.14</v>
      </c>
      <c r="M564" s="0" t="n">
        <f aca="false">F564/E564</f>
        <v>0.00509573888572698</v>
      </c>
    </row>
    <row r="565" customFormat="false" ht="12.8" hidden="false" customHeight="false" outlineLevel="0" collapsed="false">
      <c r="A565" s="0" t="s">
        <v>889</v>
      </c>
      <c r="B565" s="0" t="s">
        <v>285</v>
      </c>
      <c r="C565" s="0" t="s">
        <v>36</v>
      </c>
      <c r="D565" s="0" t="s">
        <v>23</v>
      </c>
      <c r="E565" s="0" t="n">
        <v>10365.42</v>
      </c>
      <c r="F565" s="0" t="n">
        <v>320</v>
      </c>
      <c r="G565" s="0" t="str">
        <f aca="false">IF(F565&lt;=30,"Current",IF(F565&lt;=60,"31 to 60 days",IF(F565&lt;=90,"61 to 90 days",IF(F565&lt;=120,"91 to 120 days","Over 120 days"))))</f>
        <v>Over 120 days</v>
      </c>
      <c r="H565" s="0" t="n">
        <f aca="false">VLOOKUP(D565,Rates!$A$4:$B$7,2,FALSE())</f>
        <v>0.115</v>
      </c>
      <c r="I565" s="0" t="n">
        <f aca="false">VLOOKUP(F565,Rates!$D$4:$E$8,2)</f>
        <v>0.85</v>
      </c>
      <c r="J565" s="0" t="n">
        <f aca="false">ROUND(E565*I565,2)</f>
        <v>8810.61</v>
      </c>
      <c r="K565" s="1" t="n">
        <f aca="false">PV(H565/12,F565/30,0,-E565)</f>
        <v>9362.75656175263</v>
      </c>
      <c r="L565" s="0" t="n">
        <f aca="false">ROUND(E565-K565,2)</f>
        <v>1002.66</v>
      </c>
      <c r="M565" s="0" t="n">
        <f aca="false">F565/E565</f>
        <v>0.0308718797694642</v>
      </c>
    </row>
    <row r="566" customFormat="false" ht="12.8" hidden="false" customHeight="false" outlineLevel="0" collapsed="false">
      <c r="A566" s="0" t="s">
        <v>890</v>
      </c>
      <c r="B566" s="0" t="s">
        <v>891</v>
      </c>
      <c r="C566" s="0" t="s">
        <v>31</v>
      </c>
      <c r="D566" s="0" t="s">
        <v>49</v>
      </c>
      <c r="E566" s="0" t="n">
        <v>0</v>
      </c>
      <c r="F566" s="0" t="n">
        <v>48</v>
      </c>
      <c r="G566" s="0" t="str">
        <f aca="false">IF(F566&lt;=30,"Current",IF(F566&lt;=60,"31 to 60 days",IF(F566&lt;=90,"61 to 90 days",IF(F566&lt;=120,"91 to 120 days","Over 120 days"))))</f>
        <v>31 to 60 days</v>
      </c>
      <c r="H566" s="0" t="n">
        <f aca="false">VLOOKUP(D566,Rates!$A$4:$B$7,2,FALSE())</f>
        <v>0.02</v>
      </c>
      <c r="I566" s="0" t="n">
        <f aca="false">VLOOKUP(F566,Rates!$D$4:$E$8,2)</f>
        <v>0.1</v>
      </c>
      <c r="J566" s="0" t="n">
        <f aca="false">ROUND(E566*I566,2)</f>
        <v>0</v>
      </c>
      <c r="K566" s="1" t="n">
        <f aca="false">PV(H566/12,F566/30,0,-E566)</f>
        <v>-0</v>
      </c>
      <c r="L566" s="0" t="n">
        <f aca="false">ROUND(E566-K566,2)</f>
        <v>0</v>
      </c>
      <c r="M566" s="0" t="e">
        <f aca="false">F566/E566</f>
        <v>#DIV/0!</v>
      </c>
    </row>
    <row r="567" customFormat="false" ht="12.8" hidden="false" customHeight="false" outlineLevel="0" collapsed="false">
      <c r="A567" s="0" t="s">
        <v>892</v>
      </c>
      <c r="B567" s="0" t="s">
        <v>893</v>
      </c>
      <c r="C567" s="0" t="s">
        <v>42</v>
      </c>
      <c r="D567" s="0" t="s">
        <v>49</v>
      </c>
      <c r="E567" s="0" t="n">
        <v>31481.07</v>
      </c>
      <c r="F567" s="0" t="n">
        <v>136</v>
      </c>
      <c r="G567" s="0" t="str">
        <f aca="false">IF(F567&lt;=30,"Current",IF(F567&lt;=60,"31 to 60 days",IF(F567&lt;=90,"61 to 90 days",IF(F567&lt;=120,"91 to 120 days","Over 120 days"))))</f>
        <v>Over 120 days</v>
      </c>
      <c r="H567" s="0" t="n">
        <f aca="false">VLOOKUP(D567,Rates!$A$4:$B$7,2,FALSE())</f>
        <v>0.02</v>
      </c>
      <c r="I567" s="0" t="n">
        <f aca="false">VLOOKUP(F567,Rates!$D$4:$E$8,2)</f>
        <v>0.85</v>
      </c>
      <c r="J567" s="0" t="n">
        <f aca="false">ROUND(E567*I567,2)</f>
        <v>26758.91</v>
      </c>
      <c r="K567" s="1" t="n">
        <f aca="false">PV(H567/12,F567/30,0,-E567)</f>
        <v>31244.3058431364</v>
      </c>
      <c r="L567" s="0" t="n">
        <f aca="false">ROUND(E567-K567,2)</f>
        <v>236.76</v>
      </c>
      <c r="M567" s="0" t="n">
        <f aca="false">F567/E567</f>
        <v>0.00432005646567922</v>
      </c>
    </row>
    <row r="568" customFormat="false" ht="12.8" hidden="false" customHeight="false" outlineLevel="0" collapsed="false">
      <c r="A568" s="0" t="s">
        <v>894</v>
      </c>
      <c r="B568" s="0" t="s">
        <v>895</v>
      </c>
      <c r="C568" s="0" t="s">
        <v>15</v>
      </c>
      <c r="D568" s="0" t="s">
        <v>16</v>
      </c>
      <c r="E568" s="0" t="n">
        <v>5607.13</v>
      </c>
      <c r="F568" s="0" t="n">
        <v>167</v>
      </c>
      <c r="G568" s="0" t="str">
        <f aca="false">IF(F568&lt;=30,"Current",IF(F568&lt;=60,"31 to 60 days",IF(F568&lt;=90,"61 to 90 days",IF(F568&lt;=120,"91 to 120 days","Over 120 days"))))</f>
        <v>Over 120 days</v>
      </c>
      <c r="H568" s="0" t="n">
        <f aca="false">VLOOKUP(D568,Rates!$A$4:$B$7,2,FALSE())</f>
        <v>0.085</v>
      </c>
      <c r="I568" s="0" t="n">
        <f aca="false">VLOOKUP(F568,Rates!$D$4:$E$8,2)</f>
        <v>0.85</v>
      </c>
      <c r="J568" s="0" t="n">
        <f aca="false">ROUND(E568*I568,2)</f>
        <v>4766.06</v>
      </c>
      <c r="K568" s="1" t="n">
        <f aca="false">PV(H568/12,F568/30,0,-E568)</f>
        <v>5391.08918977528</v>
      </c>
      <c r="L568" s="0" t="n">
        <f aca="false">ROUND(E568-K568,2)</f>
        <v>216.04</v>
      </c>
      <c r="M568" s="0" t="n">
        <f aca="false">F568/E568</f>
        <v>0.0297835077838395</v>
      </c>
    </row>
    <row r="569" customFormat="false" ht="12.8" hidden="false" customHeight="false" outlineLevel="0" collapsed="false">
      <c r="A569" s="0" t="s">
        <v>896</v>
      </c>
      <c r="B569" s="0" t="s">
        <v>28</v>
      </c>
      <c r="C569" s="0" t="s">
        <v>15</v>
      </c>
      <c r="D569" s="0" t="s">
        <v>20</v>
      </c>
      <c r="E569" s="0" t="n">
        <v>43719.67</v>
      </c>
      <c r="F569" s="0" t="n">
        <v>126</v>
      </c>
      <c r="G569" s="0" t="str">
        <f aca="false">IF(F569&lt;=30,"Current",IF(F569&lt;=60,"31 to 60 days",IF(F569&lt;=90,"61 to 90 days",IF(F569&lt;=120,"91 to 120 days","Over 120 days"))))</f>
        <v>Over 120 days</v>
      </c>
      <c r="H569" s="0" t="n">
        <f aca="false">VLOOKUP(D569,Rates!$A$4:$B$7,2,FALSE())</f>
        <v>0.05</v>
      </c>
      <c r="I569" s="0" t="n">
        <f aca="false">VLOOKUP(F569,Rates!$D$4:$E$8,2)</f>
        <v>0.85</v>
      </c>
      <c r="J569" s="0" t="n">
        <f aca="false">ROUND(E569*I569,2)</f>
        <v>37161.72</v>
      </c>
      <c r="K569" s="1" t="n">
        <f aca="false">PV(H569/12,F569/30,0,-E569)</f>
        <v>42962.7934540632</v>
      </c>
      <c r="L569" s="0" t="n">
        <f aca="false">ROUND(E569-K569,2)</f>
        <v>756.88</v>
      </c>
      <c r="M569" s="0" t="n">
        <f aca="false">F569/E569</f>
        <v>0.0028819979656754</v>
      </c>
    </row>
    <row r="570" customFormat="false" ht="12.8" hidden="false" customHeight="false" outlineLevel="0" collapsed="false">
      <c r="A570" s="0" t="s">
        <v>897</v>
      </c>
      <c r="B570" s="0" t="s">
        <v>898</v>
      </c>
      <c r="C570" s="0" t="s">
        <v>42</v>
      </c>
      <c r="D570" s="0" t="s">
        <v>49</v>
      </c>
      <c r="E570" s="0" t="n">
        <v>34881.44</v>
      </c>
      <c r="F570" s="0" t="n">
        <v>60</v>
      </c>
      <c r="G570" s="0" t="str">
        <f aca="false">IF(F570&lt;=30,"Current",IF(F570&lt;=60,"31 to 60 days",IF(F570&lt;=90,"61 to 90 days",IF(F570&lt;=120,"91 to 120 days","Over 120 days"))))</f>
        <v>31 to 60 days</v>
      </c>
      <c r="H570" s="0" t="n">
        <f aca="false">VLOOKUP(D570,Rates!$A$4:$B$7,2,FALSE())</f>
        <v>0.02</v>
      </c>
      <c r="I570" s="0" t="n">
        <f aca="false">VLOOKUP(F570,Rates!$D$4:$E$8,2)</f>
        <v>0.1</v>
      </c>
      <c r="J570" s="0" t="n">
        <f aca="false">ROUND(E570*I570,2)</f>
        <v>3488.14</v>
      </c>
      <c r="K570" s="1" t="n">
        <f aca="false">PV(H570/12,F570/30,0,-E570)</f>
        <v>34765.4585673905</v>
      </c>
      <c r="L570" s="0" t="n">
        <f aca="false">ROUND(E570-K570,2)</f>
        <v>115.98</v>
      </c>
      <c r="M570" s="0" t="n">
        <f aca="false">F570/E570</f>
        <v>0.00172011247242086</v>
      </c>
    </row>
    <row r="571" customFormat="false" ht="12.8" hidden="false" customHeight="false" outlineLevel="0" collapsed="false">
      <c r="A571" s="0" t="s">
        <v>899</v>
      </c>
      <c r="B571" s="0" t="s">
        <v>900</v>
      </c>
      <c r="C571" s="0" t="s">
        <v>19</v>
      </c>
      <c r="D571" s="0" t="s">
        <v>16</v>
      </c>
      <c r="E571" s="0" t="n">
        <v>29085.34</v>
      </c>
      <c r="F571" s="0" t="n">
        <v>307</v>
      </c>
      <c r="G571" s="0" t="str">
        <f aca="false">IF(F571&lt;=30,"Current",IF(F571&lt;=60,"31 to 60 days",IF(F571&lt;=90,"61 to 90 days",IF(F571&lt;=120,"91 to 120 days","Over 120 days"))))</f>
        <v>Over 120 days</v>
      </c>
      <c r="H571" s="0" t="n">
        <f aca="false">VLOOKUP(D571,Rates!$A$4:$B$7,2,FALSE())</f>
        <v>0.085</v>
      </c>
      <c r="I571" s="0" t="n">
        <f aca="false">VLOOKUP(F571,Rates!$D$4:$E$8,2)</f>
        <v>0.85</v>
      </c>
      <c r="J571" s="0" t="n">
        <f aca="false">ROUND(E571*I571,2)</f>
        <v>24722.54</v>
      </c>
      <c r="K571" s="1" t="n">
        <f aca="false">PV(H571/12,F571/30,0,-E571)</f>
        <v>27058.5671856625</v>
      </c>
      <c r="L571" s="0" t="n">
        <f aca="false">ROUND(E571-K571,2)</f>
        <v>2026.77</v>
      </c>
      <c r="M571" s="0" t="n">
        <f aca="false">F571/E571</f>
        <v>0.0105551456506955</v>
      </c>
    </row>
    <row r="572" customFormat="false" ht="12.8" hidden="false" customHeight="false" outlineLevel="0" collapsed="false">
      <c r="A572" s="0" t="s">
        <v>901</v>
      </c>
      <c r="B572" s="0" t="s">
        <v>33</v>
      </c>
      <c r="C572" s="0" t="s">
        <v>26</v>
      </c>
      <c r="D572" s="0" t="s">
        <v>20</v>
      </c>
      <c r="E572" s="0" t="n">
        <v>36770.41</v>
      </c>
      <c r="F572" s="0" t="n">
        <v>310</v>
      </c>
      <c r="G572" s="0" t="str">
        <f aca="false">IF(F572&lt;=30,"Current",IF(F572&lt;=60,"31 to 60 days",IF(F572&lt;=90,"61 to 90 days",IF(F572&lt;=120,"91 to 120 days","Over 120 days"))))</f>
        <v>Over 120 days</v>
      </c>
      <c r="H572" s="0" t="n">
        <f aca="false">VLOOKUP(D572,Rates!$A$4:$B$7,2,FALSE())</f>
        <v>0.05</v>
      </c>
      <c r="I572" s="0" t="n">
        <f aca="false">VLOOKUP(F572,Rates!$D$4:$E$8,2)</f>
        <v>0.85</v>
      </c>
      <c r="J572" s="0" t="n">
        <f aca="false">ROUND(E572*I572,2)</f>
        <v>31254.85</v>
      </c>
      <c r="K572" s="1" t="n">
        <f aca="false">PV(H572/12,F572/30,0,-E572)</f>
        <v>35223.9884578855</v>
      </c>
      <c r="L572" s="0" t="n">
        <f aca="false">ROUND(E572-K572,2)</f>
        <v>1546.42</v>
      </c>
      <c r="M572" s="0" t="n">
        <f aca="false">F572/E572</f>
        <v>0.00843069196128082</v>
      </c>
    </row>
    <row r="573" customFormat="false" ht="12.8" hidden="false" customHeight="false" outlineLevel="0" collapsed="false">
      <c r="A573" s="0" t="s">
        <v>902</v>
      </c>
      <c r="B573" s="0" t="s">
        <v>903</v>
      </c>
      <c r="C573" s="0" t="s">
        <v>15</v>
      </c>
      <c r="D573" s="0" t="s">
        <v>49</v>
      </c>
      <c r="E573" s="0" t="n">
        <v>32416.03</v>
      </c>
      <c r="F573" s="0" t="n">
        <v>239</v>
      </c>
      <c r="G573" s="0" t="str">
        <f aca="false">IF(F573&lt;=30,"Current",IF(F573&lt;=60,"31 to 60 days",IF(F573&lt;=90,"61 to 90 days",IF(F573&lt;=120,"91 to 120 days","Over 120 days"))))</f>
        <v>Over 120 days</v>
      </c>
      <c r="H573" s="0" t="n">
        <f aca="false">VLOOKUP(D573,Rates!$A$4:$B$7,2,FALSE())</f>
        <v>0.02</v>
      </c>
      <c r="I573" s="0" t="n">
        <f aca="false">VLOOKUP(F573,Rates!$D$4:$E$8,2)</f>
        <v>0.85</v>
      </c>
      <c r="J573" s="0" t="n">
        <f aca="false">ROUND(E573*I573,2)</f>
        <v>27553.63</v>
      </c>
      <c r="K573" s="1" t="n">
        <f aca="false">PV(H573/12,F573/30,0,-E573)</f>
        <v>31988.8155707909</v>
      </c>
      <c r="L573" s="0" t="n">
        <f aca="false">ROUND(E573-K573,2)</f>
        <v>427.21</v>
      </c>
      <c r="M573" s="0" t="n">
        <f aca="false">F573/E573</f>
        <v>0.00737289544709824</v>
      </c>
    </row>
    <row r="574" customFormat="false" ht="12.8" hidden="false" customHeight="false" outlineLevel="0" collapsed="false">
      <c r="A574" s="0" t="s">
        <v>904</v>
      </c>
      <c r="B574" s="0" t="s">
        <v>269</v>
      </c>
      <c r="C574" s="0" t="s">
        <v>42</v>
      </c>
      <c r="D574" s="0" t="s">
        <v>23</v>
      </c>
      <c r="E574" s="0" t="n">
        <v>34741.09</v>
      </c>
      <c r="F574" s="0" t="n">
        <v>302</v>
      </c>
      <c r="G574" s="0" t="str">
        <f aca="false">IF(F574&lt;=30,"Current",IF(F574&lt;=60,"31 to 60 days",IF(F574&lt;=90,"61 to 90 days",IF(F574&lt;=120,"91 to 120 days","Over 120 days"))))</f>
        <v>Over 120 days</v>
      </c>
      <c r="H574" s="0" t="n">
        <f aca="false">VLOOKUP(D574,Rates!$A$4:$B$7,2,FALSE())</f>
        <v>0.115</v>
      </c>
      <c r="I574" s="0" t="n">
        <f aca="false">VLOOKUP(F574,Rates!$D$4:$E$8,2)</f>
        <v>0.85</v>
      </c>
      <c r="J574" s="0" t="n">
        <f aca="false">ROUND(E574*I574,2)</f>
        <v>29529.93</v>
      </c>
      <c r="K574" s="1" t="n">
        <f aca="false">PV(H574/12,F574/30,0,-E574)</f>
        <v>31560.6232690775</v>
      </c>
      <c r="L574" s="0" t="n">
        <f aca="false">ROUND(E574-K574,2)</f>
        <v>3180.47</v>
      </c>
      <c r="M574" s="0" t="n">
        <f aca="false">F574/E574</f>
        <v>0.0086928763605287</v>
      </c>
    </row>
    <row r="575" customFormat="false" ht="12.8" hidden="false" customHeight="false" outlineLevel="0" collapsed="false">
      <c r="A575" s="0" t="s">
        <v>905</v>
      </c>
      <c r="B575" s="0" t="s">
        <v>682</v>
      </c>
      <c r="C575" s="0" t="s">
        <v>19</v>
      </c>
      <c r="D575" s="0" t="s">
        <v>23</v>
      </c>
      <c r="E575" s="0" t="n">
        <v>2121.9</v>
      </c>
      <c r="F575" s="0" t="n">
        <v>231</v>
      </c>
      <c r="G575" s="0" t="str">
        <f aca="false">IF(F575&lt;=30,"Current",IF(F575&lt;=60,"31 to 60 days",IF(F575&lt;=90,"61 to 90 days",IF(F575&lt;=120,"91 to 120 days","Over 120 days"))))</f>
        <v>Over 120 days</v>
      </c>
      <c r="H575" s="0" t="n">
        <f aca="false">VLOOKUP(D575,Rates!$A$4:$B$7,2,FALSE())</f>
        <v>0.115</v>
      </c>
      <c r="I575" s="0" t="n">
        <f aca="false">VLOOKUP(F575,Rates!$D$4:$E$8,2)</f>
        <v>0.85</v>
      </c>
      <c r="J575" s="0" t="n">
        <f aca="false">ROUND(E575*I575,2)</f>
        <v>1803.62</v>
      </c>
      <c r="K575" s="1" t="n">
        <f aca="false">PV(H575/12,F575/30,0,-E575)</f>
        <v>1971.65164354253</v>
      </c>
      <c r="L575" s="0" t="n">
        <f aca="false">ROUND(E575-K575,2)</f>
        <v>150.25</v>
      </c>
      <c r="M575" s="0" t="n">
        <f aca="false">F575/E575</f>
        <v>0.108864696734059</v>
      </c>
    </row>
    <row r="576" customFormat="false" ht="12.8" hidden="false" customHeight="false" outlineLevel="0" collapsed="false">
      <c r="A576" s="0" t="s">
        <v>906</v>
      </c>
      <c r="B576" s="0" t="s">
        <v>907</v>
      </c>
      <c r="C576" s="0" t="s">
        <v>15</v>
      </c>
      <c r="D576" s="0" t="s">
        <v>16</v>
      </c>
      <c r="E576" s="0" t="n">
        <v>39335.23</v>
      </c>
      <c r="F576" s="0" t="n">
        <v>317</v>
      </c>
      <c r="G576" s="0" t="str">
        <f aca="false">IF(F576&lt;=30,"Current",IF(F576&lt;=60,"31 to 60 days",IF(F576&lt;=90,"61 to 90 days",IF(F576&lt;=120,"91 to 120 days","Over 120 days"))))</f>
        <v>Over 120 days</v>
      </c>
      <c r="H576" s="0" t="n">
        <f aca="false">VLOOKUP(D576,Rates!$A$4:$B$7,2,FALSE())</f>
        <v>0.085</v>
      </c>
      <c r="I576" s="0" t="n">
        <f aca="false">VLOOKUP(F576,Rates!$D$4:$E$8,2)</f>
        <v>0.85</v>
      </c>
      <c r="J576" s="0" t="n">
        <f aca="false">ROUND(E576*I576,2)</f>
        <v>33434.95</v>
      </c>
      <c r="K576" s="1" t="n">
        <f aca="false">PV(H576/12,F576/30,0,-E576)</f>
        <v>36508.2101711979</v>
      </c>
      <c r="L576" s="0" t="n">
        <f aca="false">ROUND(E576-K576,2)</f>
        <v>2827.02</v>
      </c>
      <c r="M576" s="0" t="n">
        <f aca="false">F576/E576</f>
        <v>0.0080589334293965</v>
      </c>
    </row>
    <row r="577" customFormat="false" ht="12.8" hidden="false" customHeight="false" outlineLevel="0" collapsed="false">
      <c r="A577" s="0" t="s">
        <v>908</v>
      </c>
      <c r="B577" s="0" t="s">
        <v>28</v>
      </c>
      <c r="C577" s="0" t="s">
        <v>15</v>
      </c>
      <c r="D577" s="0" t="s">
        <v>20</v>
      </c>
      <c r="E577" s="0" t="n">
        <v>29727.75</v>
      </c>
      <c r="F577" s="0" t="n">
        <v>344</v>
      </c>
      <c r="G577" s="0" t="str">
        <f aca="false">IF(F577&lt;=30,"Current",IF(F577&lt;=60,"31 to 60 days",IF(F577&lt;=90,"61 to 90 days",IF(F577&lt;=120,"91 to 120 days","Over 120 days"))))</f>
        <v>Over 120 days</v>
      </c>
      <c r="H577" s="0" t="n">
        <f aca="false">VLOOKUP(D577,Rates!$A$4:$B$7,2,FALSE())</f>
        <v>0.05</v>
      </c>
      <c r="I577" s="0" t="n">
        <f aca="false">VLOOKUP(F577,Rates!$D$4:$E$8,2)</f>
        <v>0.85</v>
      </c>
      <c r="J577" s="0" t="n">
        <f aca="false">ROUND(E577*I577,2)</f>
        <v>25268.59</v>
      </c>
      <c r="K577" s="1" t="n">
        <f aca="false">PV(H577/12,F577/30,0,-E577)</f>
        <v>28343.6334884117</v>
      </c>
      <c r="L577" s="0" t="n">
        <f aca="false">ROUND(E577-K577,2)</f>
        <v>1384.12</v>
      </c>
      <c r="M577" s="0" t="n">
        <f aca="false">F577/E577</f>
        <v>0.0115716796595773</v>
      </c>
    </row>
    <row r="578" customFormat="false" ht="12.8" hidden="false" customHeight="false" outlineLevel="0" collapsed="false">
      <c r="A578" s="0" t="s">
        <v>909</v>
      </c>
      <c r="B578" s="0" t="s">
        <v>111</v>
      </c>
      <c r="C578" s="0" t="s">
        <v>19</v>
      </c>
      <c r="D578" s="0" t="s">
        <v>23</v>
      </c>
      <c r="E578" s="0" t="n">
        <v>19578.97</v>
      </c>
      <c r="F578" s="0" t="n">
        <v>293</v>
      </c>
      <c r="G578" s="0" t="str">
        <f aca="false">IF(F578&lt;=30,"Current",IF(F578&lt;=60,"31 to 60 days",IF(F578&lt;=90,"61 to 90 days",IF(F578&lt;=120,"91 to 120 days","Over 120 days"))))</f>
        <v>Over 120 days</v>
      </c>
      <c r="H578" s="0" t="n">
        <f aca="false">VLOOKUP(D578,Rates!$A$4:$B$7,2,FALSE())</f>
        <v>0.115</v>
      </c>
      <c r="I578" s="0" t="n">
        <f aca="false">VLOOKUP(F578,Rates!$D$4:$E$8,2)</f>
        <v>0.85</v>
      </c>
      <c r="J578" s="0" t="n">
        <f aca="false">ROUND(E578*I578,2)</f>
        <v>16642.12</v>
      </c>
      <c r="K578" s="1" t="n">
        <f aca="false">PV(H578/12,F578/30,0,-E578)</f>
        <v>17837.5261817404</v>
      </c>
      <c r="L578" s="0" t="n">
        <f aca="false">ROUND(E578-K578,2)</f>
        <v>1741.44</v>
      </c>
      <c r="M578" s="0" t="n">
        <f aca="false">F578/E578</f>
        <v>0.014965036465146</v>
      </c>
    </row>
    <row r="579" customFormat="false" ht="12.8" hidden="false" customHeight="false" outlineLevel="0" collapsed="false">
      <c r="A579" s="0" t="s">
        <v>910</v>
      </c>
      <c r="B579" s="0" t="s">
        <v>216</v>
      </c>
      <c r="C579" s="0" t="s">
        <v>15</v>
      </c>
      <c r="D579" s="0" t="s">
        <v>23</v>
      </c>
      <c r="E579" s="0" t="n">
        <v>23161.15</v>
      </c>
      <c r="F579" s="0" t="n">
        <v>72</v>
      </c>
      <c r="G579" s="0" t="str">
        <f aca="false">IF(F579&lt;=30,"Current",IF(F579&lt;=60,"31 to 60 days",IF(F579&lt;=90,"61 to 90 days",IF(F579&lt;=120,"91 to 120 days","Over 120 days"))))</f>
        <v>61 to 90 days</v>
      </c>
      <c r="H579" s="0" t="n">
        <f aca="false">VLOOKUP(D579,Rates!$A$4:$B$7,2,FALSE())</f>
        <v>0.115</v>
      </c>
      <c r="I579" s="0" t="n">
        <f aca="false">VLOOKUP(F579,Rates!$D$4:$E$8,2)</f>
        <v>0.25</v>
      </c>
      <c r="J579" s="0" t="n">
        <f aca="false">ROUND(E579*I579,2)</f>
        <v>5790.29</v>
      </c>
      <c r="K579" s="1" t="n">
        <f aca="false">PV(H579/12,F579/30,0,-E579)</f>
        <v>22637.0018013335</v>
      </c>
      <c r="L579" s="0" t="n">
        <f aca="false">ROUND(E579-K579,2)</f>
        <v>524.15</v>
      </c>
      <c r="M579" s="0" t="n">
        <f aca="false">F579/E579</f>
        <v>0.00310865393125989</v>
      </c>
    </row>
    <row r="580" customFormat="false" ht="12.8" hidden="false" customHeight="false" outlineLevel="0" collapsed="false">
      <c r="A580" s="0" t="s">
        <v>911</v>
      </c>
      <c r="B580" s="0" t="s">
        <v>120</v>
      </c>
      <c r="C580" s="0" t="s">
        <v>31</v>
      </c>
      <c r="D580" s="0" t="s">
        <v>23</v>
      </c>
      <c r="E580" s="0" t="n">
        <v>9334</v>
      </c>
      <c r="F580" s="0" t="n">
        <v>155</v>
      </c>
      <c r="G580" s="0" t="str">
        <f aca="false">IF(F580&lt;=30,"Current",IF(F580&lt;=60,"31 to 60 days",IF(F580&lt;=90,"61 to 90 days",IF(F580&lt;=120,"91 to 120 days","Over 120 days"))))</f>
        <v>Over 120 days</v>
      </c>
      <c r="H580" s="0" t="n">
        <f aca="false">VLOOKUP(D580,Rates!$A$4:$B$7,2,FALSE())</f>
        <v>0.115</v>
      </c>
      <c r="I580" s="0" t="n">
        <f aca="false">VLOOKUP(F580,Rates!$D$4:$E$8,2)</f>
        <v>0.85</v>
      </c>
      <c r="J580" s="0" t="n">
        <f aca="false">ROUND(E580*I580,2)</f>
        <v>7933.9</v>
      </c>
      <c r="K580" s="1" t="n">
        <f aca="false">PV(H580/12,F580/30,0,-E580)</f>
        <v>8885.18699661203</v>
      </c>
      <c r="L580" s="0" t="n">
        <f aca="false">ROUND(E580-K580,2)</f>
        <v>448.81</v>
      </c>
      <c r="M580" s="0" t="n">
        <f aca="false">F580/E580</f>
        <v>0.0166059567173773</v>
      </c>
    </row>
    <row r="581" customFormat="false" ht="12.8" hidden="false" customHeight="false" outlineLevel="0" collapsed="false">
      <c r="A581" s="0" t="s">
        <v>912</v>
      </c>
      <c r="B581" s="0" t="s">
        <v>913</v>
      </c>
      <c r="C581" s="0" t="s">
        <v>31</v>
      </c>
      <c r="D581" s="0" t="s">
        <v>16</v>
      </c>
      <c r="E581" s="0" t="n">
        <v>660.64</v>
      </c>
      <c r="F581" s="0" t="n">
        <v>50</v>
      </c>
      <c r="G581" s="0" t="str">
        <f aca="false">IF(F581&lt;=30,"Current",IF(F581&lt;=60,"31 to 60 days",IF(F581&lt;=90,"61 to 90 days",IF(F581&lt;=120,"91 to 120 days","Over 120 days"))))</f>
        <v>31 to 60 days</v>
      </c>
      <c r="H581" s="0" t="n">
        <f aca="false">VLOOKUP(D581,Rates!$A$4:$B$7,2,FALSE())</f>
        <v>0.085</v>
      </c>
      <c r="I581" s="0" t="n">
        <f aca="false">VLOOKUP(F581,Rates!$D$4:$E$8,2)</f>
        <v>0.1</v>
      </c>
      <c r="J581" s="0" t="n">
        <f aca="false">ROUND(E581*I581,2)</f>
        <v>66.06</v>
      </c>
      <c r="K581" s="1" t="n">
        <f aca="false">PV(H581/12,F581/30,0,-E581)</f>
        <v>652.913804627911</v>
      </c>
      <c r="L581" s="0" t="n">
        <f aca="false">ROUND(E581-K581,2)</f>
        <v>7.73</v>
      </c>
      <c r="M581" s="0" t="n">
        <f aca="false">F581/E581</f>
        <v>0.0756841850326956</v>
      </c>
    </row>
    <row r="582" customFormat="false" ht="12.8" hidden="false" customHeight="false" outlineLevel="0" collapsed="false">
      <c r="A582" s="0" t="s">
        <v>914</v>
      </c>
      <c r="B582" s="0" t="s">
        <v>915</v>
      </c>
      <c r="C582" s="0" t="s">
        <v>31</v>
      </c>
      <c r="D582" s="0" t="s">
        <v>49</v>
      </c>
      <c r="E582" s="0" t="n">
        <v>6971.31</v>
      </c>
      <c r="F582" s="0" t="n">
        <v>200</v>
      </c>
      <c r="G582" s="0" t="str">
        <f aca="false">IF(F582&lt;=30,"Current",IF(F582&lt;=60,"31 to 60 days",IF(F582&lt;=90,"61 to 90 days",IF(F582&lt;=120,"91 to 120 days","Over 120 days"))))</f>
        <v>Over 120 days</v>
      </c>
      <c r="H582" s="0" t="n">
        <f aca="false">VLOOKUP(D582,Rates!$A$4:$B$7,2,FALSE())</f>
        <v>0.02</v>
      </c>
      <c r="I582" s="0" t="n">
        <f aca="false">VLOOKUP(F582,Rates!$D$4:$E$8,2)</f>
        <v>0.85</v>
      </c>
      <c r="J582" s="0" t="n">
        <f aca="false">ROUND(E582*I582,2)</f>
        <v>5925.61</v>
      </c>
      <c r="K582" s="1" t="n">
        <f aca="false">PV(H582/12,F582/30,0,-E582)</f>
        <v>6894.34350376674</v>
      </c>
      <c r="L582" s="0" t="n">
        <f aca="false">ROUND(E582-K582,2)</f>
        <v>76.97</v>
      </c>
      <c r="M582" s="0" t="n">
        <f aca="false">F582/E582</f>
        <v>0.0286890125385329</v>
      </c>
    </row>
    <row r="583" customFormat="false" ht="12.8" hidden="false" customHeight="false" outlineLevel="0" collapsed="false">
      <c r="A583" s="0" t="s">
        <v>916</v>
      </c>
      <c r="B583" s="0" t="s">
        <v>30</v>
      </c>
      <c r="C583" s="0" t="s">
        <v>31</v>
      </c>
      <c r="D583" s="0" t="s">
        <v>20</v>
      </c>
      <c r="E583" s="0" t="n">
        <v>17568.54</v>
      </c>
      <c r="F583" s="0" t="n">
        <v>31</v>
      </c>
      <c r="G583" s="0" t="str">
        <f aca="false">IF(F583&lt;=30,"Current",IF(F583&lt;=60,"31 to 60 days",IF(F583&lt;=90,"61 to 90 days",IF(F583&lt;=120,"91 to 120 days","Over 120 days"))))</f>
        <v>31 to 60 days</v>
      </c>
      <c r="H583" s="0" t="n">
        <f aca="false">VLOOKUP(D583,Rates!$A$4:$B$7,2,FALSE())</f>
        <v>0.05</v>
      </c>
      <c r="I583" s="0" t="n">
        <f aca="false">VLOOKUP(F583,Rates!$D$4:$E$8,2)</f>
        <v>0.1</v>
      </c>
      <c r="J583" s="0" t="n">
        <f aca="false">ROUND(E583*I583,2)</f>
        <v>1756.85</v>
      </c>
      <c r="K583" s="1" t="n">
        <f aca="false">PV(H583/12,F583/30,0,-E583)</f>
        <v>17493.2167599847</v>
      </c>
      <c r="L583" s="0" t="n">
        <f aca="false">ROUND(E583-K583,2)</f>
        <v>75.32</v>
      </c>
      <c r="M583" s="0" t="n">
        <f aca="false">F583/E583</f>
        <v>0.00176451771177343</v>
      </c>
    </row>
    <row r="584" customFormat="false" ht="12.8" hidden="false" customHeight="false" outlineLevel="0" collapsed="false">
      <c r="A584" s="0" t="s">
        <v>917</v>
      </c>
      <c r="B584" s="0" t="s">
        <v>82</v>
      </c>
      <c r="C584" s="0" t="s">
        <v>36</v>
      </c>
      <c r="D584" s="0" t="s">
        <v>23</v>
      </c>
      <c r="E584" s="0" t="n">
        <v>15395.47</v>
      </c>
      <c r="F584" s="0" t="n">
        <v>20</v>
      </c>
      <c r="G584" s="0" t="str">
        <f aca="false">IF(F584&lt;=30,"Current",IF(F584&lt;=60,"31 to 60 days",IF(F584&lt;=90,"61 to 90 days",IF(F584&lt;=120,"91 to 120 days","Over 120 days"))))</f>
        <v>Current</v>
      </c>
      <c r="H584" s="0" t="n">
        <f aca="false">VLOOKUP(D584,Rates!$A$4:$B$7,2,FALSE())</f>
        <v>0.115</v>
      </c>
      <c r="I584" s="0" t="n">
        <f aca="false">VLOOKUP(F584,Rates!$D$4:$E$8,2)</f>
        <v>0.02</v>
      </c>
      <c r="J584" s="0" t="n">
        <f aca="false">ROUND(E584*I584,2)</f>
        <v>307.91</v>
      </c>
      <c r="K584" s="1" t="n">
        <f aca="false">PV(H584/12,F584/30,0,-E584)</f>
        <v>15297.8889330953</v>
      </c>
      <c r="L584" s="0" t="n">
        <f aca="false">ROUND(E584-K584,2)</f>
        <v>97.58</v>
      </c>
      <c r="M584" s="0" t="n">
        <f aca="false">F584/E584</f>
        <v>0.00129908343168477</v>
      </c>
    </row>
    <row r="585" customFormat="false" ht="12.8" hidden="false" customHeight="false" outlineLevel="0" collapsed="false">
      <c r="A585" s="0" t="s">
        <v>918</v>
      </c>
      <c r="B585" s="0" t="s">
        <v>639</v>
      </c>
      <c r="C585" s="0" t="s">
        <v>31</v>
      </c>
      <c r="D585" s="0" t="s">
        <v>49</v>
      </c>
      <c r="E585" s="0" t="n">
        <v>39208.2</v>
      </c>
      <c r="F585" s="0" t="n">
        <v>301</v>
      </c>
      <c r="G585" s="0" t="str">
        <f aca="false">IF(F585&lt;=30,"Current",IF(F585&lt;=60,"31 to 60 days",IF(F585&lt;=90,"61 to 90 days",IF(F585&lt;=120,"91 to 120 days","Over 120 days"))))</f>
        <v>Over 120 days</v>
      </c>
      <c r="H585" s="0" t="n">
        <f aca="false">VLOOKUP(D585,Rates!$A$4:$B$7,2,FALSE())</f>
        <v>0.02</v>
      </c>
      <c r="I585" s="0" t="n">
        <f aca="false">VLOOKUP(F585,Rates!$D$4:$E$8,2)</f>
        <v>0.85</v>
      </c>
      <c r="J585" s="0" t="n">
        <f aca="false">ROUND(E585*I585,2)</f>
        <v>33326.97</v>
      </c>
      <c r="K585" s="1" t="n">
        <f aca="false">PV(H585/12,F585/30,0,-E585)</f>
        <v>38558.5400053135</v>
      </c>
      <c r="L585" s="0" t="n">
        <f aca="false">ROUND(E585-K585,2)</f>
        <v>649.66</v>
      </c>
      <c r="M585" s="0" t="n">
        <f aca="false">F585/E585</f>
        <v>0.0076769655327202</v>
      </c>
    </row>
    <row r="586" customFormat="false" ht="12.8" hidden="false" customHeight="false" outlineLevel="0" collapsed="false">
      <c r="A586" s="0" t="s">
        <v>919</v>
      </c>
      <c r="B586" s="0" t="s">
        <v>920</v>
      </c>
      <c r="C586" s="0" t="s">
        <v>19</v>
      </c>
      <c r="D586" s="0" t="s">
        <v>49</v>
      </c>
      <c r="E586" s="0" t="n">
        <v>43671.66</v>
      </c>
      <c r="F586" s="0" t="n">
        <v>131</v>
      </c>
      <c r="G586" s="0" t="str">
        <f aca="false">IF(F586&lt;=30,"Current",IF(F586&lt;=60,"31 to 60 days",IF(F586&lt;=90,"61 to 90 days",IF(F586&lt;=120,"91 to 120 days","Over 120 days"))))</f>
        <v>Over 120 days</v>
      </c>
      <c r="H586" s="0" t="n">
        <f aca="false">VLOOKUP(D586,Rates!$A$4:$B$7,2,FALSE())</f>
        <v>0.02</v>
      </c>
      <c r="I586" s="0" t="n">
        <f aca="false">VLOOKUP(F586,Rates!$D$4:$E$8,2)</f>
        <v>0.85</v>
      </c>
      <c r="J586" s="0" t="n">
        <f aca="false">ROUND(E586*I586,2)</f>
        <v>37120.91</v>
      </c>
      <c r="K586" s="1" t="n">
        <f aca="false">PV(H586/12,F586/30,0,-E586)</f>
        <v>43355.2437692943</v>
      </c>
      <c r="L586" s="0" t="n">
        <f aca="false">ROUND(E586-K586,2)</f>
        <v>316.42</v>
      </c>
      <c r="M586" s="0" t="n">
        <f aca="false">F586/E586</f>
        <v>0.00299965698578895</v>
      </c>
    </row>
    <row r="587" customFormat="false" ht="12.8" hidden="false" customHeight="false" outlineLevel="0" collapsed="false">
      <c r="A587" s="0" t="s">
        <v>921</v>
      </c>
      <c r="B587" s="0" t="s">
        <v>922</v>
      </c>
      <c r="C587" s="0" t="s">
        <v>19</v>
      </c>
      <c r="D587" s="0" t="s">
        <v>16</v>
      </c>
      <c r="E587" s="0" t="n">
        <v>37567.63</v>
      </c>
      <c r="F587" s="0" t="n">
        <v>13</v>
      </c>
      <c r="G587" s="0" t="str">
        <f aca="false">IF(F587&lt;=30,"Current",IF(F587&lt;=60,"31 to 60 days",IF(F587&lt;=90,"61 to 90 days",IF(F587&lt;=120,"91 to 120 days","Over 120 days"))))</f>
        <v>Current</v>
      </c>
      <c r="H587" s="0" t="n">
        <f aca="false">VLOOKUP(D587,Rates!$A$4:$B$7,2,FALSE())</f>
        <v>0.085</v>
      </c>
      <c r="I587" s="0" t="n">
        <f aca="false">VLOOKUP(F587,Rates!$D$4:$E$8,2)</f>
        <v>0.02</v>
      </c>
      <c r="J587" s="0" t="n">
        <f aca="false">ROUND(E587*I587,2)</f>
        <v>751.35</v>
      </c>
      <c r="K587" s="1" t="n">
        <f aca="false">PV(H587/12,F587/30,0,-E587)</f>
        <v>37452.9002712762</v>
      </c>
      <c r="L587" s="0" t="n">
        <f aca="false">ROUND(E587-K587,2)</f>
        <v>114.73</v>
      </c>
      <c r="M587" s="0" t="n">
        <f aca="false">F587/E587</f>
        <v>0.000346042590389652</v>
      </c>
    </row>
    <row r="588" customFormat="false" ht="12.8" hidden="false" customHeight="false" outlineLevel="0" collapsed="false">
      <c r="A588" s="0" t="s">
        <v>923</v>
      </c>
      <c r="B588" s="0" t="s">
        <v>198</v>
      </c>
      <c r="C588" s="0" t="s">
        <v>19</v>
      </c>
      <c r="D588" s="0" t="s">
        <v>23</v>
      </c>
      <c r="E588" s="0" t="n">
        <v>23737.86</v>
      </c>
      <c r="F588" s="0" t="n">
        <v>154</v>
      </c>
      <c r="G588" s="0" t="str">
        <f aca="false">IF(F588&lt;=30,"Current",IF(F588&lt;=60,"31 to 60 days",IF(F588&lt;=90,"61 to 90 days",IF(F588&lt;=120,"91 to 120 days","Over 120 days"))))</f>
        <v>Over 120 days</v>
      </c>
      <c r="H588" s="0" t="n">
        <f aca="false">VLOOKUP(D588,Rates!$A$4:$B$7,2,FALSE())</f>
        <v>0.115</v>
      </c>
      <c r="I588" s="0" t="n">
        <f aca="false">VLOOKUP(F588,Rates!$D$4:$E$8,2)</f>
        <v>0.85</v>
      </c>
      <c r="J588" s="0" t="n">
        <f aca="false">ROUND(E588*I588,2)</f>
        <v>20177.18</v>
      </c>
      <c r="K588" s="1" t="n">
        <f aca="false">PV(H588/12,F588/30,0,-E588)</f>
        <v>22603.6415892834</v>
      </c>
      <c r="L588" s="0" t="n">
        <f aca="false">ROUND(E588-K588,2)</f>
        <v>1134.22</v>
      </c>
      <c r="M588" s="0" t="n">
        <f aca="false">F588/E588</f>
        <v>0.00648752667679395</v>
      </c>
    </row>
    <row r="589" customFormat="false" ht="12.8" hidden="false" customHeight="false" outlineLevel="0" collapsed="false">
      <c r="A589" s="0" t="s">
        <v>924</v>
      </c>
      <c r="B589" s="0" t="s">
        <v>138</v>
      </c>
      <c r="C589" s="0" t="s">
        <v>15</v>
      </c>
      <c r="D589" s="0" t="s">
        <v>23</v>
      </c>
      <c r="E589" s="0" t="n">
        <v>41874.91</v>
      </c>
      <c r="F589" s="0" t="n">
        <v>99</v>
      </c>
      <c r="G589" s="0" t="str">
        <f aca="false">IF(F589&lt;=30,"Current",IF(F589&lt;=60,"31 to 60 days",IF(F589&lt;=90,"61 to 90 days",IF(F589&lt;=120,"91 to 120 days","Over 120 days"))))</f>
        <v>91 to 120 days</v>
      </c>
      <c r="H589" s="0" t="n">
        <f aca="false">VLOOKUP(D589,Rates!$A$4:$B$7,2,FALSE())</f>
        <v>0.115</v>
      </c>
      <c r="I589" s="0" t="n">
        <f aca="false">VLOOKUP(F589,Rates!$D$4:$E$8,2)</f>
        <v>0.5</v>
      </c>
      <c r="J589" s="0" t="n">
        <f aca="false">ROUND(E589*I589,2)</f>
        <v>20937.46</v>
      </c>
      <c r="K589" s="1" t="n">
        <f aca="false">PV(H589/12,F589/30,0,-E589)</f>
        <v>40577.4468559463</v>
      </c>
      <c r="L589" s="0" t="n">
        <f aca="false">ROUND(E589-K589,2)</f>
        <v>1297.46</v>
      </c>
      <c r="M589" s="0" t="n">
        <f aca="false">F589/E589</f>
        <v>0.00236418418570929</v>
      </c>
    </row>
    <row r="590" customFormat="false" ht="12.8" hidden="false" customHeight="false" outlineLevel="0" collapsed="false">
      <c r="A590" s="0" t="s">
        <v>925</v>
      </c>
      <c r="B590" s="0" t="s">
        <v>926</v>
      </c>
      <c r="C590" s="0" t="s">
        <v>26</v>
      </c>
      <c r="D590" s="0" t="s">
        <v>16</v>
      </c>
      <c r="E590" s="0" t="n">
        <v>23307.8</v>
      </c>
      <c r="F590" s="0" t="n">
        <v>234</v>
      </c>
      <c r="G590" s="0" t="str">
        <f aca="false">IF(F590&lt;=30,"Current",IF(F590&lt;=60,"31 to 60 days",IF(F590&lt;=90,"61 to 90 days",IF(F590&lt;=120,"91 to 120 days","Over 120 days"))))</f>
        <v>Over 120 days</v>
      </c>
      <c r="H590" s="0" t="n">
        <f aca="false">VLOOKUP(D590,Rates!$A$4:$B$7,2,FALSE())</f>
        <v>0.085</v>
      </c>
      <c r="I590" s="0" t="n">
        <f aca="false">VLOOKUP(F590,Rates!$D$4:$E$8,2)</f>
        <v>0.85</v>
      </c>
      <c r="J590" s="0" t="n">
        <f aca="false">ROUND(E590*I590,2)</f>
        <v>19811.63</v>
      </c>
      <c r="K590" s="1" t="n">
        <f aca="false">PV(H590/12,F590/30,0,-E590)</f>
        <v>22059.2678982757</v>
      </c>
      <c r="L590" s="0" t="n">
        <f aca="false">ROUND(E590-K590,2)</f>
        <v>1248.53</v>
      </c>
      <c r="M590" s="0" t="n">
        <f aca="false">F590/E590</f>
        <v>0.0100395575730013</v>
      </c>
    </row>
    <row r="591" customFormat="false" ht="12.8" hidden="false" customHeight="false" outlineLevel="0" collapsed="false">
      <c r="A591" s="0" t="s">
        <v>927</v>
      </c>
      <c r="B591" s="0" t="s">
        <v>51</v>
      </c>
      <c r="C591" s="0" t="s">
        <v>36</v>
      </c>
      <c r="D591" s="0" t="s">
        <v>20</v>
      </c>
      <c r="E591" s="0" t="n">
        <v>25419.26</v>
      </c>
      <c r="F591" s="0" t="n">
        <v>139</v>
      </c>
      <c r="G591" s="0" t="str">
        <f aca="false">IF(F591&lt;=30,"Current",IF(F591&lt;=60,"31 to 60 days",IF(F591&lt;=90,"61 to 90 days",IF(F591&lt;=120,"91 to 120 days","Over 120 days"))))</f>
        <v>Over 120 days</v>
      </c>
      <c r="H591" s="0" t="n">
        <f aca="false">VLOOKUP(D591,Rates!$A$4:$B$7,2,FALSE())</f>
        <v>0.05</v>
      </c>
      <c r="I591" s="0" t="n">
        <f aca="false">VLOOKUP(F591,Rates!$D$4:$E$8,2)</f>
        <v>0.85</v>
      </c>
      <c r="J591" s="0" t="n">
        <f aca="false">ROUND(E591*I591,2)</f>
        <v>21606.37</v>
      </c>
      <c r="K591" s="1" t="n">
        <f aca="false">PV(H591/12,F591/30,0,-E591)</f>
        <v>24934.2337188568</v>
      </c>
      <c r="L591" s="0" t="n">
        <f aca="false">ROUND(E591-K591,2)</f>
        <v>485.03</v>
      </c>
      <c r="M591" s="0" t="n">
        <f aca="false">F591/E591</f>
        <v>0.00546829451368765</v>
      </c>
    </row>
    <row r="592" customFormat="false" ht="12.8" hidden="false" customHeight="false" outlineLevel="0" collapsed="false">
      <c r="A592" s="0" t="s">
        <v>928</v>
      </c>
      <c r="B592" s="0" t="s">
        <v>51</v>
      </c>
      <c r="C592" s="0" t="s">
        <v>36</v>
      </c>
      <c r="D592" s="0" t="s">
        <v>20</v>
      </c>
      <c r="E592" s="0" t="n">
        <v>11877.5</v>
      </c>
      <c r="F592" s="0" t="n">
        <v>222</v>
      </c>
      <c r="G592" s="0" t="str">
        <f aca="false">IF(F592&lt;=30,"Current",IF(F592&lt;=60,"31 to 60 days",IF(F592&lt;=90,"61 to 90 days",IF(F592&lt;=120,"91 to 120 days","Over 120 days"))))</f>
        <v>Over 120 days</v>
      </c>
      <c r="H592" s="0" t="n">
        <f aca="false">VLOOKUP(D592,Rates!$A$4:$B$7,2,FALSE())</f>
        <v>0.05</v>
      </c>
      <c r="I592" s="0" t="n">
        <f aca="false">VLOOKUP(F592,Rates!$D$4:$E$8,2)</f>
        <v>0.85</v>
      </c>
      <c r="J592" s="0" t="n">
        <f aca="false">ROUND(E592*I592,2)</f>
        <v>10095.88</v>
      </c>
      <c r="K592" s="1" t="n">
        <f aca="false">PV(H592/12,F592/30,0,-E592)</f>
        <v>11517.6032105179</v>
      </c>
      <c r="L592" s="0" t="n">
        <f aca="false">ROUND(E592-K592,2)</f>
        <v>359.9</v>
      </c>
      <c r="M592" s="0" t="n">
        <f aca="false">F592/E592</f>
        <v>0.0186908019364344</v>
      </c>
    </row>
    <row r="593" customFormat="false" ht="12.8" hidden="false" customHeight="false" outlineLevel="0" collapsed="false">
      <c r="A593" s="0" t="s">
        <v>929</v>
      </c>
      <c r="B593" s="0" t="s">
        <v>33</v>
      </c>
      <c r="C593" s="0" t="s">
        <v>26</v>
      </c>
      <c r="D593" s="0" t="s">
        <v>20</v>
      </c>
      <c r="E593" s="0" t="n">
        <v>10654.85</v>
      </c>
      <c r="F593" s="0" t="n">
        <v>39</v>
      </c>
      <c r="G593" s="0" t="str">
        <f aca="false">IF(F593&lt;=30,"Current",IF(F593&lt;=60,"31 to 60 days",IF(F593&lt;=90,"61 to 90 days",IF(F593&lt;=120,"91 to 120 days","Over 120 days"))))</f>
        <v>31 to 60 days</v>
      </c>
      <c r="H593" s="0" t="n">
        <f aca="false">VLOOKUP(D593,Rates!$A$4:$B$7,2,FALSE())</f>
        <v>0.05</v>
      </c>
      <c r="I593" s="0" t="n">
        <f aca="false">VLOOKUP(F593,Rates!$D$4:$E$8,2)</f>
        <v>0.1</v>
      </c>
      <c r="J593" s="0" t="n">
        <f aca="false">ROUND(E593*I593,2)</f>
        <v>1065.49</v>
      </c>
      <c r="K593" s="1" t="n">
        <f aca="false">PV(H593/12,F593/30,0,-E593)</f>
        <v>10597.4115124723</v>
      </c>
      <c r="L593" s="0" t="n">
        <f aca="false">ROUND(E593-K593,2)</f>
        <v>57.44</v>
      </c>
      <c r="M593" s="0" t="n">
        <f aca="false">F593/E593</f>
        <v>0.00366030493155699</v>
      </c>
    </row>
    <row r="594" customFormat="false" ht="12.8" hidden="false" customHeight="false" outlineLevel="0" collapsed="false">
      <c r="A594" s="0" t="s">
        <v>930</v>
      </c>
      <c r="B594" s="0" t="s">
        <v>550</v>
      </c>
      <c r="C594" s="0" t="s">
        <v>36</v>
      </c>
      <c r="D594" s="0" t="s">
        <v>23</v>
      </c>
      <c r="E594" s="0" t="n">
        <v>26314.07</v>
      </c>
      <c r="F594" s="0" t="n">
        <v>350</v>
      </c>
      <c r="G594" s="0" t="str">
        <f aca="false">IF(F594&lt;=30,"Current",IF(F594&lt;=60,"31 to 60 days",IF(F594&lt;=90,"61 to 90 days",IF(F594&lt;=120,"91 to 120 days","Over 120 days"))))</f>
        <v>Over 120 days</v>
      </c>
      <c r="H594" s="0" t="n">
        <f aca="false">VLOOKUP(D594,Rates!$A$4:$B$7,2,FALSE())</f>
        <v>0.115</v>
      </c>
      <c r="I594" s="0" t="n">
        <f aca="false">VLOOKUP(F594,Rates!$D$4:$E$8,2)</f>
        <v>0.85</v>
      </c>
      <c r="J594" s="0" t="n">
        <f aca="false">ROUND(E594*I594,2)</f>
        <v>22366.96</v>
      </c>
      <c r="K594" s="1" t="n">
        <f aca="false">PV(H594/12,F594/30,0,-E594)</f>
        <v>23543.0475997364</v>
      </c>
      <c r="L594" s="0" t="n">
        <f aca="false">ROUND(E594-K594,2)</f>
        <v>2771.02</v>
      </c>
      <c r="M594" s="0" t="n">
        <f aca="false">F594/E594</f>
        <v>0.0133008690787856</v>
      </c>
    </row>
    <row r="595" customFormat="false" ht="12.8" hidden="false" customHeight="false" outlineLevel="0" collapsed="false">
      <c r="A595" s="0" t="s">
        <v>931</v>
      </c>
      <c r="B595" s="0" t="s">
        <v>932</v>
      </c>
      <c r="C595" s="0" t="s">
        <v>19</v>
      </c>
      <c r="D595" s="0" t="s">
        <v>16</v>
      </c>
      <c r="E595" s="0" t="n">
        <v>33561.14</v>
      </c>
      <c r="F595" s="0" t="n">
        <v>208</v>
      </c>
      <c r="G595" s="0" t="str">
        <f aca="false">IF(F595&lt;=30,"Current",IF(F595&lt;=60,"31 to 60 days",IF(F595&lt;=90,"61 to 90 days",IF(F595&lt;=120,"91 to 120 days","Over 120 days"))))</f>
        <v>Over 120 days</v>
      </c>
      <c r="H595" s="0" t="n">
        <f aca="false">VLOOKUP(D595,Rates!$A$4:$B$7,2,FALSE())</f>
        <v>0.085</v>
      </c>
      <c r="I595" s="0" t="n">
        <f aca="false">VLOOKUP(F595,Rates!$D$4:$E$8,2)</f>
        <v>0.85</v>
      </c>
      <c r="J595" s="0" t="n">
        <f aca="false">ROUND(E595*I595,2)</f>
        <v>28526.97</v>
      </c>
      <c r="K595" s="1" t="n">
        <f aca="false">PV(H595/12,F595/30,0,-E595)</f>
        <v>31958.2657755929</v>
      </c>
      <c r="L595" s="0" t="n">
        <f aca="false">ROUND(E595-K595,2)</f>
        <v>1602.87</v>
      </c>
      <c r="M595" s="0" t="n">
        <f aca="false">F595/E595</f>
        <v>0.0061976440609586</v>
      </c>
    </row>
    <row r="596" customFormat="false" ht="12.8" hidden="false" customHeight="false" outlineLevel="0" collapsed="false">
      <c r="A596" s="0" t="s">
        <v>933</v>
      </c>
      <c r="B596" s="0" t="s">
        <v>51</v>
      </c>
      <c r="C596" s="0" t="s">
        <v>36</v>
      </c>
      <c r="D596" s="0" t="s">
        <v>20</v>
      </c>
      <c r="E596" s="0" t="n">
        <v>18586.59</v>
      </c>
      <c r="F596" s="0" t="n">
        <v>334</v>
      </c>
      <c r="G596" s="0" t="str">
        <f aca="false">IF(F596&lt;=30,"Current",IF(F596&lt;=60,"31 to 60 days",IF(F596&lt;=90,"61 to 90 days",IF(F596&lt;=120,"91 to 120 days","Over 120 days"))))</f>
        <v>Over 120 days</v>
      </c>
      <c r="H596" s="0" t="n">
        <f aca="false">VLOOKUP(D596,Rates!$A$4:$B$7,2,FALSE())</f>
        <v>0.05</v>
      </c>
      <c r="I596" s="0" t="n">
        <f aca="false">VLOOKUP(F596,Rates!$D$4:$E$8,2)</f>
        <v>0.85</v>
      </c>
      <c r="J596" s="0" t="n">
        <f aca="false">ROUND(E596*I596,2)</f>
        <v>15798.6</v>
      </c>
      <c r="K596" s="1" t="n">
        <f aca="false">PV(H596/12,F596/30,0,-E596)</f>
        <v>17745.7817531085</v>
      </c>
      <c r="L596" s="0" t="n">
        <f aca="false">ROUND(E596-K596,2)</f>
        <v>840.81</v>
      </c>
      <c r="M596" s="0" t="n">
        <f aca="false">F596/E596</f>
        <v>0.0179699449979797</v>
      </c>
    </row>
    <row r="597" customFormat="false" ht="12.8" hidden="false" customHeight="false" outlineLevel="0" collapsed="false">
      <c r="A597" s="0" t="s">
        <v>934</v>
      </c>
      <c r="B597" s="0" t="s">
        <v>935</v>
      </c>
      <c r="C597" s="0" t="s">
        <v>19</v>
      </c>
      <c r="D597" s="0" t="s">
        <v>16</v>
      </c>
      <c r="E597" s="0" t="n">
        <v>7518.72</v>
      </c>
      <c r="F597" s="0" t="n">
        <v>281</v>
      </c>
      <c r="G597" s="0" t="str">
        <f aca="false">IF(F597&lt;=30,"Current",IF(F597&lt;=60,"31 to 60 days",IF(F597&lt;=90,"61 to 90 days",IF(F597&lt;=120,"91 to 120 days","Over 120 days"))))</f>
        <v>Over 120 days</v>
      </c>
      <c r="H597" s="0" t="n">
        <f aca="false">VLOOKUP(D597,Rates!$A$4:$B$7,2,FALSE())</f>
        <v>0.085</v>
      </c>
      <c r="I597" s="0" t="n">
        <f aca="false">VLOOKUP(F597,Rates!$D$4:$E$8,2)</f>
        <v>0.85</v>
      </c>
      <c r="J597" s="0" t="n">
        <f aca="false">ROUND(E597*I597,2)</f>
        <v>6390.91</v>
      </c>
      <c r="K597" s="1" t="n">
        <f aca="false">PV(H597/12,F597/30,0,-E597)</f>
        <v>7037.7081089923</v>
      </c>
      <c r="L597" s="0" t="n">
        <f aca="false">ROUND(E597-K597,2)</f>
        <v>481.01</v>
      </c>
      <c r="M597" s="0" t="n">
        <f aca="false">F597/E597</f>
        <v>0.0373733827034389</v>
      </c>
    </row>
    <row r="598" customFormat="false" ht="12.8" hidden="false" customHeight="false" outlineLevel="0" collapsed="false">
      <c r="A598" s="0" t="s">
        <v>936</v>
      </c>
      <c r="B598" s="0" t="s">
        <v>347</v>
      </c>
      <c r="C598" s="0" t="s">
        <v>42</v>
      </c>
      <c r="D598" s="0" t="s">
        <v>23</v>
      </c>
      <c r="E598" s="0" t="n">
        <v>36756.12</v>
      </c>
      <c r="F598" s="0" t="n">
        <v>212</v>
      </c>
      <c r="G598" s="0" t="str">
        <f aca="false">IF(F598&lt;=30,"Current",IF(F598&lt;=60,"31 to 60 days",IF(F598&lt;=90,"61 to 90 days",IF(F598&lt;=120,"91 to 120 days","Over 120 days"))))</f>
        <v>Over 120 days</v>
      </c>
      <c r="H598" s="0" t="n">
        <f aca="false">VLOOKUP(D598,Rates!$A$4:$B$7,2,FALSE())</f>
        <v>0.115</v>
      </c>
      <c r="I598" s="0" t="n">
        <f aca="false">VLOOKUP(F598,Rates!$D$4:$E$8,2)</f>
        <v>0.85</v>
      </c>
      <c r="J598" s="0" t="n">
        <f aca="false">ROUND(E598*I598,2)</f>
        <v>31242.7</v>
      </c>
      <c r="K598" s="1" t="n">
        <f aca="false">PV(H598/12,F598/30,0,-E598)</f>
        <v>34360.4077512188</v>
      </c>
      <c r="L598" s="0" t="n">
        <f aca="false">ROUND(E598-K598,2)</f>
        <v>2395.71</v>
      </c>
      <c r="M598" s="0" t="n">
        <f aca="false">F598/E598</f>
        <v>0.00576774697655792</v>
      </c>
    </row>
    <row r="599" customFormat="false" ht="12.8" hidden="false" customHeight="false" outlineLevel="0" collapsed="false">
      <c r="A599" s="0" t="s">
        <v>937</v>
      </c>
      <c r="B599" s="0" t="s">
        <v>938</v>
      </c>
      <c r="C599" s="0" t="s">
        <v>36</v>
      </c>
      <c r="D599" s="0" t="s">
        <v>49</v>
      </c>
      <c r="E599" s="0" t="n">
        <v>15967.31</v>
      </c>
      <c r="F599" s="0" t="n">
        <v>201</v>
      </c>
      <c r="G599" s="0" t="str">
        <f aca="false">IF(F599&lt;=30,"Current",IF(F599&lt;=60,"31 to 60 days",IF(F599&lt;=90,"61 to 90 days",IF(F599&lt;=120,"91 to 120 days","Over 120 days"))))</f>
        <v>Over 120 days</v>
      </c>
      <c r="H599" s="0" t="n">
        <f aca="false">VLOOKUP(D599,Rates!$A$4:$B$7,2,FALSE())</f>
        <v>0.02</v>
      </c>
      <c r="I599" s="0" t="n">
        <f aca="false">VLOOKUP(F599,Rates!$D$4:$E$8,2)</f>
        <v>0.85</v>
      </c>
      <c r="J599" s="0" t="n">
        <f aca="false">ROUND(E599*I599,2)</f>
        <v>13572.21</v>
      </c>
      <c r="K599" s="1" t="n">
        <f aca="false">PV(H599/12,F599/30,0,-E599)</f>
        <v>15790.1469662252</v>
      </c>
      <c r="L599" s="0" t="n">
        <f aca="false">ROUND(E599-K599,2)</f>
        <v>177.16</v>
      </c>
      <c r="M599" s="0" t="n">
        <f aca="false">F599/E599</f>
        <v>0.0125882193055687</v>
      </c>
    </row>
    <row r="600" customFormat="false" ht="12.8" hidden="false" customHeight="false" outlineLevel="0" collapsed="false">
      <c r="A600" s="0" t="s">
        <v>939</v>
      </c>
      <c r="B600" s="0" t="s">
        <v>940</v>
      </c>
      <c r="C600" s="0" t="s">
        <v>26</v>
      </c>
      <c r="D600" s="0" t="s">
        <v>49</v>
      </c>
      <c r="E600" s="0" t="n">
        <v>6953.37</v>
      </c>
      <c r="F600" s="0" t="n">
        <v>73</v>
      </c>
      <c r="G600" s="0" t="str">
        <f aca="false">IF(F600&lt;=30,"Current",IF(F600&lt;=60,"31 to 60 days",IF(F600&lt;=90,"61 to 90 days",IF(F600&lt;=120,"91 to 120 days","Over 120 days"))))</f>
        <v>61 to 90 days</v>
      </c>
      <c r="H600" s="0" t="n">
        <f aca="false">VLOOKUP(D600,Rates!$A$4:$B$7,2,FALSE())</f>
        <v>0.02</v>
      </c>
      <c r="I600" s="0" t="n">
        <f aca="false">VLOOKUP(F600,Rates!$D$4:$E$8,2)</f>
        <v>0.25</v>
      </c>
      <c r="J600" s="0" t="n">
        <f aca="false">ROUND(E600*I600,2)</f>
        <v>1738.34</v>
      </c>
      <c r="K600" s="1" t="n">
        <f aca="false">PV(H600/12,F600/30,0,-E600)</f>
        <v>6925.2507060962</v>
      </c>
      <c r="L600" s="0" t="n">
        <f aca="false">ROUND(E600-K600,2)</f>
        <v>28.12</v>
      </c>
      <c r="M600" s="0" t="n">
        <f aca="false">F600/E600</f>
        <v>0.0104985064795919</v>
      </c>
    </row>
    <row r="601" customFormat="false" ht="12.8" hidden="false" customHeight="false" outlineLevel="0" collapsed="false">
      <c r="A601" s="0" t="s">
        <v>941</v>
      </c>
      <c r="B601" s="0" t="s">
        <v>942</v>
      </c>
      <c r="C601" s="0" t="s">
        <v>31</v>
      </c>
      <c r="D601" s="0" t="s">
        <v>49</v>
      </c>
      <c r="E601" s="0" t="n">
        <v>29382.76</v>
      </c>
      <c r="F601" s="0" t="n">
        <v>357</v>
      </c>
      <c r="G601" s="0" t="str">
        <f aca="false">IF(F601&lt;=30,"Current",IF(F601&lt;=60,"31 to 60 days",IF(F601&lt;=90,"61 to 90 days",IF(F601&lt;=120,"91 to 120 days","Over 120 days"))))</f>
        <v>Over 120 days</v>
      </c>
      <c r="H601" s="0" t="n">
        <f aca="false">VLOOKUP(D601,Rates!$A$4:$B$7,2,FALSE())</f>
        <v>0.02</v>
      </c>
      <c r="I601" s="0" t="n">
        <f aca="false">VLOOKUP(F601,Rates!$D$4:$E$8,2)</f>
        <v>0.85</v>
      </c>
      <c r="J601" s="0" t="n">
        <f aca="false">ROUND(E601*I601,2)</f>
        <v>24975.35</v>
      </c>
      <c r="K601" s="1" t="n">
        <f aca="false">PV(H601/12,F601/30,0,-E601)</f>
        <v>28806.2184976973</v>
      </c>
      <c r="L601" s="0" t="n">
        <f aca="false">ROUND(E601-K601,2)</f>
        <v>576.54</v>
      </c>
      <c r="M601" s="0" t="n">
        <f aca="false">F601/E601</f>
        <v>0.0121499818260776</v>
      </c>
    </row>
    <row r="602" customFormat="false" ht="12.8" hidden="false" customHeight="false" outlineLevel="0" collapsed="false">
      <c r="A602" s="0" t="s">
        <v>943</v>
      </c>
      <c r="B602" s="0" t="s">
        <v>35</v>
      </c>
      <c r="C602" s="0" t="s">
        <v>36</v>
      </c>
      <c r="D602" s="0" t="s">
        <v>23</v>
      </c>
      <c r="E602" s="0" t="n">
        <v>7838.8</v>
      </c>
      <c r="F602" s="0" t="n">
        <v>235</v>
      </c>
      <c r="G602" s="0" t="str">
        <f aca="false">IF(F602&lt;=30,"Current",IF(F602&lt;=60,"31 to 60 days",IF(F602&lt;=90,"61 to 90 days",IF(F602&lt;=120,"91 to 120 days","Over 120 days"))))</f>
        <v>Over 120 days</v>
      </c>
      <c r="H602" s="0" t="n">
        <f aca="false">VLOOKUP(D602,Rates!$A$4:$B$7,2,FALSE())</f>
        <v>0.115</v>
      </c>
      <c r="I602" s="0" t="n">
        <f aca="false">VLOOKUP(F602,Rates!$D$4:$E$8,2)</f>
        <v>0.85</v>
      </c>
      <c r="J602" s="0" t="n">
        <f aca="false">ROUND(E602*I602,2)</f>
        <v>6662.98</v>
      </c>
      <c r="K602" s="1" t="n">
        <f aca="false">PV(H602/12,F602/30,0,-E602)</f>
        <v>7274.49025813406</v>
      </c>
      <c r="L602" s="0" t="n">
        <f aca="false">ROUND(E602-K602,2)</f>
        <v>564.31</v>
      </c>
      <c r="M602" s="0" t="n">
        <f aca="false">F602/E602</f>
        <v>0.029979078430372</v>
      </c>
    </row>
    <row r="603" customFormat="false" ht="12.8" hidden="false" customHeight="false" outlineLevel="0" collapsed="false">
      <c r="A603" s="0" t="s">
        <v>944</v>
      </c>
      <c r="B603" s="0" t="s">
        <v>945</v>
      </c>
      <c r="C603" s="0" t="s">
        <v>31</v>
      </c>
      <c r="D603" s="0" t="s">
        <v>49</v>
      </c>
      <c r="E603" s="0" t="n">
        <v>5870.24</v>
      </c>
      <c r="F603" s="0" t="n">
        <v>238</v>
      </c>
      <c r="G603" s="0" t="str">
        <f aca="false">IF(F603&lt;=30,"Current",IF(F603&lt;=60,"31 to 60 days",IF(F603&lt;=90,"61 to 90 days",IF(F603&lt;=120,"91 to 120 days","Over 120 days"))))</f>
        <v>Over 120 days</v>
      </c>
      <c r="H603" s="0" t="n">
        <f aca="false">VLOOKUP(D603,Rates!$A$4:$B$7,2,FALSE())</f>
        <v>0.02</v>
      </c>
      <c r="I603" s="0" t="n">
        <f aca="false">VLOOKUP(F603,Rates!$D$4:$E$8,2)</f>
        <v>0.85</v>
      </c>
      <c r="J603" s="0" t="n">
        <f aca="false">ROUND(E603*I603,2)</f>
        <v>4989.7</v>
      </c>
      <c r="K603" s="1" t="n">
        <f aca="false">PV(H603/12,F603/30,0,-E603)</f>
        <v>5793.19702802384</v>
      </c>
      <c r="L603" s="0" t="n">
        <f aca="false">ROUND(E603-K603,2)</f>
        <v>77.04</v>
      </c>
      <c r="M603" s="0" t="n">
        <f aca="false">F603/E603</f>
        <v>0.0405434871487367</v>
      </c>
    </row>
    <row r="604" customFormat="false" ht="12.8" hidden="false" customHeight="false" outlineLevel="0" collapsed="false">
      <c r="A604" s="0" t="s">
        <v>946</v>
      </c>
      <c r="B604" s="0" t="s">
        <v>194</v>
      </c>
      <c r="C604" s="0" t="s">
        <v>15</v>
      </c>
      <c r="D604" s="0" t="s">
        <v>23</v>
      </c>
      <c r="E604" s="0" t="n">
        <v>5063.38</v>
      </c>
      <c r="F604" s="0" t="n">
        <v>96</v>
      </c>
      <c r="G604" s="0" t="str">
        <f aca="false">IF(F604&lt;=30,"Current",IF(F604&lt;=60,"31 to 60 days",IF(F604&lt;=90,"61 to 90 days",IF(F604&lt;=120,"91 to 120 days","Over 120 days"))))</f>
        <v>91 to 120 days</v>
      </c>
      <c r="H604" s="0" t="n">
        <f aca="false">VLOOKUP(D604,Rates!$A$4:$B$7,2,FALSE())</f>
        <v>0.115</v>
      </c>
      <c r="I604" s="0" t="n">
        <f aca="false">VLOOKUP(F604,Rates!$D$4:$E$8,2)</f>
        <v>0.5</v>
      </c>
      <c r="J604" s="0" t="n">
        <f aca="false">ROUND(E604*I604,2)</f>
        <v>2531.69</v>
      </c>
      <c r="K604" s="1" t="n">
        <f aca="false">PV(H604/12,F604/30,0,-E604)</f>
        <v>4911.17681436915</v>
      </c>
      <c r="L604" s="0" t="n">
        <f aca="false">ROUND(E604-K604,2)</f>
        <v>152.2</v>
      </c>
      <c r="M604" s="0" t="n">
        <f aca="false">F604/E604</f>
        <v>0.0189596672578396</v>
      </c>
    </row>
    <row r="605" customFormat="false" ht="12.8" hidden="false" customHeight="false" outlineLevel="0" collapsed="false">
      <c r="A605" s="0" t="s">
        <v>947</v>
      </c>
      <c r="B605" s="0" t="s">
        <v>948</v>
      </c>
      <c r="C605" s="0" t="s">
        <v>26</v>
      </c>
      <c r="D605" s="0" t="s">
        <v>16</v>
      </c>
      <c r="E605" s="0" t="n">
        <v>21320.49</v>
      </c>
      <c r="F605" s="0" t="n">
        <v>396</v>
      </c>
      <c r="G605" s="0" t="str">
        <f aca="false">IF(F605&lt;=30,"Current",IF(F605&lt;=60,"31 to 60 days",IF(F605&lt;=90,"61 to 90 days",IF(F605&lt;=120,"91 to 120 days","Over 120 days"))))</f>
        <v>Over 120 days</v>
      </c>
      <c r="H605" s="0" t="n">
        <f aca="false">VLOOKUP(D605,Rates!$A$4:$B$7,2,FALSE())</f>
        <v>0.085</v>
      </c>
      <c r="I605" s="0" t="n">
        <f aca="false">VLOOKUP(F605,Rates!$D$4:$E$8,2)</f>
        <v>0.85</v>
      </c>
      <c r="J605" s="0" t="n">
        <f aca="false">ROUND(E605*I605,2)</f>
        <v>18122.42</v>
      </c>
      <c r="K605" s="1" t="n">
        <f aca="false">PV(H605/12,F605/30,0,-E605)</f>
        <v>19423.7816292502</v>
      </c>
      <c r="L605" s="0" t="n">
        <f aca="false">ROUND(E605-K605,2)</f>
        <v>1896.71</v>
      </c>
      <c r="M605" s="0" t="n">
        <f aca="false">F605/E605</f>
        <v>0.0185736819369536</v>
      </c>
    </row>
    <row r="606" customFormat="false" ht="12.8" hidden="false" customHeight="false" outlineLevel="0" collapsed="false">
      <c r="A606" s="0" t="s">
        <v>949</v>
      </c>
      <c r="B606" s="0" t="s">
        <v>28</v>
      </c>
      <c r="C606" s="0" t="s">
        <v>15</v>
      </c>
      <c r="D606" s="0" t="s">
        <v>20</v>
      </c>
      <c r="E606" s="0" t="n">
        <v>27717.98</v>
      </c>
      <c r="F606" s="0" t="n">
        <v>102</v>
      </c>
      <c r="G606" s="0" t="str">
        <f aca="false">IF(F606&lt;=30,"Current",IF(F606&lt;=60,"31 to 60 days",IF(F606&lt;=90,"61 to 90 days",IF(F606&lt;=120,"91 to 120 days","Over 120 days"))))</f>
        <v>91 to 120 days</v>
      </c>
      <c r="H606" s="0" t="n">
        <f aca="false">VLOOKUP(D606,Rates!$A$4:$B$7,2,FALSE())</f>
        <v>0.05</v>
      </c>
      <c r="I606" s="0" t="n">
        <f aca="false">VLOOKUP(F606,Rates!$D$4:$E$8,2)</f>
        <v>0.5</v>
      </c>
      <c r="J606" s="0" t="n">
        <f aca="false">ROUND(E606*I606,2)</f>
        <v>13858.99</v>
      </c>
      <c r="K606" s="1" t="n">
        <f aca="false">PV(H606/12,F606/30,0,-E606)</f>
        <v>27328.8812870606</v>
      </c>
      <c r="L606" s="0" t="n">
        <f aca="false">ROUND(E606-K606,2)</f>
        <v>389.1</v>
      </c>
      <c r="M606" s="0" t="n">
        <f aca="false">F606/E606</f>
        <v>0.0036799218413463</v>
      </c>
    </row>
    <row r="607" customFormat="false" ht="12.8" hidden="false" customHeight="false" outlineLevel="0" collapsed="false">
      <c r="A607" s="0" t="s">
        <v>950</v>
      </c>
      <c r="B607" s="0" t="s">
        <v>242</v>
      </c>
      <c r="C607" s="0" t="s">
        <v>36</v>
      </c>
      <c r="D607" s="0" t="s">
        <v>23</v>
      </c>
      <c r="E607" s="0" t="n">
        <v>9943.36</v>
      </c>
      <c r="F607" s="0" t="n">
        <v>45</v>
      </c>
      <c r="G607" s="0" t="str">
        <f aca="false">IF(F607&lt;=30,"Current",IF(F607&lt;=60,"31 to 60 days",IF(F607&lt;=90,"61 to 90 days",IF(F607&lt;=120,"91 to 120 days","Over 120 days"))))</f>
        <v>31 to 60 days</v>
      </c>
      <c r="H607" s="0" t="n">
        <f aca="false">VLOOKUP(D607,Rates!$A$4:$B$7,2,FALSE())</f>
        <v>0.115</v>
      </c>
      <c r="I607" s="0" t="n">
        <f aca="false">VLOOKUP(F607,Rates!$D$4:$E$8,2)</f>
        <v>0.1</v>
      </c>
      <c r="J607" s="0" t="n">
        <f aca="false">ROUND(E607*I607,2)</f>
        <v>994.34</v>
      </c>
      <c r="K607" s="1" t="n">
        <f aca="false">PV(H607/12,F607/30,0,-E607)</f>
        <v>9802.11751208685</v>
      </c>
      <c r="L607" s="0" t="n">
        <f aca="false">ROUND(E607-K607,2)</f>
        <v>141.24</v>
      </c>
      <c r="M607" s="0" t="n">
        <f aca="false">F607/E607</f>
        <v>0.00452563318636759</v>
      </c>
    </row>
    <row r="608" customFormat="false" ht="12.8" hidden="false" customHeight="false" outlineLevel="0" collapsed="false">
      <c r="A608" s="0" t="s">
        <v>951</v>
      </c>
      <c r="B608" s="0" t="s">
        <v>952</v>
      </c>
      <c r="C608" s="0" t="s">
        <v>19</v>
      </c>
      <c r="D608" s="0" t="s">
        <v>16</v>
      </c>
      <c r="E608" s="0" t="n">
        <v>5556.1</v>
      </c>
      <c r="F608" s="0" t="n">
        <v>367</v>
      </c>
      <c r="G608" s="0" t="str">
        <f aca="false">IF(F608&lt;=30,"Current",IF(F608&lt;=60,"31 to 60 days",IF(F608&lt;=90,"61 to 90 days",IF(F608&lt;=120,"91 to 120 days","Over 120 days"))))</f>
        <v>Over 120 days</v>
      </c>
      <c r="H608" s="0" t="n">
        <f aca="false">VLOOKUP(D608,Rates!$A$4:$B$7,2,FALSE())</f>
        <v>0.085</v>
      </c>
      <c r="I608" s="0" t="n">
        <f aca="false">VLOOKUP(F608,Rates!$D$4:$E$8,2)</f>
        <v>0.85</v>
      </c>
      <c r="J608" s="0" t="n">
        <f aca="false">ROUND(E608*I608,2)</f>
        <v>4722.69</v>
      </c>
      <c r="K608" s="1" t="n">
        <f aca="false">PV(H608/12,F608/30,0,-E608)</f>
        <v>5096.47487211944</v>
      </c>
      <c r="L608" s="0" t="n">
        <f aca="false">ROUND(E608-K608,2)</f>
        <v>459.63</v>
      </c>
      <c r="M608" s="0" t="n">
        <f aca="false">F608/E608</f>
        <v>0.0660535267543781</v>
      </c>
    </row>
    <row r="609" customFormat="false" ht="12.8" hidden="false" customHeight="false" outlineLevel="0" collapsed="false">
      <c r="A609" s="0" t="s">
        <v>953</v>
      </c>
      <c r="B609" s="0" t="s">
        <v>349</v>
      </c>
      <c r="C609" s="0" t="s">
        <v>15</v>
      </c>
      <c r="D609" s="0" t="s">
        <v>49</v>
      </c>
      <c r="E609" s="0" t="n">
        <v>42874.2</v>
      </c>
      <c r="F609" s="0" t="n">
        <v>232</v>
      </c>
      <c r="G609" s="0" t="str">
        <f aca="false">IF(F609&lt;=30,"Current",IF(F609&lt;=60,"31 to 60 days",IF(F609&lt;=90,"61 to 90 days",IF(F609&lt;=120,"91 to 120 days","Over 120 days"))))</f>
        <v>Over 120 days</v>
      </c>
      <c r="H609" s="0" t="n">
        <f aca="false">VLOOKUP(D609,Rates!$A$4:$B$7,2,FALSE())</f>
        <v>0.02</v>
      </c>
      <c r="I609" s="0" t="n">
        <f aca="false">VLOOKUP(F609,Rates!$D$4:$E$8,2)</f>
        <v>0.85</v>
      </c>
      <c r="J609" s="0" t="n">
        <f aca="false">ROUND(E609*I609,2)</f>
        <v>36443.07</v>
      </c>
      <c r="K609" s="1" t="n">
        <f aca="false">PV(H609/12,F609/30,0,-E609)</f>
        <v>42325.5992556987</v>
      </c>
      <c r="L609" s="0" t="n">
        <f aca="false">ROUND(E609-K609,2)</f>
        <v>548.6</v>
      </c>
      <c r="M609" s="0" t="n">
        <f aca="false">F609/E609</f>
        <v>0.00541117968381917</v>
      </c>
    </row>
    <row r="610" customFormat="false" ht="12.8" hidden="false" customHeight="false" outlineLevel="0" collapsed="false">
      <c r="A610" s="0" t="s">
        <v>954</v>
      </c>
      <c r="B610" s="0" t="s">
        <v>534</v>
      </c>
      <c r="C610" s="0" t="s">
        <v>26</v>
      </c>
      <c r="D610" s="0" t="s">
        <v>23</v>
      </c>
      <c r="E610" s="0" t="n">
        <v>36998.53</v>
      </c>
      <c r="F610" s="0" t="n">
        <v>127</v>
      </c>
      <c r="G610" s="0" t="str">
        <f aca="false">IF(F610&lt;=30,"Current",IF(F610&lt;=60,"31 to 60 days",IF(F610&lt;=90,"61 to 90 days",IF(F610&lt;=120,"91 to 120 days","Over 120 days"))))</f>
        <v>Over 120 days</v>
      </c>
      <c r="H610" s="0" t="n">
        <f aca="false">VLOOKUP(D610,Rates!$A$4:$B$7,2,FALSE())</f>
        <v>0.115</v>
      </c>
      <c r="I610" s="0" t="n">
        <f aca="false">VLOOKUP(F610,Rates!$D$4:$E$8,2)</f>
        <v>0.85</v>
      </c>
      <c r="J610" s="0" t="n">
        <f aca="false">ROUND(E610*I610,2)</f>
        <v>31448.75</v>
      </c>
      <c r="K610" s="1" t="n">
        <f aca="false">PV(H610/12,F610/30,0,-E610)</f>
        <v>35534.4233976229</v>
      </c>
      <c r="L610" s="0" t="n">
        <f aca="false">ROUND(E610-K610,2)</f>
        <v>1464.11</v>
      </c>
      <c r="M610" s="0" t="n">
        <f aca="false">F610/E610</f>
        <v>0.00343256880746343</v>
      </c>
    </row>
    <row r="611" customFormat="false" ht="12.8" hidden="false" customHeight="false" outlineLevel="0" collapsed="false">
      <c r="A611" s="0" t="s">
        <v>955</v>
      </c>
      <c r="B611" s="0" t="s">
        <v>956</v>
      </c>
      <c r="C611" s="0" t="s">
        <v>42</v>
      </c>
      <c r="D611" s="0" t="s">
        <v>16</v>
      </c>
      <c r="E611" s="0" t="n">
        <v>44954.66</v>
      </c>
      <c r="F611" s="0" t="n">
        <v>128</v>
      </c>
      <c r="G611" s="0" t="str">
        <f aca="false">IF(F611&lt;=30,"Current",IF(F611&lt;=60,"31 to 60 days",IF(F611&lt;=90,"61 to 90 days",IF(F611&lt;=120,"91 to 120 days","Over 120 days"))))</f>
        <v>Over 120 days</v>
      </c>
      <c r="H611" s="0" t="n">
        <f aca="false">VLOOKUP(D611,Rates!$A$4:$B$7,2,FALSE())</f>
        <v>0.085</v>
      </c>
      <c r="I611" s="0" t="n">
        <f aca="false">VLOOKUP(F611,Rates!$D$4:$E$8,2)</f>
        <v>0.85</v>
      </c>
      <c r="J611" s="0" t="n">
        <f aca="false">ROUND(E611*I611,2)</f>
        <v>38211.46</v>
      </c>
      <c r="K611" s="1" t="n">
        <f aca="false">PV(H611/12,F611/30,0,-E611)</f>
        <v>43621.0022921679</v>
      </c>
      <c r="L611" s="0" t="n">
        <f aca="false">ROUND(E611-K611,2)</f>
        <v>1333.66</v>
      </c>
      <c r="M611" s="0" t="n">
        <f aca="false">F611/E611</f>
        <v>0.00284731327074879</v>
      </c>
    </row>
    <row r="612" customFormat="false" ht="12.8" hidden="false" customHeight="false" outlineLevel="0" collapsed="false">
      <c r="A612" s="0" t="s">
        <v>957</v>
      </c>
      <c r="B612" s="0" t="s">
        <v>33</v>
      </c>
      <c r="C612" s="0" t="s">
        <v>26</v>
      </c>
      <c r="D612" s="0" t="s">
        <v>20</v>
      </c>
      <c r="E612" s="0" t="n">
        <v>25951.71</v>
      </c>
      <c r="F612" s="0" t="n">
        <v>241</v>
      </c>
      <c r="G612" s="0" t="str">
        <f aca="false">IF(F612&lt;=30,"Current",IF(F612&lt;=60,"31 to 60 days",IF(F612&lt;=90,"61 to 90 days",IF(F612&lt;=120,"91 to 120 days","Over 120 days"))))</f>
        <v>Over 120 days</v>
      </c>
      <c r="H612" s="0" t="n">
        <f aca="false">VLOOKUP(D612,Rates!$A$4:$B$7,2,FALSE())</f>
        <v>0.05</v>
      </c>
      <c r="I612" s="0" t="n">
        <f aca="false">VLOOKUP(F612,Rates!$D$4:$E$8,2)</f>
        <v>0.85</v>
      </c>
      <c r="J612" s="0" t="n">
        <f aca="false">ROUND(E612*I612,2)</f>
        <v>22058.95</v>
      </c>
      <c r="K612" s="1" t="n">
        <f aca="false">PV(H612/12,F612/30,0,-E612)</f>
        <v>25099.1711044917</v>
      </c>
      <c r="L612" s="0" t="n">
        <f aca="false">ROUND(E612-K612,2)</f>
        <v>852.54</v>
      </c>
      <c r="M612" s="0" t="n">
        <f aca="false">F612/E612</f>
        <v>0.00928647861740132</v>
      </c>
    </row>
    <row r="613" customFormat="false" ht="12.8" hidden="false" customHeight="false" outlineLevel="0" collapsed="false">
      <c r="A613" s="0" t="s">
        <v>958</v>
      </c>
      <c r="B613" s="0" t="s">
        <v>959</v>
      </c>
      <c r="C613" s="0" t="s">
        <v>31</v>
      </c>
      <c r="D613" s="0" t="s">
        <v>16</v>
      </c>
      <c r="E613" s="0" t="n">
        <v>0</v>
      </c>
      <c r="F613" s="0" t="n">
        <v>230</v>
      </c>
      <c r="G613" s="0" t="str">
        <f aca="false">IF(F613&lt;=30,"Current",IF(F613&lt;=60,"31 to 60 days",IF(F613&lt;=90,"61 to 90 days",IF(F613&lt;=120,"91 to 120 days","Over 120 days"))))</f>
        <v>Over 120 days</v>
      </c>
      <c r="H613" s="0" t="n">
        <f aca="false">VLOOKUP(D613,Rates!$A$4:$B$7,2,FALSE())</f>
        <v>0.085</v>
      </c>
      <c r="I613" s="0" t="n">
        <f aca="false">VLOOKUP(F613,Rates!$D$4:$E$8,2)</f>
        <v>0.85</v>
      </c>
      <c r="J613" s="0" t="n">
        <f aca="false">ROUND(E613*I613,2)</f>
        <v>0</v>
      </c>
      <c r="K613" s="1" t="n">
        <f aca="false">PV(H613/12,F613/30,0,-E613)</f>
        <v>-0</v>
      </c>
      <c r="L613" s="0" t="n">
        <f aca="false">ROUND(E613-K613,2)</f>
        <v>0</v>
      </c>
      <c r="M613" s="0" t="e">
        <f aca="false">F613/E613</f>
        <v>#DIV/0!</v>
      </c>
    </row>
    <row r="614" customFormat="false" ht="12.8" hidden="false" customHeight="false" outlineLevel="0" collapsed="false">
      <c r="A614" s="0" t="s">
        <v>960</v>
      </c>
      <c r="B614" s="0" t="s">
        <v>961</v>
      </c>
      <c r="C614" s="0" t="s">
        <v>42</v>
      </c>
      <c r="D614" s="0" t="s">
        <v>16</v>
      </c>
      <c r="E614" s="0" t="n">
        <v>7512.59</v>
      </c>
      <c r="F614" s="0" t="n">
        <v>263</v>
      </c>
      <c r="G614" s="0" t="str">
        <f aca="false">IF(F614&lt;=30,"Current",IF(F614&lt;=60,"31 to 60 days",IF(F614&lt;=90,"61 to 90 days",IF(F614&lt;=120,"91 to 120 days","Over 120 days"))))</f>
        <v>Over 120 days</v>
      </c>
      <c r="H614" s="0" t="n">
        <f aca="false">VLOOKUP(D614,Rates!$A$4:$B$7,2,FALSE())</f>
        <v>0.085</v>
      </c>
      <c r="I614" s="0" t="n">
        <f aca="false">VLOOKUP(F614,Rates!$D$4:$E$8,2)</f>
        <v>0.85</v>
      </c>
      <c r="J614" s="0" t="n">
        <f aca="false">ROUND(E614*I614,2)</f>
        <v>6385.7</v>
      </c>
      <c r="K614" s="1" t="n">
        <f aca="false">PV(H614/12,F614/30,0,-E614)</f>
        <v>7061.81395190948</v>
      </c>
      <c r="L614" s="0" t="n">
        <f aca="false">ROUND(E614-K614,2)</f>
        <v>450.78</v>
      </c>
      <c r="M614" s="0" t="n">
        <f aca="false">F614/E614</f>
        <v>0.0350079000717462</v>
      </c>
    </row>
    <row r="615" customFormat="false" ht="12.8" hidden="false" customHeight="false" outlineLevel="0" collapsed="false">
      <c r="A615" s="0" t="s">
        <v>962</v>
      </c>
      <c r="B615" s="0" t="s">
        <v>28</v>
      </c>
      <c r="C615" s="0" t="s">
        <v>15</v>
      </c>
      <c r="D615" s="0" t="s">
        <v>20</v>
      </c>
      <c r="E615" s="0" t="n">
        <v>26420.29</v>
      </c>
      <c r="F615" s="0" t="n">
        <v>12</v>
      </c>
      <c r="G615" s="0" t="str">
        <f aca="false">IF(F615&lt;=30,"Current",IF(F615&lt;=60,"31 to 60 days",IF(F615&lt;=90,"61 to 90 days",IF(F615&lt;=120,"91 to 120 days","Over 120 days"))))</f>
        <v>Current</v>
      </c>
      <c r="H615" s="0" t="n">
        <f aca="false">VLOOKUP(D615,Rates!$A$4:$B$7,2,FALSE())</f>
        <v>0.05</v>
      </c>
      <c r="I615" s="0" t="n">
        <f aca="false">VLOOKUP(F615,Rates!$D$4:$E$8,2)</f>
        <v>0.02</v>
      </c>
      <c r="J615" s="0" t="n">
        <f aca="false">ROUND(E615*I615,2)</f>
        <v>528.41</v>
      </c>
      <c r="K615" s="1" t="n">
        <f aca="false">PV(H615/12,F615/30,0,-E615)</f>
        <v>26376.3841887027</v>
      </c>
      <c r="L615" s="0" t="n">
        <f aca="false">ROUND(E615-K615,2)</f>
        <v>43.91</v>
      </c>
      <c r="M615" s="0" t="n">
        <f aca="false">F615/E615</f>
        <v>0.000454196377102598</v>
      </c>
    </row>
    <row r="616" customFormat="false" ht="12.8" hidden="false" customHeight="false" outlineLevel="0" collapsed="false">
      <c r="A616" s="0" t="s">
        <v>963</v>
      </c>
      <c r="B616" s="0" t="s">
        <v>964</v>
      </c>
      <c r="C616" s="0" t="s">
        <v>36</v>
      </c>
      <c r="D616" s="0" t="s">
        <v>16</v>
      </c>
      <c r="E616" s="0" t="n">
        <v>909.32</v>
      </c>
      <c r="F616" s="0" t="n">
        <v>201</v>
      </c>
      <c r="G616" s="0" t="str">
        <f aca="false">IF(F616&lt;=30,"Current",IF(F616&lt;=60,"31 to 60 days",IF(F616&lt;=90,"61 to 90 days",IF(F616&lt;=120,"91 to 120 days","Over 120 days"))))</f>
        <v>Over 120 days</v>
      </c>
      <c r="H616" s="0" t="n">
        <f aca="false">VLOOKUP(D616,Rates!$A$4:$B$7,2,FALSE())</f>
        <v>0.085</v>
      </c>
      <c r="I616" s="0" t="n">
        <f aca="false">VLOOKUP(F616,Rates!$D$4:$E$8,2)</f>
        <v>0.85</v>
      </c>
      <c r="J616" s="0" t="n">
        <f aca="false">ROUND(E616*I616,2)</f>
        <v>772.92</v>
      </c>
      <c r="K616" s="1" t="n">
        <f aca="false">PV(H616/12,F616/30,0,-E616)</f>
        <v>867.31829023056</v>
      </c>
      <c r="L616" s="0" t="n">
        <f aca="false">ROUND(E616-K616,2)</f>
        <v>42</v>
      </c>
      <c r="M616" s="0" t="n">
        <f aca="false">F616/E616</f>
        <v>0.221044296837197</v>
      </c>
    </row>
    <row r="617" customFormat="false" ht="12.8" hidden="false" customHeight="false" outlineLevel="0" collapsed="false">
      <c r="A617" s="0" t="s">
        <v>965</v>
      </c>
      <c r="B617" s="0" t="s">
        <v>97</v>
      </c>
      <c r="C617" s="0" t="s">
        <v>42</v>
      </c>
      <c r="D617" s="0" t="s">
        <v>20</v>
      </c>
      <c r="E617" s="0" t="n">
        <v>35605.28</v>
      </c>
      <c r="F617" s="0" t="n">
        <v>33</v>
      </c>
      <c r="G617" s="0" t="str">
        <f aca="false">IF(F617&lt;=30,"Current",IF(F617&lt;=60,"31 to 60 days",IF(F617&lt;=90,"61 to 90 days",IF(F617&lt;=120,"91 to 120 days","Over 120 days"))))</f>
        <v>31 to 60 days</v>
      </c>
      <c r="H617" s="0" t="n">
        <f aca="false">VLOOKUP(D617,Rates!$A$4:$B$7,2,FALSE())</f>
        <v>0.05</v>
      </c>
      <c r="I617" s="0" t="n">
        <f aca="false">VLOOKUP(F617,Rates!$D$4:$E$8,2)</f>
        <v>0.1</v>
      </c>
      <c r="J617" s="0" t="n">
        <f aca="false">ROUND(E617*I617,2)</f>
        <v>3560.53</v>
      </c>
      <c r="K617" s="1" t="n">
        <f aca="false">PV(H617/12,F617/30,0,-E617)</f>
        <v>35442.8000324533</v>
      </c>
      <c r="L617" s="0" t="n">
        <f aca="false">ROUND(E617-K617,2)</f>
        <v>162.48</v>
      </c>
      <c r="M617" s="0" t="n">
        <f aca="false">F617/E617</f>
        <v>0.000926828829881411</v>
      </c>
    </row>
    <row r="618" customFormat="false" ht="12.8" hidden="false" customHeight="false" outlineLevel="0" collapsed="false">
      <c r="A618" s="0" t="s">
        <v>966</v>
      </c>
      <c r="B618" s="0" t="s">
        <v>33</v>
      </c>
      <c r="C618" s="0" t="s">
        <v>26</v>
      </c>
      <c r="D618" s="0" t="s">
        <v>20</v>
      </c>
      <c r="E618" s="0" t="n">
        <v>8783.63</v>
      </c>
      <c r="F618" s="0" t="n">
        <v>50</v>
      </c>
      <c r="G618" s="0" t="str">
        <f aca="false">IF(F618&lt;=30,"Current",IF(F618&lt;=60,"31 to 60 days",IF(F618&lt;=90,"61 to 90 days",IF(F618&lt;=120,"91 to 120 days","Over 120 days"))))</f>
        <v>31 to 60 days</v>
      </c>
      <c r="H618" s="0" t="n">
        <f aca="false">VLOOKUP(D618,Rates!$A$4:$B$7,2,FALSE())</f>
        <v>0.05</v>
      </c>
      <c r="I618" s="0" t="n">
        <f aca="false">VLOOKUP(F618,Rates!$D$4:$E$8,2)</f>
        <v>0.1</v>
      </c>
      <c r="J618" s="0" t="n">
        <f aca="false">ROUND(E618*I618,2)</f>
        <v>878.36</v>
      </c>
      <c r="K618" s="1" t="n">
        <f aca="false">PV(H618/12,F618/30,0,-E618)</f>
        <v>8722.96972665792</v>
      </c>
      <c r="L618" s="0" t="n">
        <f aca="false">ROUND(E618-K618,2)</f>
        <v>60.66</v>
      </c>
      <c r="M618" s="0" t="n">
        <f aca="false">F618/E618</f>
        <v>0.00569240735322412</v>
      </c>
    </row>
    <row r="619" customFormat="false" ht="12.8" hidden="false" customHeight="false" outlineLevel="0" collapsed="false">
      <c r="A619" s="0" t="s">
        <v>967</v>
      </c>
      <c r="B619" s="0" t="s">
        <v>968</v>
      </c>
      <c r="C619" s="0" t="s">
        <v>42</v>
      </c>
      <c r="D619" s="0" t="s">
        <v>49</v>
      </c>
      <c r="E619" s="0" t="n">
        <v>28627.07</v>
      </c>
      <c r="F619" s="0" t="n">
        <v>200</v>
      </c>
      <c r="G619" s="0" t="str">
        <f aca="false">IF(F619&lt;=30,"Current",IF(F619&lt;=60,"31 to 60 days",IF(F619&lt;=90,"61 to 90 days",IF(F619&lt;=120,"91 to 120 days","Over 120 days"))))</f>
        <v>Over 120 days</v>
      </c>
      <c r="H619" s="0" t="n">
        <f aca="false">VLOOKUP(D619,Rates!$A$4:$B$7,2,FALSE())</f>
        <v>0.02</v>
      </c>
      <c r="I619" s="0" t="n">
        <f aca="false">VLOOKUP(F619,Rates!$D$4:$E$8,2)</f>
        <v>0.85</v>
      </c>
      <c r="J619" s="0" t="n">
        <f aca="false">ROUND(E619*I619,2)</f>
        <v>24333.01</v>
      </c>
      <c r="K619" s="1" t="n">
        <f aca="false">PV(H619/12,F619/30,0,-E619)</f>
        <v>28311.0138677488</v>
      </c>
      <c r="L619" s="0" t="n">
        <f aca="false">ROUND(E619-K619,2)</f>
        <v>316.06</v>
      </c>
      <c r="M619" s="0" t="n">
        <f aca="false">F619/E619</f>
        <v>0.00698639434633024</v>
      </c>
    </row>
    <row r="620" customFormat="false" ht="12.8" hidden="false" customHeight="false" outlineLevel="0" collapsed="false">
      <c r="A620" s="0" t="s">
        <v>969</v>
      </c>
      <c r="B620" s="0" t="s">
        <v>926</v>
      </c>
      <c r="C620" s="0" t="s">
        <v>26</v>
      </c>
      <c r="D620" s="0" t="s">
        <v>16</v>
      </c>
      <c r="E620" s="0" t="n">
        <v>26735.25</v>
      </c>
      <c r="F620" s="0" t="n">
        <v>181</v>
      </c>
      <c r="G620" s="0" t="str">
        <f aca="false">IF(F620&lt;=30,"Current",IF(F620&lt;=60,"31 to 60 days",IF(F620&lt;=90,"61 to 90 days",IF(F620&lt;=120,"91 to 120 days","Over 120 days"))))</f>
        <v>Over 120 days</v>
      </c>
      <c r="H620" s="0" t="n">
        <f aca="false">VLOOKUP(D620,Rates!$A$4:$B$7,2,FALSE())</f>
        <v>0.085</v>
      </c>
      <c r="I620" s="0" t="n">
        <f aca="false">VLOOKUP(F620,Rates!$D$4:$E$8,2)</f>
        <v>0.85</v>
      </c>
      <c r="J620" s="0" t="n">
        <f aca="false">ROUND(E620*I620,2)</f>
        <v>22724.96</v>
      </c>
      <c r="K620" s="1" t="n">
        <f aca="false">PV(H620/12,F620/30,0,-E620)</f>
        <v>25620.6189331156</v>
      </c>
      <c r="L620" s="0" t="n">
        <f aca="false">ROUND(E620-K620,2)</f>
        <v>1114.63</v>
      </c>
      <c r="M620" s="0" t="n">
        <f aca="false">F620/E620</f>
        <v>0.00677008817946344</v>
      </c>
    </row>
    <row r="621" customFormat="false" ht="12.8" hidden="false" customHeight="false" outlineLevel="0" collapsed="false">
      <c r="A621" s="0" t="s">
        <v>970</v>
      </c>
      <c r="B621" s="0" t="s">
        <v>675</v>
      </c>
      <c r="C621" s="0" t="s">
        <v>36</v>
      </c>
      <c r="D621" s="0" t="s">
        <v>16</v>
      </c>
      <c r="E621" s="0" t="n">
        <v>6849.12</v>
      </c>
      <c r="F621" s="0" t="n">
        <v>297</v>
      </c>
      <c r="G621" s="0" t="str">
        <f aca="false">IF(F621&lt;=30,"Current",IF(F621&lt;=60,"31 to 60 days",IF(F621&lt;=90,"61 to 90 days",IF(F621&lt;=120,"91 to 120 days","Over 120 days"))))</f>
        <v>Over 120 days</v>
      </c>
      <c r="H621" s="0" t="n">
        <f aca="false">VLOOKUP(D621,Rates!$A$4:$B$7,2,FALSE())</f>
        <v>0.085</v>
      </c>
      <c r="I621" s="0" t="n">
        <f aca="false">VLOOKUP(F621,Rates!$D$4:$E$8,2)</f>
        <v>0.85</v>
      </c>
      <c r="J621" s="0" t="n">
        <f aca="false">ROUND(E621*I621,2)</f>
        <v>5821.75</v>
      </c>
      <c r="K621" s="1" t="n">
        <f aca="false">PV(H621/12,F621/30,0,-E621)</f>
        <v>6386.85753987997</v>
      </c>
      <c r="L621" s="0" t="n">
        <f aca="false">ROUND(E621-K621,2)</f>
        <v>462.26</v>
      </c>
      <c r="M621" s="0" t="n">
        <f aca="false">F621/E621</f>
        <v>0.0433632349849324</v>
      </c>
    </row>
    <row r="622" customFormat="false" ht="12.8" hidden="false" customHeight="false" outlineLevel="0" collapsed="false">
      <c r="A622" s="0" t="s">
        <v>971</v>
      </c>
      <c r="B622" s="0" t="s">
        <v>972</v>
      </c>
      <c r="C622" s="0" t="s">
        <v>42</v>
      </c>
      <c r="D622" s="0" t="s">
        <v>16</v>
      </c>
      <c r="E622" s="0" t="n">
        <v>30330.01</v>
      </c>
      <c r="F622" s="0" t="n">
        <v>53</v>
      </c>
      <c r="G622" s="0" t="str">
        <f aca="false">IF(F622&lt;=30,"Current",IF(F622&lt;=60,"31 to 60 days",IF(F622&lt;=90,"61 to 90 days",IF(F622&lt;=120,"91 to 120 days","Over 120 days"))))</f>
        <v>31 to 60 days</v>
      </c>
      <c r="H622" s="0" t="n">
        <f aca="false">VLOOKUP(D622,Rates!$A$4:$B$7,2,FALSE())</f>
        <v>0.085</v>
      </c>
      <c r="I622" s="0" t="n">
        <f aca="false">VLOOKUP(F622,Rates!$D$4:$E$8,2)</f>
        <v>0.1</v>
      </c>
      <c r="J622" s="0" t="n">
        <f aca="false">ROUND(E622*I622,2)</f>
        <v>3033</v>
      </c>
      <c r="K622" s="1" t="n">
        <f aca="false">PV(H622/12,F622/30,0,-E622)</f>
        <v>29954.1498538758</v>
      </c>
      <c r="L622" s="0" t="n">
        <f aca="false">ROUND(E622-K622,2)</f>
        <v>375.86</v>
      </c>
      <c r="M622" s="0" t="n">
        <f aca="false">F622/E622</f>
        <v>0.00174744419800719</v>
      </c>
    </row>
    <row r="623" customFormat="false" ht="12.8" hidden="false" customHeight="false" outlineLevel="0" collapsed="false">
      <c r="A623" s="0" t="s">
        <v>973</v>
      </c>
      <c r="B623" s="0" t="s">
        <v>974</v>
      </c>
      <c r="C623" s="0" t="s">
        <v>26</v>
      </c>
      <c r="D623" s="0" t="s">
        <v>16</v>
      </c>
      <c r="E623" s="0" t="n">
        <v>12246.79</v>
      </c>
      <c r="F623" s="0" t="n">
        <v>114</v>
      </c>
      <c r="G623" s="0" t="str">
        <f aca="false">IF(F623&lt;=30,"Current",IF(F623&lt;=60,"31 to 60 days",IF(F623&lt;=90,"61 to 90 days",IF(F623&lt;=120,"91 to 120 days","Over 120 days"))))</f>
        <v>91 to 120 days</v>
      </c>
      <c r="H623" s="0" t="n">
        <f aca="false">VLOOKUP(D623,Rates!$A$4:$B$7,2,FALSE())</f>
        <v>0.085</v>
      </c>
      <c r="I623" s="0" t="n">
        <f aca="false">VLOOKUP(F623,Rates!$D$4:$E$8,2)</f>
        <v>0.5</v>
      </c>
      <c r="J623" s="0" t="n">
        <f aca="false">ROUND(E623*I623,2)</f>
        <v>6123.4</v>
      </c>
      <c r="K623" s="1" t="n">
        <f aca="false">PV(H623/12,F623/30,0,-E623)</f>
        <v>11922.6753341606</v>
      </c>
      <c r="L623" s="0" t="n">
        <f aca="false">ROUND(E623-K623,2)</f>
        <v>324.11</v>
      </c>
      <c r="M623" s="0" t="n">
        <f aca="false">F623/E623</f>
        <v>0.00930856167207897</v>
      </c>
    </row>
    <row r="624" customFormat="false" ht="12.8" hidden="false" customHeight="false" outlineLevel="0" collapsed="false">
      <c r="A624" s="0" t="s">
        <v>975</v>
      </c>
      <c r="B624" s="0" t="s">
        <v>30</v>
      </c>
      <c r="C624" s="0" t="s">
        <v>31</v>
      </c>
      <c r="D624" s="0" t="s">
        <v>20</v>
      </c>
      <c r="E624" s="0" t="n">
        <v>35711.39</v>
      </c>
      <c r="F624" s="0" t="n">
        <v>253</v>
      </c>
      <c r="G624" s="0" t="str">
        <f aca="false">IF(F624&lt;=30,"Current",IF(F624&lt;=60,"31 to 60 days",IF(F624&lt;=90,"61 to 90 days",IF(F624&lt;=120,"91 to 120 days","Over 120 days"))))</f>
        <v>Over 120 days</v>
      </c>
      <c r="H624" s="0" t="n">
        <f aca="false">VLOOKUP(D624,Rates!$A$4:$B$7,2,FALSE())</f>
        <v>0.05</v>
      </c>
      <c r="I624" s="0" t="n">
        <f aca="false">VLOOKUP(F624,Rates!$D$4:$E$8,2)</f>
        <v>0.85</v>
      </c>
      <c r="J624" s="0" t="n">
        <f aca="false">ROUND(E624*I624,2)</f>
        <v>30354.68</v>
      </c>
      <c r="K624" s="1" t="n">
        <f aca="false">PV(H624/12,F624/30,0,-E624)</f>
        <v>34480.8397408768</v>
      </c>
      <c r="L624" s="0" t="n">
        <f aca="false">ROUND(E624-K624,2)</f>
        <v>1230.55</v>
      </c>
      <c r="M624" s="0" t="n">
        <f aca="false">F624/E624</f>
        <v>0.00708457441729375</v>
      </c>
    </row>
    <row r="625" customFormat="false" ht="12.8" hidden="false" customHeight="false" outlineLevel="0" collapsed="false">
      <c r="A625" s="0" t="s">
        <v>976</v>
      </c>
      <c r="B625" s="0" t="s">
        <v>111</v>
      </c>
      <c r="C625" s="0" t="s">
        <v>19</v>
      </c>
      <c r="D625" s="0" t="s">
        <v>23</v>
      </c>
      <c r="E625" s="0" t="n">
        <v>14050.46</v>
      </c>
      <c r="F625" s="0" t="n">
        <v>138</v>
      </c>
      <c r="G625" s="0" t="str">
        <f aca="false">IF(F625&lt;=30,"Current",IF(F625&lt;=60,"31 to 60 days",IF(F625&lt;=90,"61 to 90 days",IF(F625&lt;=120,"91 to 120 days","Over 120 days"))))</f>
        <v>Over 120 days</v>
      </c>
      <c r="H625" s="0" t="n">
        <f aca="false">VLOOKUP(D625,Rates!$A$4:$B$7,2,FALSE())</f>
        <v>0.115</v>
      </c>
      <c r="I625" s="0" t="n">
        <f aca="false">VLOOKUP(F625,Rates!$D$4:$E$8,2)</f>
        <v>0.85</v>
      </c>
      <c r="J625" s="0" t="n">
        <f aca="false">ROUND(E625*I625,2)</f>
        <v>11942.89</v>
      </c>
      <c r="K625" s="1" t="n">
        <f aca="false">PV(H625/12,F625/30,0,-E625)</f>
        <v>13447.3450814136</v>
      </c>
      <c r="L625" s="0" t="n">
        <f aca="false">ROUND(E625-K625,2)</f>
        <v>603.11</v>
      </c>
      <c r="M625" s="0" t="n">
        <f aca="false">F625/E625</f>
        <v>0.00982174249099318</v>
      </c>
    </row>
    <row r="626" customFormat="false" ht="12.8" hidden="false" customHeight="false" outlineLevel="0" collapsed="false">
      <c r="A626" s="0" t="s">
        <v>977</v>
      </c>
      <c r="B626" s="0" t="s">
        <v>490</v>
      </c>
      <c r="C626" s="0" t="s">
        <v>42</v>
      </c>
      <c r="D626" s="0" t="s">
        <v>23</v>
      </c>
      <c r="E626" s="0" t="n">
        <v>29277.83</v>
      </c>
      <c r="F626" s="0" t="n">
        <v>281</v>
      </c>
      <c r="G626" s="0" t="str">
        <f aca="false">IF(F626&lt;=30,"Current",IF(F626&lt;=60,"31 to 60 days",IF(F626&lt;=90,"61 to 90 days",IF(F626&lt;=120,"91 to 120 days","Over 120 days"))))</f>
        <v>Over 120 days</v>
      </c>
      <c r="H626" s="0" t="n">
        <f aca="false">VLOOKUP(D626,Rates!$A$4:$B$7,2,FALSE())</f>
        <v>0.115</v>
      </c>
      <c r="I626" s="0" t="n">
        <f aca="false">VLOOKUP(F626,Rates!$D$4:$E$8,2)</f>
        <v>0.85</v>
      </c>
      <c r="J626" s="0" t="n">
        <f aca="false">ROUND(E626*I626,2)</f>
        <v>24886.16</v>
      </c>
      <c r="K626" s="1" t="n">
        <f aca="false">PV(H626/12,F626/30,0,-E626)</f>
        <v>26775.6816829639</v>
      </c>
      <c r="L626" s="0" t="n">
        <f aca="false">ROUND(E626-K626,2)</f>
        <v>2502.15</v>
      </c>
      <c r="M626" s="0" t="n">
        <f aca="false">F626/E626</f>
        <v>0.00959770584090419</v>
      </c>
    </row>
    <row r="627" customFormat="false" ht="12.8" hidden="false" customHeight="false" outlineLevel="0" collapsed="false">
      <c r="A627" s="0" t="s">
        <v>978</v>
      </c>
      <c r="B627" s="0" t="s">
        <v>979</v>
      </c>
      <c r="C627" s="0" t="s">
        <v>31</v>
      </c>
      <c r="D627" s="0" t="s">
        <v>16</v>
      </c>
      <c r="E627" s="0" t="n">
        <v>28995.01</v>
      </c>
      <c r="F627" s="0" t="n">
        <v>74</v>
      </c>
      <c r="G627" s="0" t="str">
        <f aca="false">IF(F627&lt;=30,"Current",IF(F627&lt;=60,"31 to 60 days",IF(F627&lt;=90,"61 to 90 days",IF(F627&lt;=120,"91 to 120 days","Over 120 days"))))</f>
        <v>61 to 90 days</v>
      </c>
      <c r="H627" s="0" t="n">
        <f aca="false">VLOOKUP(D627,Rates!$A$4:$B$7,2,FALSE())</f>
        <v>0.085</v>
      </c>
      <c r="I627" s="0" t="n">
        <f aca="false">VLOOKUP(F627,Rates!$D$4:$E$8,2)</f>
        <v>0.25</v>
      </c>
      <c r="J627" s="0" t="n">
        <f aca="false">ROUND(E627*I627,2)</f>
        <v>7248.75</v>
      </c>
      <c r="K627" s="1" t="n">
        <f aca="false">PV(H627/12,F627/30,0,-E627)</f>
        <v>28494.5577844561</v>
      </c>
      <c r="L627" s="0" t="n">
        <f aca="false">ROUND(E627-K627,2)</f>
        <v>500.45</v>
      </c>
      <c r="M627" s="0" t="n">
        <f aca="false">F627/E627</f>
        <v>0.00255216328602749</v>
      </c>
    </row>
    <row r="628" customFormat="false" ht="12.8" hidden="false" customHeight="false" outlineLevel="0" collapsed="false">
      <c r="A628" s="0" t="s">
        <v>980</v>
      </c>
      <c r="B628" s="0" t="s">
        <v>981</v>
      </c>
      <c r="C628" s="0" t="s">
        <v>26</v>
      </c>
      <c r="D628" s="0" t="s">
        <v>16</v>
      </c>
      <c r="E628" s="0" t="n">
        <v>41215.68</v>
      </c>
      <c r="F628" s="0" t="n">
        <v>251</v>
      </c>
      <c r="G628" s="0" t="str">
        <f aca="false">IF(F628&lt;=30,"Current",IF(F628&lt;=60,"31 to 60 days",IF(F628&lt;=90,"61 to 90 days",IF(F628&lt;=120,"91 to 120 days","Over 120 days"))))</f>
        <v>Over 120 days</v>
      </c>
      <c r="H628" s="0" t="n">
        <f aca="false">VLOOKUP(D628,Rates!$A$4:$B$7,2,FALSE())</f>
        <v>0.085</v>
      </c>
      <c r="I628" s="0" t="n">
        <f aca="false">VLOOKUP(F628,Rates!$D$4:$E$8,2)</f>
        <v>0.85</v>
      </c>
      <c r="J628" s="0" t="n">
        <f aca="false">ROUND(E628*I628,2)</f>
        <v>35033.33</v>
      </c>
      <c r="K628" s="1" t="n">
        <f aca="false">PV(H628/12,F628/30,0,-E628)</f>
        <v>38852.1643078725</v>
      </c>
      <c r="L628" s="0" t="n">
        <f aca="false">ROUND(E628-K628,2)</f>
        <v>2363.52</v>
      </c>
      <c r="M628" s="0" t="n">
        <f aca="false">F628/E628</f>
        <v>0.0060899152943734</v>
      </c>
    </row>
    <row r="629" customFormat="false" ht="12.8" hidden="false" customHeight="false" outlineLevel="0" collapsed="false">
      <c r="A629" s="0" t="s">
        <v>982</v>
      </c>
      <c r="B629" s="0" t="s">
        <v>983</v>
      </c>
      <c r="C629" s="0" t="s">
        <v>15</v>
      </c>
      <c r="D629" s="0" t="s">
        <v>16</v>
      </c>
      <c r="E629" s="0" t="n">
        <v>9973.67</v>
      </c>
      <c r="F629" s="0" t="n">
        <v>292</v>
      </c>
      <c r="G629" s="0" t="str">
        <f aca="false">IF(F629&lt;=30,"Current",IF(F629&lt;=60,"31 to 60 days",IF(F629&lt;=90,"61 to 90 days",IF(F629&lt;=120,"91 to 120 days","Over 120 days"))))</f>
        <v>Over 120 days</v>
      </c>
      <c r="H629" s="0" t="n">
        <f aca="false">VLOOKUP(D629,Rates!$A$4:$B$7,2,FALSE())</f>
        <v>0.085</v>
      </c>
      <c r="I629" s="0" t="n">
        <f aca="false">VLOOKUP(F629,Rates!$D$4:$E$8,2)</f>
        <v>0.85</v>
      </c>
      <c r="J629" s="0" t="n">
        <f aca="false">ROUND(E629*I629,2)</f>
        <v>8477.62</v>
      </c>
      <c r="K629" s="1" t="n">
        <f aca="false">PV(H629/12,F629/30,0,-E629)</f>
        <v>9311.47217715867</v>
      </c>
      <c r="L629" s="0" t="n">
        <f aca="false">ROUND(E629-K629,2)</f>
        <v>662.2</v>
      </c>
      <c r="M629" s="0" t="n">
        <f aca="false">F629/E629</f>
        <v>0.029277086568936</v>
      </c>
    </row>
    <row r="630" customFormat="false" ht="12.8" hidden="false" customHeight="false" outlineLevel="0" collapsed="false">
      <c r="A630" s="0" t="s">
        <v>984</v>
      </c>
      <c r="B630" s="0" t="s">
        <v>985</v>
      </c>
      <c r="C630" s="0" t="s">
        <v>15</v>
      </c>
      <c r="D630" s="0" t="s">
        <v>49</v>
      </c>
      <c r="E630" s="0" t="n">
        <v>11867.75</v>
      </c>
      <c r="F630" s="0" t="n">
        <v>99</v>
      </c>
      <c r="G630" s="0" t="str">
        <f aca="false">IF(F630&lt;=30,"Current",IF(F630&lt;=60,"31 to 60 days",IF(F630&lt;=90,"61 to 90 days",IF(F630&lt;=120,"91 to 120 days","Over 120 days"))))</f>
        <v>91 to 120 days</v>
      </c>
      <c r="H630" s="0" t="n">
        <f aca="false">VLOOKUP(D630,Rates!$A$4:$B$7,2,FALSE())</f>
        <v>0.02</v>
      </c>
      <c r="I630" s="0" t="n">
        <f aca="false">VLOOKUP(F630,Rates!$D$4:$E$8,2)</f>
        <v>0.5</v>
      </c>
      <c r="J630" s="0" t="n">
        <f aca="false">ROUND(E630*I630,2)</f>
        <v>5933.88</v>
      </c>
      <c r="K630" s="1" t="n">
        <f aca="false">PV(H630/12,F630/30,0,-E630)</f>
        <v>11802.7105816897</v>
      </c>
      <c r="L630" s="0" t="n">
        <f aca="false">ROUND(E630-K630,2)</f>
        <v>65.04</v>
      </c>
      <c r="M630" s="0" t="n">
        <f aca="false">F630/E630</f>
        <v>0.00834193507615176</v>
      </c>
    </row>
    <row r="631" customFormat="false" ht="12.8" hidden="false" customHeight="false" outlineLevel="0" collapsed="false">
      <c r="A631" s="0" t="s">
        <v>986</v>
      </c>
      <c r="B631" s="0" t="s">
        <v>987</v>
      </c>
      <c r="C631" s="0" t="s">
        <v>26</v>
      </c>
      <c r="D631" s="0" t="s">
        <v>16</v>
      </c>
      <c r="E631" s="0" t="n">
        <v>21070.92</v>
      </c>
      <c r="F631" s="0" t="n">
        <v>157</v>
      </c>
      <c r="G631" s="0" t="str">
        <f aca="false">IF(F631&lt;=30,"Current",IF(F631&lt;=60,"31 to 60 days",IF(F631&lt;=90,"61 to 90 days",IF(F631&lt;=120,"91 to 120 days","Over 120 days"))))</f>
        <v>Over 120 days</v>
      </c>
      <c r="H631" s="0" t="n">
        <f aca="false">VLOOKUP(D631,Rates!$A$4:$B$7,2,FALSE())</f>
        <v>0.085</v>
      </c>
      <c r="I631" s="0" t="n">
        <f aca="false">VLOOKUP(F631,Rates!$D$4:$E$8,2)</f>
        <v>0.85</v>
      </c>
      <c r="J631" s="0" t="n">
        <f aca="false">ROUND(E631*I631,2)</f>
        <v>17910.28</v>
      </c>
      <c r="K631" s="1" t="n">
        <f aca="false">PV(H631/12,F631/30,0,-E631)</f>
        <v>20306.7860287564</v>
      </c>
      <c r="L631" s="0" t="n">
        <f aca="false">ROUND(E631-K631,2)</f>
        <v>764.13</v>
      </c>
      <c r="M631" s="0" t="n">
        <f aca="false">F631/E631</f>
        <v>0.00745102729259093</v>
      </c>
    </row>
    <row r="632" customFormat="false" ht="12.8" hidden="false" customHeight="false" outlineLevel="0" collapsed="false">
      <c r="A632" s="0" t="s">
        <v>988</v>
      </c>
      <c r="B632" s="0" t="s">
        <v>368</v>
      </c>
      <c r="C632" s="0" t="s">
        <v>42</v>
      </c>
      <c r="D632" s="0" t="s">
        <v>23</v>
      </c>
      <c r="E632" s="0" t="n">
        <v>42371.98</v>
      </c>
      <c r="F632" s="0" t="n">
        <v>122</v>
      </c>
      <c r="G632" s="0" t="str">
        <f aca="false">IF(F632&lt;=30,"Current",IF(F632&lt;=60,"31 to 60 days",IF(F632&lt;=90,"61 to 90 days",IF(F632&lt;=120,"91 to 120 days","Over 120 days"))))</f>
        <v>Over 120 days</v>
      </c>
      <c r="H632" s="0" t="n">
        <f aca="false">VLOOKUP(D632,Rates!$A$4:$B$7,2,FALSE())</f>
        <v>0.115</v>
      </c>
      <c r="I632" s="0" t="n">
        <f aca="false">VLOOKUP(F632,Rates!$D$4:$E$8,2)</f>
        <v>0.85</v>
      </c>
      <c r="J632" s="0" t="n">
        <f aca="false">ROUND(E632*I632,2)</f>
        <v>36016.18</v>
      </c>
      <c r="K632" s="1" t="n">
        <f aca="false">PV(H632/12,F632/30,0,-E632)</f>
        <v>40759.9764196325</v>
      </c>
      <c r="L632" s="0" t="n">
        <f aca="false">ROUND(E632-K632,2)</f>
        <v>1612</v>
      </c>
      <c r="M632" s="0" t="n">
        <f aca="false">F632/E632</f>
        <v>0.00287926124764526</v>
      </c>
    </row>
    <row r="633" customFormat="false" ht="12.8" hidden="false" customHeight="false" outlineLevel="0" collapsed="false">
      <c r="A633" s="0" t="s">
        <v>989</v>
      </c>
      <c r="B633" s="0" t="s">
        <v>990</v>
      </c>
      <c r="C633" s="0" t="s">
        <v>42</v>
      </c>
      <c r="D633" s="0" t="s">
        <v>49</v>
      </c>
      <c r="E633" s="0" t="n">
        <v>4237.75</v>
      </c>
      <c r="F633" s="0" t="n">
        <v>316</v>
      </c>
      <c r="G633" s="0" t="str">
        <f aca="false">IF(F633&lt;=30,"Current",IF(F633&lt;=60,"31 to 60 days",IF(F633&lt;=90,"61 to 90 days",IF(F633&lt;=120,"91 to 120 days","Over 120 days"))))</f>
        <v>Over 120 days</v>
      </c>
      <c r="H633" s="0" t="n">
        <f aca="false">VLOOKUP(D633,Rates!$A$4:$B$7,2,FALSE())</f>
        <v>0.02</v>
      </c>
      <c r="I633" s="0" t="n">
        <f aca="false">VLOOKUP(F633,Rates!$D$4:$E$8,2)</f>
        <v>0.85</v>
      </c>
      <c r="J633" s="0" t="n">
        <f aca="false">ROUND(E633*I633,2)</f>
        <v>3602.09</v>
      </c>
      <c r="K633" s="1" t="n">
        <f aca="false">PV(H633/12,F633/30,0,-E633)</f>
        <v>4164.06402242089</v>
      </c>
      <c r="L633" s="0" t="n">
        <f aca="false">ROUND(E633-K633,2)</f>
        <v>73.69</v>
      </c>
      <c r="M633" s="0" t="n">
        <f aca="false">F633/E633</f>
        <v>0.0745678721019409</v>
      </c>
    </row>
    <row r="634" customFormat="false" ht="12.8" hidden="false" customHeight="false" outlineLevel="0" collapsed="false">
      <c r="A634" s="0" t="s">
        <v>991</v>
      </c>
      <c r="B634" s="0" t="s">
        <v>28</v>
      </c>
      <c r="C634" s="0" t="s">
        <v>15</v>
      </c>
      <c r="D634" s="0" t="s">
        <v>20</v>
      </c>
      <c r="E634" s="0" t="n">
        <v>35343.97</v>
      </c>
      <c r="F634" s="0" t="n">
        <v>260</v>
      </c>
      <c r="G634" s="0" t="str">
        <f aca="false">IF(F634&lt;=30,"Current",IF(F634&lt;=60,"31 to 60 days",IF(F634&lt;=90,"61 to 90 days",IF(F634&lt;=120,"91 to 120 days","Over 120 days"))))</f>
        <v>Over 120 days</v>
      </c>
      <c r="H634" s="0" t="n">
        <f aca="false">VLOOKUP(D634,Rates!$A$4:$B$7,2,FALSE())</f>
        <v>0.05</v>
      </c>
      <c r="I634" s="0" t="n">
        <f aca="false">VLOOKUP(F634,Rates!$D$4:$E$8,2)</f>
        <v>0.85</v>
      </c>
      <c r="J634" s="0" t="n">
        <f aca="false">ROUND(E634*I634,2)</f>
        <v>30042.37</v>
      </c>
      <c r="K634" s="1" t="n">
        <f aca="false">PV(H634/12,F634/30,0,-E634)</f>
        <v>34092.9872252664</v>
      </c>
      <c r="L634" s="0" t="n">
        <f aca="false">ROUND(E634-K634,2)</f>
        <v>1250.98</v>
      </c>
      <c r="M634" s="0" t="n">
        <f aca="false">F634/E634</f>
        <v>0.00735627604935156</v>
      </c>
    </row>
    <row r="635" customFormat="false" ht="12.8" hidden="false" customHeight="false" outlineLevel="0" collapsed="false">
      <c r="A635" s="0" t="s">
        <v>992</v>
      </c>
      <c r="B635" s="0" t="s">
        <v>218</v>
      </c>
      <c r="C635" s="0" t="s">
        <v>42</v>
      </c>
      <c r="D635" s="0" t="s">
        <v>49</v>
      </c>
      <c r="E635" s="0" t="n">
        <v>13495.64</v>
      </c>
      <c r="F635" s="0" t="n">
        <v>278</v>
      </c>
      <c r="G635" s="0" t="str">
        <f aca="false">IF(F635&lt;=30,"Current",IF(F635&lt;=60,"31 to 60 days",IF(F635&lt;=90,"61 to 90 days",IF(F635&lt;=120,"91 to 120 days","Over 120 days"))))</f>
        <v>Over 120 days</v>
      </c>
      <c r="H635" s="0" t="n">
        <f aca="false">VLOOKUP(D635,Rates!$A$4:$B$7,2,FALSE())</f>
        <v>0.02</v>
      </c>
      <c r="I635" s="0" t="n">
        <f aca="false">VLOOKUP(F635,Rates!$D$4:$E$8,2)</f>
        <v>0.85</v>
      </c>
      <c r="J635" s="0" t="n">
        <f aca="false">ROUND(E635*I635,2)</f>
        <v>11471.29</v>
      </c>
      <c r="K635" s="1" t="n">
        <f aca="false">PV(H635/12,F635/30,0,-E635)</f>
        <v>13288.979489928</v>
      </c>
      <c r="L635" s="0" t="n">
        <f aca="false">ROUND(E635-K635,2)</f>
        <v>206.66</v>
      </c>
      <c r="M635" s="0" t="n">
        <f aca="false">F635/E635</f>
        <v>0.0205992453859172</v>
      </c>
    </row>
    <row r="636" customFormat="false" ht="12.8" hidden="false" customHeight="false" outlineLevel="0" collapsed="false">
      <c r="A636" s="0" t="s">
        <v>993</v>
      </c>
      <c r="B636" s="0" t="s">
        <v>609</v>
      </c>
      <c r="C636" s="0" t="s">
        <v>31</v>
      </c>
      <c r="D636" s="0" t="s">
        <v>23</v>
      </c>
      <c r="E636" s="0" t="n">
        <v>36797.49</v>
      </c>
      <c r="F636" s="0" t="n">
        <v>238</v>
      </c>
      <c r="G636" s="0" t="str">
        <f aca="false">IF(F636&lt;=30,"Current",IF(F636&lt;=60,"31 to 60 days",IF(F636&lt;=90,"61 to 90 days",IF(F636&lt;=120,"91 to 120 days","Over 120 days"))))</f>
        <v>Over 120 days</v>
      </c>
      <c r="H636" s="0" t="n">
        <f aca="false">VLOOKUP(D636,Rates!$A$4:$B$7,2,FALSE())</f>
        <v>0.115</v>
      </c>
      <c r="I636" s="0" t="n">
        <f aca="false">VLOOKUP(F636,Rates!$D$4:$E$8,2)</f>
        <v>0.85</v>
      </c>
      <c r="J636" s="0" t="n">
        <f aca="false">ROUND(E636*I636,2)</f>
        <v>31277.87</v>
      </c>
      <c r="K636" s="1" t="n">
        <f aca="false">PV(H636/12,F636/30,0,-E636)</f>
        <v>34115.9101041708</v>
      </c>
      <c r="L636" s="0" t="n">
        <f aca="false">ROUND(E636-K636,2)</f>
        <v>2681.58</v>
      </c>
      <c r="M636" s="0" t="n">
        <f aca="false">F636/E636</f>
        <v>0.00646783245270262</v>
      </c>
    </row>
    <row r="637" customFormat="false" ht="12.8" hidden="false" customHeight="false" outlineLevel="0" collapsed="false">
      <c r="A637" s="0" t="s">
        <v>994</v>
      </c>
      <c r="B637" s="0" t="s">
        <v>995</v>
      </c>
      <c r="C637" s="0" t="s">
        <v>15</v>
      </c>
      <c r="D637" s="0" t="s">
        <v>49</v>
      </c>
      <c r="E637" s="0" t="n">
        <v>35869.31</v>
      </c>
      <c r="F637" s="0" t="n">
        <v>349</v>
      </c>
      <c r="G637" s="0" t="str">
        <f aca="false">IF(F637&lt;=30,"Current",IF(F637&lt;=60,"31 to 60 days",IF(F637&lt;=90,"61 to 90 days",IF(F637&lt;=120,"91 to 120 days","Over 120 days"))))</f>
        <v>Over 120 days</v>
      </c>
      <c r="H637" s="0" t="n">
        <f aca="false">VLOOKUP(D637,Rates!$A$4:$B$7,2,FALSE())</f>
        <v>0.02</v>
      </c>
      <c r="I637" s="0" t="n">
        <f aca="false">VLOOKUP(F637,Rates!$D$4:$E$8,2)</f>
        <v>0.85</v>
      </c>
      <c r="J637" s="0" t="n">
        <f aca="false">ROUND(E637*I637,2)</f>
        <v>30488.91</v>
      </c>
      <c r="K637" s="1" t="n">
        <f aca="false">PV(H637/12,F637/30,0,-E637)</f>
        <v>35181.1105272631</v>
      </c>
      <c r="L637" s="0" t="n">
        <f aca="false">ROUND(E637-K637,2)</f>
        <v>688.2</v>
      </c>
      <c r="M637" s="0" t="n">
        <f aca="false">F637/E637</f>
        <v>0.00972976619845768</v>
      </c>
    </row>
    <row r="638" customFormat="false" ht="12.8" hidden="false" customHeight="false" outlineLevel="0" collapsed="false">
      <c r="A638" s="0" t="s">
        <v>996</v>
      </c>
      <c r="B638" s="0" t="s">
        <v>997</v>
      </c>
      <c r="C638" s="0" t="s">
        <v>26</v>
      </c>
      <c r="D638" s="0" t="s">
        <v>49</v>
      </c>
      <c r="E638" s="0" t="n">
        <v>12729.34</v>
      </c>
      <c r="F638" s="0" t="n">
        <v>188</v>
      </c>
      <c r="G638" s="0" t="str">
        <f aca="false">IF(F638&lt;=30,"Current",IF(F638&lt;=60,"31 to 60 days",IF(F638&lt;=90,"61 to 90 days",IF(F638&lt;=120,"91 to 120 days","Over 120 days"))))</f>
        <v>Over 120 days</v>
      </c>
      <c r="H638" s="0" t="n">
        <f aca="false">VLOOKUP(D638,Rates!$A$4:$B$7,2,FALSE())</f>
        <v>0.02</v>
      </c>
      <c r="I638" s="0" t="n">
        <f aca="false">VLOOKUP(F638,Rates!$D$4:$E$8,2)</f>
        <v>0.85</v>
      </c>
      <c r="J638" s="0" t="n">
        <f aca="false">ROUND(E638*I638,2)</f>
        <v>10819.94</v>
      </c>
      <c r="K638" s="1" t="n">
        <f aca="false">PV(H638/12,F638/30,0,-E638)</f>
        <v>12597.1905237929</v>
      </c>
      <c r="L638" s="0" t="n">
        <f aca="false">ROUND(E638-K638,2)</f>
        <v>132.15</v>
      </c>
      <c r="M638" s="0" t="n">
        <f aca="false">F638/E638</f>
        <v>0.0147690296590397</v>
      </c>
    </row>
    <row r="639" customFormat="false" ht="12.8" hidden="false" customHeight="false" outlineLevel="0" collapsed="false">
      <c r="A639" s="0" t="s">
        <v>998</v>
      </c>
      <c r="B639" s="0" t="s">
        <v>999</v>
      </c>
      <c r="C639" s="0" t="s">
        <v>36</v>
      </c>
      <c r="D639" s="0" t="s">
        <v>49</v>
      </c>
      <c r="E639" s="0" t="n">
        <v>41643.19</v>
      </c>
      <c r="F639" s="0" t="n">
        <v>277</v>
      </c>
      <c r="G639" s="0" t="str">
        <f aca="false">IF(F639&lt;=30,"Current",IF(F639&lt;=60,"31 to 60 days",IF(F639&lt;=90,"61 to 90 days",IF(F639&lt;=120,"91 to 120 days","Over 120 days"))))</f>
        <v>Over 120 days</v>
      </c>
      <c r="H639" s="0" t="n">
        <f aca="false">VLOOKUP(D639,Rates!$A$4:$B$7,2,FALSE())</f>
        <v>0.02</v>
      </c>
      <c r="I639" s="0" t="n">
        <f aca="false">VLOOKUP(F639,Rates!$D$4:$E$8,2)</f>
        <v>0.85</v>
      </c>
      <c r="J639" s="0" t="n">
        <f aca="false">ROUND(E639*I639,2)</f>
        <v>35396.71</v>
      </c>
      <c r="K639" s="1" t="n">
        <f aca="false">PV(H639/12,F639/30,0,-E639)</f>
        <v>41007.778605562</v>
      </c>
      <c r="L639" s="0" t="n">
        <f aca="false">ROUND(E639-K639,2)</f>
        <v>635.41</v>
      </c>
      <c r="M639" s="0" t="n">
        <f aca="false">F639/E639</f>
        <v>0.0066517478608147</v>
      </c>
    </row>
    <row r="640" customFormat="false" ht="12.8" hidden="false" customHeight="false" outlineLevel="0" collapsed="false">
      <c r="A640" s="0" t="s">
        <v>1000</v>
      </c>
      <c r="B640" s="0" t="s">
        <v>441</v>
      </c>
      <c r="C640" s="0" t="s">
        <v>15</v>
      </c>
      <c r="D640" s="0" t="s">
        <v>23</v>
      </c>
      <c r="E640" s="0" t="n">
        <v>41971.88</v>
      </c>
      <c r="F640" s="0" t="n">
        <v>128</v>
      </c>
      <c r="G640" s="0" t="str">
        <f aca="false">IF(F640&lt;=30,"Current",IF(F640&lt;=60,"31 to 60 days",IF(F640&lt;=90,"61 to 90 days",IF(F640&lt;=120,"91 to 120 days","Over 120 days"))))</f>
        <v>Over 120 days</v>
      </c>
      <c r="H640" s="0" t="n">
        <f aca="false">VLOOKUP(D640,Rates!$A$4:$B$7,2,FALSE())</f>
        <v>0.115</v>
      </c>
      <c r="I640" s="0" t="n">
        <f aca="false">VLOOKUP(F640,Rates!$D$4:$E$8,2)</f>
        <v>0.85</v>
      </c>
      <c r="J640" s="0" t="n">
        <f aca="false">ROUND(E640*I640,2)</f>
        <v>35676.1</v>
      </c>
      <c r="K640" s="1" t="n">
        <f aca="false">PV(H640/12,F640/30,0,-E640)</f>
        <v>40298.1541211924</v>
      </c>
      <c r="L640" s="0" t="n">
        <f aca="false">ROUND(E640-K640,2)</f>
        <v>1673.73</v>
      </c>
      <c r="M640" s="0" t="n">
        <f aca="false">F640/E640</f>
        <v>0.00304966086818127</v>
      </c>
    </row>
    <row r="641" customFormat="false" ht="12.8" hidden="false" customHeight="false" outlineLevel="0" collapsed="false">
      <c r="A641" s="0" t="s">
        <v>1001</v>
      </c>
      <c r="B641" s="0" t="s">
        <v>28</v>
      </c>
      <c r="C641" s="0" t="s">
        <v>15</v>
      </c>
      <c r="D641" s="0" t="s">
        <v>20</v>
      </c>
      <c r="E641" s="0" t="n">
        <v>1620.83</v>
      </c>
      <c r="F641" s="0" t="n">
        <v>224</v>
      </c>
      <c r="G641" s="0" t="str">
        <f aca="false">IF(F641&lt;=30,"Current",IF(F641&lt;=60,"31 to 60 days",IF(F641&lt;=90,"61 to 90 days",IF(F641&lt;=120,"91 to 120 days","Over 120 days"))))</f>
        <v>Over 120 days</v>
      </c>
      <c r="H641" s="0" t="n">
        <f aca="false">VLOOKUP(D641,Rates!$A$4:$B$7,2,FALSE())</f>
        <v>0.05</v>
      </c>
      <c r="I641" s="0" t="n">
        <f aca="false">VLOOKUP(F641,Rates!$D$4:$E$8,2)</f>
        <v>0.85</v>
      </c>
      <c r="J641" s="0" t="n">
        <f aca="false">ROUND(E641*I641,2)</f>
        <v>1377.71</v>
      </c>
      <c r="K641" s="1" t="n">
        <f aca="false">PV(H641/12,F641/30,0,-E641)</f>
        <v>1571.28206485744</v>
      </c>
      <c r="L641" s="0" t="n">
        <f aca="false">ROUND(E641-K641,2)</f>
        <v>49.55</v>
      </c>
      <c r="M641" s="0" t="n">
        <f aca="false">F641/E641</f>
        <v>0.138200798356398</v>
      </c>
    </row>
    <row r="642" customFormat="false" ht="12.8" hidden="false" customHeight="false" outlineLevel="0" collapsed="false">
      <c r="A642" s="0" t="s">
        <v>1002</v>
      </c>
      <c r="B642" s="0" t="s">
        <v>1003</v>
      </c>
      <c r="C642" s="0" t="s">
        <v>26</v>
      </c>
      <c r="D642" s="0" t="s">
        <v>49</v>
      </c>
      <c r="E642" s="0" t="n">
        <v>14458.42</v>
      </c>
      <c r="F642" s="0" t="n">
        <v>77</v>
      </c>
      <c r="G642" s="0" t="str">
        <f aca="false">IF(F642&lt;=30,"Current",IF(F642&lt;=60,"31 to 60 days",IF(F642&lt;=90,"61 to 90 days",IF(F642&lt;=120,"91 to 120 days","Over 120 days"))))</f>
        <v>61 to 90 days</v>
      </c>
      <c r="H642" s="0" t="n">
        <f aca="false">VLOOKUP(D642,Rates!$A$4:$B$7,2,FALSE())</f>
        <v>0.02</v>
      </c>
      <c r="I642" s="0" t="n">
        <f aca="false">VLOOKUP(F642,Rates!$D$4:$E$8,2)</f>
        <v>0.25</v>
      </c>
      <c r="J642" s="0" t="n">
        <f aca="false">ROUND(E642*I642,2)</f>
        <v>3614.61</v>
      </c>
      <c r="K642" s="1" t="n">
        <f aca="false">PV(H642/12,F642/30,0,-E642)</f>
        <v>14396.7534585842</v>
      </c>
      <c r="L642" s="0" t="n">
        <f aca="false">ROUND(E642-K642,2)</f>
        <v>61.67</v>
      </c>
      <c r="M642" s="0" t="n">
        <f aca="false">F642/E642</f>
        <v>0.00532561649198184</v>
      </c>
    </row>
    <row r="643" customFormat="false" ht="12.8" hidden="false" customHeight="false" outlineLevel="0" collapsed="false">
      <c r="A643" s="0" t="s">
        <v>1004</v>
      </c>
      <c r="B643" s="0" t="s">
        <v>1005</v>
      </c>
      <c r="C643" s="0" t="s">
        <v>26</v>
      </c>
      <c r="D643" s="0" t="s">
        <v>16</v>
      </c>
      <c r="E643" s="0" t="n">
        <v>25658.38</v>
      </c>
      <c r="F643" s="0" t="n">
        <v>211</v>
      </c>
      <c r="G643" s="0" t="str">
        <f aca="false">IF(F643&lt;=30,"Current",IF(F643&lt;=60,"31 to 60 days",IF(F643&lt;=90,"61 to 90 days",IF(F643&lt;=120,"91 to 120 days","Over 120 days"))))</f>
        <v>Over 120 days</v>
      </c>
      <c r="H643" s="0" t="n">
        <f aca="false">VLOOKUP(D643,Rates!$A$4:$B$7,2,FALSE())</f>
        <v>0.085</v>
      </c>
      <c r="I643" s="0" t="n">
        <f aca="false">VLOOKUP(F643,Rates!$D$4:$E$8,2)</f>
        <v>0.85</v>
      </c>
      <c r="J643" s="0" t="n">
        <f aca="false">ROUND(E643*I643,2)</f>
        <v>21809.62</v>
      </c>
      <c r="K643" s="1" t="n">
        <f aca="false">PV(H643/12,F643/30,0,-E643)</f>
        <v>24415.7006476777</v>
      </c>
      <c r="L643" s="0" t="n">
        <f aca="false">ROUND(E643-K643,2)</f>
        <v>1242.68</v>
      </c>
      <c r="M643" s="0" t="n">
        <f aca="false">F643/E643</f>
        <v>0.00822343421525443</v>
      </c>
    </row>
    <row r="644" customFormat="false" ht="12.8" hidden="false" customHeight="false" outlineLevel="0" collapsed="false">
      <c r="A644" s="0" t="s">
        <v>1006</v>
      </c>
      <c r="B644" s="0" t="s">
        <v>1007</v>
      </c>
      <c r="C644" s="0" t="s">
        <v>19</v>
      </c>
      <c r="D644" s="0" t="s">
        <v>23</v>
      </c>
      <c r="E644" s="0" t="n">
        <v>20131.94</v>
      </c>
      <c r="F644" s="0" t="n">
        <v>188</v>
      </c>
      <c r="G644" s="0" t="str">
        <f aca="false">IF(F644&lt;=30,"Current",IF(F644&lt;=60,"31 to 60 days",IF(F644&lt;=90,"61 to 90 days",IF(F644&lt;=120,"91 to 120 days","Over 120 days"))))</f>
        <v>Over 120 days</v>
      </c>
      <c r="H644" s="0" t="n">
        <f aca="false">VLOOKUP(D644,Rates!$A$4:$B$7,2,FALSE())</f>
        <v>0.115</v>
      </c>
      <c r="I644" s="0" t="n">
        <f aca="false">VLOOKUP(F644,Rates!$D$4:$E$8,2)</f>
        <v>0.85</v>
      </c>
      <c r="J644" s="0" t="n">
        <f aca="false">ROUND(E644*I644,2)</f>
        <v>17112.15</v>
      </c>
      <c r="K644" s="1" t="n">
        <f aca="false">PV(H644/12,F644/30,0,-E644)</f>
        <v>18963.9155875473</v>
      </c>
      <c r="L644" s="0" t="n">
        <f aca="false">ROUND(E644-K644,2)</f>
        <v>1168.02</v>
      </c>
      <c r="M644" s="0" t="n">
        <f aca="false">F644/E644</f>
        <v>0.00933839461075287</v>
      </c>
    </row>
    <row r="645" customFormat="false" ht="12.8" hidden="false" customHeight="false" outlineLevel="0" collapsed="false">
      <c r="A645" s="0" t="s">
        <v>1008</v>
      </c>
      <c r="B645" s="0" t="s">
        <v>38</v>
      </c>
      <c r="C645" s="0" t="s">
        <v>15</v>
      </c>
      <c r="D645" s="0" t="s">
        <v>23</v>
      </c>
      <c r="E645" s="0" t="n">
        <v>4981.17</v>
      </c>
      <c r="F645" s="0" t="n">
        <v>142</v>
      </c>
      <c r="G645" s="0" t="str">
        <f aca="false">IF(F645&lt;=30,"Current",IF(F645&lt;=60,"31 to 60 days",IF(F645&lt;=90,"61 to 90 days",IF(F645&lt;=120,"91 to 120 days","Over 120 days"))))</f>
        <v>Over 120 days</v>
      </c>
      <c r="H645" s="0" t="n">
        <f aca="false">VLOOKUP(D645,Rates!$A$4:$B$7,2,FALSE())</f>
        <v>0.115</v>
      </c>
      <c r="I645" s="0" t="n">
        <f aca="false">VLOOKUP(F645,Rates!$D$4:$E$8,2)</f>
        <v>0.85</v>
      </c>
      <c r="J645" s="0" t="n">
        <f aca="false">ROUND(E645*I645,2)</f>
        <v>4233.99</v>
      </c>
      <c r="K645" s="1" t="n">
        <f aca="false">PV(H645/12,F645/30,0,-E645)</f>
        <v>4761.29489808461</v>
      </c>
      <c r="L645" s="0" t="n">
        <f aca="false">ROUND(E645-K645,2)</f>
        <v>219.88</v>
      </c>
      <c r="M645" s="0" t="n">
        <f aca="false">F645/E645</f>
        <v>0.0285073587129128</v>
      </c>
    </row>
    <row r="646" customFormat="false" ht="12.8" hidden="false" customHeight="false" outlineLevel="0" collapsed="false">
      <c r="A646" s="0" t="s">
        <v>1009</v>
      </c>
      <c r="B646" s="0" t="s">
        <v>1010</v>
      </c>
      <c r="C646" s="0" t="s">
        <v>19</v>
      </c>
      <c r="D646" s="0" t="s">
        <v>49</v>
      </c>
      <c r="E646" s="0" t="n">
        <v>39761.68</v>
      </c>
      <c r="F646" s="0" t="n">
        <v>383</v>
      </c>
      <c r="G646" s="0" t="str">
        <f aca="false">IF(F646&lt;=30,"Current",IF(F646&lt;=60,"31 to 60 days",IF(F646&lt;=90,"61 to 90 days",IF(F646&lt;=120,"91 to 120 days","Over 120 days"))))</f>
        <v>Over 120 days</v>
      </c>
      <c r="H646" s="0" t="n">
        <f aca="false">VLOOKUP(D646,Rates!$A$4:$B$7,2,FALSE())</f>
        <v>0.02</v>
      </c>
      <c r="I646" s="0" t="n">
        <f aca="false">VLOOKUP(F646,Rates!$D$4:$E$8,2)</f>
        <v>0.85</v>
      </c>
      <c r="J646" s="0" t="n">
        <f aca="false">ROUND(E646*I646,2)</f>
        <v>33797.43</v>
      </c>
      <c r="K646" s="1" t="n">
        <f aca="false">PV(H646/12,F646/30,0,-E646)</f>
        <v>38925.2666653231</v>
      </c>
      <c r="L646" s="0" t="n">
        <f aca="false">ROUND(E646-K646,2)</f>
        <v>836.41</v>
      </c>
      <c r="M646" s="0" t="n">
        <f aca="false">F646/E646</f>
        <v>0.00963238977829911</v>
      </c>
    </row>
    <row r="647" customFormat="false" ht="12.8" hidden="false" customHeight="false" outlineLevel="0" collapsed="false">
      <c r="A647" s="0" t="s">
        <v>1011</v>
      </c>
      <c r="B647" s="0" t="s">
        <v>1012</v>
      </c>
      <c r="C647" s="0" t="s">
        <v>19</v>
      </c>
      <c r="D647" s="0" t="s">
        <v>16</v>
      </c>
      <c r="E647" s="0" t="n">
        <v>8073.04</v>
      </c>
      <c r="F647" s="0" t="n">
        <v>311</v>
      </c>
      <c r="G647" s="0" t="str">
        <f aca="false">IF(F647&lt;=30,"Current",IF(F647&lt;=60,"31 to 60 days",IF(F647&lt;=90,"61 to 90 days",IF(F647&lt;=120,"91 to 120 days","Over 120 days"))))</f>
        <v>Over 120 days</v>
      </c>
      <c r="H647" s="0" t="n">
        <f aca="false">VLOOKUP(D647,Rates!$A$4:$B$7,2,FALSE())</f>
        <v>0.085</v>
      </c>
      <c r="I647" s="0" t="n">
        <f aca="false">VLOOKUP(F647,Rates!$D$4:$E$8,2)</f>
        <v>0.85</v>
      </c>
      <c r="J647" s="0" t="n">
        <f aca="false">ROUND(E647*I647,2)</f>
        <v>6862.08</v>
      </c>
      <c r="K647" s="1" t="n">
        <f aca="false">PV(H647/12,F647/30,0,-E647)</f>
        <v>7503.41615804823</v>
      </c>
      <c r="L647" s="0" t="n">
        <f aca="false">ROUND(E647-K647,2)</f>
        <v>569.62</v>
      </c>
      <c r="M647" s="0" t="n">
        <f aca="false">F647/E647</f>
        <v>0.0385232824314013</v>
      </c>
    </row>
    <row r="648" customFormat="false" ht="12.8" hidden="false" customHeight="false" outlineLevel="0" collapsed="false">
      <c r="A648" s="0" t="s">
        <v>1013</v>
      </c>
      <c r="B648" s="0" t="s">
        <v>186</v>
      </c>
      <c r="C648" s="0" t="s">
        <v>31</v>
      </c>
      <c r="D648" s="0" t="s">
        <v>23</v>
      </c>
      <c r="E648" s="0" t="n">
        <v>31381.73</v>
      </c>
      <c r="F648" s="0" t="n">
        <v>366</v>
      </c>
      <c r="G648" s="0" t="str">
        <f aca="false">IF(F648&lt;=30,"Current",IF(F648&lt;=60,"31 to 60 days",IF(F648&lt;=90,"61 to 90 days",IF(F648&lt;=120,"91 to 120 days","Over 120 days"))))</f>
        <v>Over 120 days</v>
      </c>
      <c r="H648" s="0" t="n">
        <f aca="false">VLOOKUP(D648,Rates!$A$4:$B$7,2,FALSE())</f>
        <v>0.115</v>
      </c>
      <c r="I648" s="0" t="n">
        <f aca="false">VLOOKUP(F648,Rates!$D$4:$E$8,2)</f>
        <v>0.85</v>
      </c>
      <c r="J648" s="0" t="n">
        <f aca="false">ROUND(E648*I648,2)</f>
        <v>26674.47</v>
      </c>
      <c r="K648" s="1" t="n">
        <f aca="false">PV(H648/12,F648/30,0,-E648)</f>
        <v>27934.5949138326</v>
      </c>
      <c r="L648" s="0" t="n">
        <f aca="false">ROUND(E648-K648,2)</f>
        <v>3447.14</v>
      </c>
      <c r="M648" s="0" t="n">
        <f aca="false">F648/E648</f>
        <v>0.0116628369436612</v>
      </c>
    </row>
    <row r="649" customFormat="false" ht="12.8" hidden="false" customHeight="false" outlineLevel="0" collapsed="false">
      <c r="A649" s="0" t="s">
        <v>1014</v>
      </c>
      <c r="B649" s="0" t="s">
        <v>97</v>
      </c>
      <c r="C649" s="0" t="s">
        <v>42</v>
      </c>
      <c r="D649" s="0" t="s">
        <v>20</v>
      </c>
      <c r="E649" s="0" t="n">
        <v>13682.85</v>
      </c>
      <c r="F649" s="0" t="n">
        <v>50</v>
      </c>
      <c r="G649" s="0" t="str">
        <f aca="false">IF(F649&lt;=30,"Current",IF(F649&lt;=60,"31 to 60 days",IF(F649&lt;=90,"61 to 90 days",IF(F649&lt;=120,"91 to 120 days","Over 120 days"))))</f>
        <v>31 to 60 days</v>
      </c>
      <c r="H649" s="0" t="n">
        <f aca="false">VLOOKUP(D649,Rates!$A$4:$B$7,2,FALSE())</f>
        <v>0.05</v>
      </c>
      <c r="I649" s="0" t="n">
        <f aca="false">VLOOKUP(F649,Rates!$D$4:$E$8,2)</f>
        <v>0.1</v>
      </c>
      <c r="J649" s="0" t="n">
        <f aca="false">ROUND(E649*I649,2)</f>
        <v>1368.29</v>
      </c>
      <c r="K649" s="1" t="n">
        <f aca="false">PV(H649/12,F649/30,0,-E649)</f>
        <v>13588.3554207544</v>
      </c>
      <c r="L649" s="0" t="n">
        <f aca="false">ROUND(E649-K649,2)</f>
        <v>94.49</v>
      </c>
      <c r="M649" s="0" t="n">
        <f aca="false">F649/E649</f>
        <v>0.00365420946659504</v>
      </c>
    </row>
    <row r="650" customFormat="false" ht="12.8" hidden="false" customHeight="false" outlineLevel="0" collapsed="false">
      <c r="A650" s="0" t="s">
        <v>1015</v>
      </c>
      <c r="B650" s="0" t="s">
        <v>113</v>
      </c>
      <c r="C650" s="0" t="s">
        <v>26</v>
      </c>
      <c r="D650" s="0" t="s">
        <v>23</v>
      </c>
      <c r="E650" s="0" t="n">
        <v>40336.37</v>
      </c>
      <c r="F650" s="0" t="n">
        <v>253</v>
      </c>
      <c r="G650" s="0" t="str">
        <f aca="false">IF(F650&lt;=30,"Current",IF(F650&lt;=60,"31 to 60 days",IF(F650&lt;=90,"61 to 90 days",IF(F650&lt;=120,"91 to 120 days","Over 120 days"))))</f>
        <v>Over 120 days</v>
      </c>
      <c r="H650" s="0" t="n">
        <f aca="false">VLOOKUP(D650,Rates!$A$4:$B$7,2,FALSE())</f>
        <v>0.115</v>
      </c>
      <c r="I650" s="0" t="n">
        <f aca="false">VLOOKUP(F650,Rates!$D$4:$E$8,2)</f>
        <v>0.85</v>
      </c>
      <c r="J650" s="0" t="n">
        <f aca="false">ROUND(E650*I650,2)</f>
        <v>34285.91</v>
      </c>
      <c r="K650" s="1" t="n">
        <f aca="false">PV(H650/12,F650/30,0,-E650)</f>
        <v>37218.9820848037</v>
      </c>
      <c r="L650" s="0" t="n">
        <f aca="false">ROUND(E650-K650,2)</f>
        <v>3117.39</v>
      </c>
      <c r="M650" s="0" t="n">
        <f aca="false">F650/E650</f>
        <v>0.00627225503931068</v>
      </c>
    </row>
    <row r="651" customFormat="false" ht="12.8" hidden="false" customHeight="false" outlineLevel="0" collapsed="false">
      <c r="A651" s="0" t="s">
        <v>1016</v>
      </c>
      <c r="B651" s="0" t="s">
        <v>609</v>
      </c>
      <c r="C651" s="0" t="s">
        <v>31</v>
      </c>
      <c r="D651" s="0" t="s">
        <v>23</v>
      </c>
      <c r="E651" s="0" t="n">
        <v>24509.83</v>
      </c>
      <c r="F651" s="0" t="n">
        <v>140</v>
      </c>
      <c r="G651" s="0" t="str">
        <f aca="false">IF(F651&lt;=30,"Current",IF(F651&lt;=60,"31 to 60 days",IF(F651&lt;=90,"61 to 90 days",IF(F651&lt;=120,"91 to 120 days","Over 120 days"))))</f>
        <v>Over 120 days</v>
      </c>
      <c r="H651" s="0" t="n">
        <f aca="false">VLOOKUP(D651,Rates!$A$4:$B$7,2,FALSE())</f>
        <v>0.115</v>
      </c>
      <c r="I651" s="0" t="n">
        <f aca="false">VLOOKUP(F651,Rates!$D$4:$E$8,2)</f>
        <v>0.85</v>
      </c>
      <c r="J651" s="0" t="n">
        <f aca="false">ROUND(E651*I651,2)</f>
        <v>20833.36</v>
      </c>
      <c r="K651" s="1" t="n">
        <f aca="false">PV(H651/12,F651/30,0,-E651)</f>
        <v>23442.8366293138</v>
      </c>
      <c r="L651" s="0" t="n">
        <f aca="false">ROUND(E651-K651,2)</f>
        <v>1066.99</v>
      </c>
      <c r="M651" s="0" t="n">
        <f aca="false">F651/E651</f>
        <v>0.00571199392243847</v>
      </c>
    </row>
    <row r="652" customFormat="false" ht="12.8" hidden="false" customHeight="false" outlineLevel="0" collapsed="false">
      <c r="A652" s="0" t="s">
        <v>1017</v>
      </c>
      <c r="B652" s="0" t="s">
        <v>25</v>
      </c>
      <c r="C652" s="0" t="s">
        <v>26</v>
      </c>
      <c r="D652" s="0" t="s">
        <v>23</v>
      </c>
      <c r="E652" s="0" t="n">
        <v>21874.68</v>
      </c>
      <c r="F652" s="0" t="n">
        <v>255</v>
      </c>
      <c r="G652" s="0" t="str">
        <f aca="false">IF(F652&lt;=30,"Current",IF(F652&lt;=60,"31 to 60 days",IF(F652&lt;=90,"61 to 90 days",IF(F652&lt;=120,"91 to 120 days","Over 120 days"))))</f>
        <v>Over 120 days</v>
      </c>
      <c r="H652" s="0" t="n">
        <f aca="false">VLOOKUP(D652,Rates!$A$4:$B$7,2,FALSE())</f>
        <v>0.115</v>
      </c>
      <c r="I652" s="0" t="n">
        <f aca="false">VLOOKUP(F652,Rates!$D$4:$E$8,2)</f>
        <v>0.85</v>
      </c>
      <c r="J652" s="0" t="n">
        <f aca="false">ROUND(E652*I652,2)</f>
        <v>18593.48</v>
      </c>
      <c r="K652" s="1" t="n">
        <f aca="false">PV(H652/12,F652/30,0,-E652)</f>
        <v>20171.2700140789</v>
      </c>
      <c r="L652" s="0" t="n">
        <f aca="false">ROUND(E652-K652,2)</f>
        <v>1703.41</v>
      </c>
      <c r="M652" s="0" t="n">
        <f aca="false">F652/E652</f>
        <v>0.0116573133869844</v>
      </c>
    </row>
    <row r="653" customFormat="false" ht="12.8" hidden="false" customHeight="false" outlineLevel="0" collapsed="false">
      <c r="A653" s="0" t="s">
        <v>1018</v>
      </c>
      <c r="B653" s="0" t="s">
        <v>28</v>
      </c>
      <c r="C653" s="0" t="s">
        <v>15</v>
      </c>
      <c r="D653" s="0" t="s">
        <v>20</v>
      </c>
      <c r="E653" s="0" t="n">
        <v>34360.79</v>
      </c>
      <c r="F653" s="0" t="n">
        <v>371</v>
      </c>
      <c r="G653" s="0" t="str">
        <f aca="false">IF(F653&lt;=30,"Current",IF(F653&lt;=60,"31 to 60 days",IF(F653&lt;=90,"61 to 90 days",IF(F653&lt;=120,"91 to 120 days","Over 120 days"))))</f>
        <v>Over 120 days</v>
      </c>
      <c r="H653" s="0" t="n">
        <f aca="false">VLOOKUP(D653,Rates!$A$4:$B$7,2,FALSE())</f>
        <v>0.05</v>
      </c>
      <c r="I653" s="0" t="n">
        <f aca="false">VLOOKUP(F653,Rates!$D$4:$E$8,2)</f>
        <v>0.85</v>
      </c>
      <c r="J653" s="0" t="n">
        <f aca="false">ROUND(E653*I653,2)</f>
        <v>29206.67</v>
      </c>
      <c r="K653" s="1" t="n">
        <f aca="false">PV(H653/12,F653/30,0,-E653)</f>
        <v>32638.5910628491</v>
      </c>
      <c r="L653" s="0" t="n">
        <f aca="false">ROUND(E653-K653,2)</f>
        <v>1722.2</v>
      </c>
      <c r="M653" s="0" t="n">
        <f aca="false">F653/E653</f>
        <v>0.0107971906350232</v>
      </c>
    </row>
    <row r="654" customFormat="false" ht="12.8" hidden="false" customHeight="false" outlineLevel="0" collapsed="false">
      <c r="A654" s="0" t="s">
        <v>1019</v>
      </c>
      <c r="B654" s="0" t="s">
        <v>28</v>
      </c>
      <c r="C654" s="0" t="s">
        <v>15</v>
      </c>
      <c r="D654" s="0" t="s">
        <v>20</v>
      </c>
      <c r="E654" s="0" t="n">
        <v>5922.68</v>
      </c>
      <c r="F654" s="0" t="n">
        <v>374</v>
      </c>
      <c r="G654" s="0" t="str">
        <f aca="false">IF(F654&lt;=30,"Current",IF(F654&lt;=60,"31 to 60 days",IF(F654&lt;=90,"61 to 90 days",IF(F654&lt;=120,"91 to 120 days","Over 120 days"))))</f>
        <v>Over 120 days</v>
      </c>
      <c r="H654" s="0" t="n">
        <f aca="false">VLOOKUP(D654,Rates!$A$4:$B$7,2,FALSE())</f>
        <v>0.05</v>
      </c>
      <c r="I654" s="0" t="n">
        <f aca="false">VLOOKUP(F654,Rates!$D$4:$E$8,2)</f>
        <v>0.85</v>
      </c>
      <c r="J654" s="0" t="n">
        <f aca="false">ROUND(E654*I654,2)</f>
        <v>5034.28</v>
      </c>
      <c r="K654" s="1" t="n">
        <f aca="false">PV(H654/12,F654/30,0,-E654)</f>
        <v>5623.49030946784</v>
      </c>
      <c r="L654" s="0" t="n">
        <f aca="false">ROUND(E654-K654,2)</f>
        <v>299.19</v>
      </c>
      <c r="M654" s="0" t="n">
        <f aca="false">F654/E654</f>
        <v>0.0631470888179</v>
      </c>
    </row>
    <row r="655" customFormat="false" ht="12.8" hidden="false" customHeight="false" outlineLevel="0" collapsed="false">
      <c r="A655" s="0" t="s">
        <v>1020</v>
      </c>
      <c r="B655" s="0" t="s">
        <v>1021</v>
      </c>
      <c r="C655" s="0" t="s">
        <v>42</v>
      </c>
      <c r="D655" s="0" t="s">
        <v>49</v>
      </c>
      <c r="E655" s="0" t="n">
        <v>16616.74</v>
      </c>
      <c r="F655" s="0" t="n">
        <v>321</v>
      </c>
      <c r="G655" s="0" t="str">
        <f aca="false">IF(F655&lt;=30,"Current",IF(F655&lt;=60,"31 to 60 days",IF(F655&lt;=90,"61 to 90 days",IF(F655&lt;=120,"91 to 120 days","Over 120 days"))))</f>
        <v>Over 120 days</v>
      </c>
      <c r="H655" s="0" t="n">
        <f aca="false">VLOOKUP(D655,Rates!$A$4:$B$7,2,FALSE())</f>
        <v>0.02</v>
      </c>
      <c r="I655" s="0" t="n">
        <f aca="false">VLOOKUP(F655,Rates!$D$4:$E$8,2)</f>
        <v>0.85</v>
      </c>
      <c r="J655" s="0" t="n">
        <f aca="false">ROUND(E655*I655,2)</f>
        <v>14124.23</v>
      </c>
      <c r="K655" s="1" t="n">
        <f aca="false">PV(H655/12,F655/30,0,-E655)</f>
        <v>16323.277102969</v>
      </c>
      <c r="L655" s="0" t="n">
        <f aca="false">ROUND(E655-K655,2)</f>
        <v>293.46</v>
      </c>
      <c r="M655" s="0" t="n">
        <f aca="false">F655/E655</f>
        <v>0.0193178686071997</v>
      </c>
    </row>
    <row r="656" customFormat="false" ht="12.8" hidden="false" customHeight="false" outlineLevel="0" collapsed="false">
      <c r="A656" s="0" t="s">
        <v>1022</v>
      </c>
      <c r="B656" s="0" t="s">
        <v>1023</v>
      </c>
      <c r="C656" s="0" t="s">
        <v>19</v>
      </c>
      <c r="D656" s="0" t="s">
        <v>49</v>
      </c>
      <c r="E656" s="0" t="n">
        <v>37599.84</v>
      </c>
      <c r="F656" s="0" t="n">
        <v>133</v>
      </c>
      <c r="G656" s="0" t="str">
        <f aca="false">IF(F656&lt;=30,"Current",IF(F656&lt;=60,"31 to 60 days",IF(F656&lt;=90,"61 to 90 days",IF(F656&lt;=120,"91 to 120 days","Over 120 days"))))</f>
        <v>Over 120 days</v>
      </c>
      <c r="H656" s="0" t="n">
        <f aca="false">VLOOKUP(D656,Rates!$A$4:$B$7,2,FALSE())</f>
        <v>0.02</v>
      </c>
      <c r="I656" s="0" t="n">
        <f aca="false">VLOOKUP(F656,Rates!$D$4:$E$8,2)</f>
        <v>0.85</v>
      </c>
      <c r="J656" s="0" t="n">
        <f aca="false">ROUND(E656*I656,2)</f>
        <v>31959.86</v>
      </c>
      <c r="K656" s="1" t="n">
        <f aca="false">PV(H656/12,F656/30,0,-E656)</f>
        <v>37323.2723899463</v>
      </c>
      <c r="L656" s="0" t="n">
        <f aca="false">ROUND(E656-K656,2)</f>
        <v>276.57</v>
      </c>
      <c r="M656" s="0" t="n">
        <f aca="false">F656/E656</f>
        <v>0.003537249094677</v>
      </c>
    </row>
    <row r="657" customFormat="false" ht="12.8" hidden="false" customHeight="false" outlineLevel="0" collapsed="false">
      <c r="A657" s="0" t="s">
        <v>1024</v>
      </c>
      <c r="B657" s="0" t="s">
        <v>1025</v>
      </c>
      <c r="C657" s="0" t="s">
        <v>15</v>
      </c>
      <c r="D657" s="0" t="s">
        <v>49</v>
      </c>
      <c r="E657" s="0" t="n">
        <v>7980.89</v>
      </c>
      <c r="F657" s="0" t="n">
        <v>395</v>
      </c>
      <c r="G657" s="0" t="str">
        <f aca="false">IF(F657&lt;=30,"Current",IF(F657&lt;=60,"31 to 60 days",IF(F657&lt;=90,"61 to 90 days",IF(F657&lt;=120,"91 to 120 days","Over 120 days"))))</f>
        <v>Over 120 days</v>
      </c>
      <c r="H657" s="0" t="n">
        <f aca="false">VLOOKUP(D657,Rates!$A$4:$B$7,2,FALSE())</f>
        <v>0.02</v>
      </c>
      <c r="I657" s="0" t="n">
        <f aca="false">VLOOKUP(F657,Rates!$D$4:$E$8,2)</f>
        <v>0.85</v>
      </c>
      <c r="J657" s="0" t="n">
        <f aca="false">ROUND(E657*I657,2)</f>
        <v>6783.76</v>
      </c>
      <c r="K657" s="1" t="n">
        <f aca="false">PV(H657/12,F657/30,0,-E657)</f>
        <v>7807.80407829057</v>
      </c>
      <c r="L657" s="0" t="n">
        <f aca="false">ROUND(E657-K657,2)</f>
        <v>173.09</v>
      </c>
      <c r="M657" s="0" t="n">
        <f aca="false">F657/E657</f>
        <v>0.0494932269458669</v>
      </c>
    </row>
    <row r="658" customFormat="false" ht="12.8" hidden="false" customHeight="false" outlineLevel="0" collapsed="false">
      <c r="A658" s="0" t="s">
        <v>1026</v>
      </c>
      <c r="B658" s="0" t="s">
        <v>480</v>
      </c>
      <c r="C658" s="0" t="s">
        <v>36</v>
      </c>
      <c r="D658" s="0" t="s">
        <v>23</v>
      </c>
      <c r="E658" s="0" t="n">
        <v>3300.37</v>
      </c>
      <c r="F658" s="0" t="n">
        <v>28</v>
      </c>
      <c r="G658" s="0" t="str">
        <f aca="false">IF(F658&lt;=30,"Current",IF(F658&lt;=60,"31 to 60 days",IF(F658&lt;=90,"61 to 90 days",IF(F658&lt;=120,"91 to 120 days","Over 120 days"))))</f>
        <v>Current</v>
      </c>
      <c r="H658" s="0" t="n">
        <f aca="false">VLOOKUP(D658,Rates!$A$4:$B$7,2,FALSE())</f>
        <v>0.115</v>
      </c>
      <c r="I658" s="0" t="n">
        <f aca="false">VLOOKUP(F658,Rates!$D$4:$E$8,2)</f>
        <v>0.02</v>
      </c>
      <c r="J658" s="0" t="n">
        <f aca="false">ROUND(E658*I658,2)</f>
        <v>66.01</v>
      </c>
      <c r="K658" s="1" t="n">
        <f aca="false">PV(H658/12,F658/30,0,-E658)</f>
        <v>3271.12095507641</v>
      </c>
      <c r="L658" s="0" t="n">
        <f aca="false">ROUND(E658-K658,2)</f>
        <v>29.25</v>
      </c>
      <c r="M658" s="0" t="n">
        <f aca="false">F658/E658</f>
        <v>0.00848389726000418</v>
      </c>
    </row>
    <row r="659" customFormat="false" ht="12.8" hidden="false" customHeight="false" outlineLevel="0" collapsed="false">
      <c r="A659" s="0" t="s">
        <v>1027</v>
      </c>
      <c r="B659" s="0" t="s">
        <v>1028</v>
      </c>
      <c r="C659" s="0" t="s">
        <v>15</v>
      </c>
      <c r="D659" s="0" t="s">
        <v>49</v>
      </c>
      <c r="E659" s="0" t="n">
        <v>1351.65</v>
      </c>
      <c r="F659" s="0" t="n">
        <v>93</v>
      </c>
      <c r="G659" s="0" t="str">
        <f aca="false">IF(F659&lt;=30,"Current",IF(F659&lt;=60,"31 to 60 days",IF(F659&lt;=90,"61 to 90 days",IF(F659&lt;=120,"91 to 120 days","Over 120 days"))))</f>
        <v>91 to 120 days</v>
      </c>
      <c r="H659" s="0" t="n">
        <f aca="false">VLOOKUP(D659,Rates!$A$4:$B$7,2,FALSE())</f>
        <v>0.02</v>
      </c>
      <c r="I659" s="0" t="n">
        <f aca="false">VLOOKUP(F659,Rates!$D$4:$E$8,2)</f>
        <v>0.5</v>
      </c>
      <c r="J659" s="0" t="n">
        <f aca="false">ROUND(E659*I659,2)</f>
        <v>675.83</v>
      </c>
      <c r="K659" s="1" t="n">
        <f aca="false">PV(H659/12,F659/30,0,-E659)</f>
        <v>1344.6902679441</v>
      </c>
      <c r="L659" s="0" t="n">
        <f aca="false">ROUND(E659-K659,2)</f>
        <v>6.96</v>
      </c>
      <c r="M659" s="0" t="n">
        <f aca="false">F659/E659</f>
        <v>0.068804794140495</v>
      </c>
    </row>
    <row r="660" customFormat="false" ht="12.8" hidden="false" customHeight="false" outlineLevel="0" collapsed="false">
      <c r="A660" s="0" t="s">
        <v>1029</v>
      </c>
      <c r="B660" s="0" t="s">
        <v>324</v>
      </c>
      <c r="C660" s="0" t="s">
        <v>19</v>
      </c>
      <c r="D660" s="0" t="s">
        <v>16</v>
      </c>
      <c r="E660" s="0" t="n">
        <v>0</v>
      </c>
      <c r="F660" s="0" t="n">
        <v>232</v>
      </c>
      <c r="G660" s="0" t="str">
        <f aca="false">IF(F660&lt;=30,"Current",IF(F660&lt;=60,"31 to 60 days",IF(F660&lt;=90,"61 to 90 days",IF(F660&lt;=120,"91 to 120 days","Over 120 days"))))</f>
        <v>Over 120 days</v>
      </c>
      <c r="H660" s="0" t="n">
        <f aca="false">VLOOKUP(D660,Rates!$A$4:$B$7,2,FALSE())</f>
        <v>0.085</v>
      </c>
      <c r="I660" s="0" t="n">
        <f aca="false">VLOOKUP(F660,Rates!$D$4:$E$8,2)</f>
        <v>0.85</v>
      </c>
      <c r="J660" s="0" t="n">
        <f aca="false">ROUND(E660*I660,2)</f>
        <v>0</v>
      </c>
      <c r="K660" s="1" t="n">
        <f aca="false">PV(H660/12,F660/30,0,-E660)</f>
        <v>-0</v>
      </c>
      <c r="L660" s="0" t="n">
        <f aca="false">ROUND(E660-K660,2)</f>
        <v>0</v>
      </c>
      <c r="M660" s="0" t="e">
        <f aca="false">F660/E660</f>
        <v>#DIV/0!</v>
      </c>
    </row>
    <row r="661" customFormat="false" ht="12.8" hidden="false" customHeight="false" outlineLevel="0" collapsed="false">
      <c r="A661" s="0" t="s">
        <v>1030</v>
      </c>
      <c r="B661" s="0" t="s">
        <v>97</v>
      </c>
      <c r="C661" s="0" t="s">
        <v>42</v>
      </c>
      <c r="D661" s="0" t="s">
        <v>20</v>
      </c>
      <c r="E661" s="0" t="n">
        <v>36923.96</v>
      </c>
      <c r="F661" s="0" t="n">
        <v>127</v>
      </c>
      <c r="G661" s="0" t="str">
        <f aca="false">IF(F661&lt;=30,"Current",IF(F661&lt;=60,"31 to 60 days",IF(F661&lt;=90,"61 to 90 days",IF(F661&lt;=120,"91 to 120 days","Over 120 days"))))</f>
        <v>Over 120 days</v>
      </c>
      <c r="H661" s="0" t="n">
        <f aca="false">VLOOKUP(D661,Rates!$A$4:$B$7,2,FALSE())</f>
        <v>0.05</v>
      </c>
      <c r="I661" s="0" t="n">
        <f aca="false">VLOOKUP(F661,Rates!$D$4:$E$8,2)</f>
        <v>0.85</v>
      </c>
      <c r="J661" s="0" t="n">
        <f aca="false">ROUND(E661*I661,2)</f>
        <v>31385.37</v>
      </c>
      <c r="K661" s="1" t="n">
        <f aca="false">PV(H661/12,F661/30,0,-E661)</f>
        <v>36279.7023097249</v>
      </c>
      <c r="L661" s="0" t="n">
        <f aca="false">ROUND(E661-K661,2)</f>
        <v>644.26</v>
      </c>
      <c r="M661" s="0" t="n">
        <f aca="false">F661/E661</f>
        <v>0.0034395010719327</v>
      </c>
    </row>
    <row r="662" customFormat="false" ht="12.8" hidden="false" customHeight="false" outlineLevel="0" collapsed="false">
      <c r="A662" s="0" t="s">
        <v>1031</v>
      </c>
      <c r="B662" s="0" t="s">
        <v>305</v>
      </c>
      <c r="C662" s="0" t="s">
        <v>15</v>
      </c>
      <c r="D662" s="0" t="s">
        <v>23</v>
      </c>
      <c r="E662" s="0" t="n">
        <v>11897.47</v>
      </c>
      <c r="F662" s="0" t="n">
        <v>396</v>
      </c>
      <c r="G662" s="0" t="str">
        <f aca="false">IF(F662&lt;=30,"Current",IF(F662&lt;=60,"31 to 60 days",IF(F662&lt;=90,"61 to 90 days",IF(F662&lt;=120,"91 to 120 days","Over 120 days"))))</f>
        <v>Over 120 days</v>
      </c>
      <c r="H662" s="0" t="n">
        <f aca="false">VLOOKUP(D662,Rates!$A$4:$B$7,2,FALSE())</f>
        <v>0.115</v>
      </c>
      <c r="I662" s="0" t="n">
        <f aca="false">VLOOKUP(F662,Rates!$D$4:$E$8,2)</f>
        <v>0.85</v>
      </c>
      <c r="J662" s="0" t="n">
        <f aca="false">ROUND(E662*I662,2)</f>
        <v>10112.85</v>
      </c>
      <c r="K662" s="1" t="n">
        <f aca="false">PV(H662/12,F662/30,0,-E662)</f>
        <v>10490.0592783304</v>
      </c>
      <c r="L662" s="0" t="n">
        <f aca="false">ROUND(E662-K662,2)</f>
        <v>1407.41</v>
      </c>
      <c r="M662" s="0" t="n">
        <f aca="false">F662/E662</f>
        <v>0.0332843873529414</v>
      </c>
    </row>
    <row r="663" customFormat="false" ht="12.8" hidden="false" customHeight="false" outlineLevel="0" collapsed="false">
      <c r="A663" s="0" t="s">
        <v>1032</v>
      </c>
      <c r="B663" s="0" t="s">
        <v>1033</v>
      </c>
      <c r="C663" s="0" t="s">
        <v>36</v>
      </c>
      <c r="D663" s="0" t="s">
        <v>49</v>
      </c>
      <c r="E663" s="0" t="n">
        <v>7785.02</v>
      </c>
      <c r="F663" s="0" t="n">
        <v>37</v>
      </c>
      <c r="G663" s="0" t="str">
        <f aca="false">IF(F663&lt;=30,"Current",IF(F663&lt;=60,"31 to 60 days",IF(F663&lt;=90,"61 to 90 days",IF(F663&lt;=120,"91 to 120 days","Over 120 days"))))</f>
        <v>31 to 60 days</v>
      </c>
      <c r="H663" s="0" t="n">
        <f aca="false">VLOOKUP(D663,Rates!$A$4:$B$7,2,FALSE())</f>
        <v>0.02</v>
      </c>
      <c r="I663" s="0" t="n">
        <f aca="false">VLOOKUP(F663,Rates!$D$4:$E$8,2)</f>
        <v>0.1</v>
      </c>
      <c r="J663" s="0" t="n">
        <f aca="false">ROUND(E663*I663,2)</f>
        <v>778.5</v>
      </c>
      <c r="K663" s="1" t="n">
        <f aca="false">PV(H663/12,F663/30,0,-E663)</f>
        <v>7769.04718799195</v>
      </c>
      <c r="L663" s="0" t="n">
        <f aca="false">ROUND(E663-K663,2)</f>
        <v>15.97</v>
      </c>
      <c r="M663" s="0" t="n">
        <f aca="false">F663/E663</f>
        <v>0.00475271739828543</v>
      </c>
    </row>
    <row r="664" customFormat="false" ht="12.8" hidden="false" customHeight="false" outlineLevel="0" collapsed="false">
      <c r="A664" s="0" t="s">
        <v>1034</v>
      </c>
      <c r="B664" s="0" t="s">
        <v>1035</v>
      </c>
      <c r="C664" s="0" t="s">
        <v>15</v>
      </c>
      <c r="D664" s="0" t="s">
        <v>16</v>
      </c>
      <c r="E664" s="0" t="n">
        <v>38407.63</v>
      </c>
      <c r="F664" s="0" t="n">
        <v>170</v>
      </c>
      <c r="G664" s="0" t="str">
        <f aca="false">IF(F664&lt;=30,"Current",IF(F664&lt;=60,"31 to 60 days",IF(F664&lt;=90,"61 to 90 days",IF(F664&lt;=120,"91 to 120 days","Over 120 days"))))</f>
        <v>Over 120 days</v>
      </c>
      <c r="H664" s="0" t="n">
        <f aca="false">VLOOKUP(D664,Rates!$A$4:$B$7,2,FALSE())</f>
        <v>0.085</v>
      </c>
      <c r="I664" s="0" t="n">
        <f aca="false">VLOOKUP(F664,Rates!$D$4:$E$8,2)</f>
        <v>0.85</v>
      </c>
      <c r="J664" s="0" t="n">
        <f aca="false">ROUND(E664*I664,2)</f>
        <v>32646.49</v>
      </c>
      <c r="K664" s="1" t="n">
        <f aca="false">PV(H664/12,F664/30,0,-E664)</f>
        <v>36901.7413020428</v>
      </c>
      <c r="L664" s="0" t="n">
        <f aca="false">ROUND(E664-K664,2)</f>
        <v>1505.89</v>
      </c>
      <c r="M664" s="0" t="n">
        <f aca="false">F664/E664</f>
        <v>0.00442620385584844</v>
      </c>
    </row>
    <row r="665" customFormat="false" ht="12.8" hidden="false" customHeight="false" outlineLevel="0" collapsed="false">
      <c r="A665" s="0" t="s">
        <v>1036</v>
      </c>
      <c r="B665" s="0" t="s">
        <v>1037</v>
      </c>
      <c r="C665" s="0" t="s">
        <v>26</v>
      </c>
      <c r="D665" s="0" t="s">
        <v>16</v>
      </c>
      <c r="E665" s="0" t="n">
        <v>22034.01</v>
      </c>
      <c r="F665" s="0" t="n">
        <v>235</v>
      </c>
      <c r="G665" s="0" t="str">
        <f aca="false">IF(F665&lt;=30,"Current",IF(F665&lt;=60,"31 to 60 days",IF(F665&lt;=90,"61 to 90 days",IF(F665&lt;=120,"91 to 120 days","Over 120 days"))))</f>
        <v>Over 120 days</v>
      </c>
      <c r="H665" s="0" t="n">
        <f aca="false">VLOOKUP(D665,Rates!$A$4:$B$7,2,FALSE())</f>
        <v>0.085</v>
      </c>
      <c r="I665" s="0" t="n">
        <f aca="false">VLOOKUP(F665,Rates!$D$4:$E$8,2)</f>
        <v>0.85</v>
      </c>
      <c r="J665" s="0" t="n">
        <f aca="false">ROUND(E665*I665,2)</f>
        <v>18728.91</v>
      </c>
      <c r="K665" s="1" t="n">
        <f aca="false">PV(H665/12,F665/30,0,-E665)</f>
        <v>20848.8053216948</v>
      </c>
      <c r="L665" s="0" t="n">
        <f aca="false">ROUND(E665-K665,2)</f>
        <v>1185.2</v>
      </c>
      <c r="M665" s="0" t="n">
        <f aca="false">F665/E665</f>
        <v>0.0106653305503628</v>
      </c>
    </row>
    <row r="666" customFormat="false" ht="12.8" hidden="false" customHeight="false" outlineLevel="0" collapsed="false">
      <c r="A666" s="0" t="s">
        <v>1038</v>
      </c>
      <c r="B666" s="0" t="s">
        <v>1039</v>
      </c>
      <c r="C666" s="0" t="s">
        <v>19</v>
      </c>
      <c r="D666" s="0" t="s">
        <v>49</v>
      </c>
      <c r="E666" s="0" t="n">
        <v>861.34</v>
      </c>
      <c r="F666" s="0" t="n">
        <v>341</v>
      </c>
      <c r="G666" s="0" t="str">
        <f aca="false">IF(F666&lt;=30,"Current",IF(F666&lt;=60,"31 to 60 days",IF(F666&lt;=90,"61 to 90 days",IF(F666&lt;=120,"91 to 120 days","Over 120 days"))))</f>
        <v>Over 120 days</v>
      </c>
      <c r="H666" s="0" t="n">
        <f aca="false">VLOOKUP(D666,Rates!$A$4:$B$7,2,FALSE())</f>
        <v>0.02</v>
      </c>
      <c r="I666" s="0" t="n">
        <f aca="false">VLOOKUP(F666,Rates!$D$4:$E$8,2)</f>
        <v>0.85</v>
      </c>
      <c r="J666" s="0" t="n">
        <f aca="false">ROUND(E666*I666,2)</f>
        <v>732.14</v>
      </c>
      <c r="K666" s="1" t="n">
        <f aca="false">PV(H666/12,F666/30,0,-E666)</f>
        <v>845.189312914146</v>
      </c>
      <c r="L666" s="0" t="n">
        <f aca="false">ROUND(E666-K666,2)</f>
        <v>16.15</v>
      </c>
      <c r="M666" s="0" t="n">
        <f aca="false">F666/E666</f>
        <v>0.395894768616342</v>
      </c>
    </row>
    <row r="667" customFormat="false" ht="12.8" hidden="false" customHeight="false" outlineLevel="0" collapsed="false">
      <c r="A667" s="0" t="s">
        <v>1040</v>
      </c>
      <c r="B667" s="0" t="s">
        <v>1041</v>
      </c>
      <c r="C667" s="0" t="s">
        <v>31</v>
      </c>
      <c r="D667" s="0" t="s">
        <v>49</v>
      </c>
      <c r="E667" s="0" t="n">
        <v>20168.45</v>
      </c>
      <c r="F667" s="0" t="n">
        <v>312</v>
      </c>
      <c r="G667" s="0" t="str">
        <f aca="false">IF(F667&lt;=30,"Current",IF(F667&lt;=60,"31 to 60 days",IF(F667&lt;=90,"61 to 90 days",IF(F667&lt;=120,"91 to 120 days","Over 120 days"))))</f>
        <v>Over 120 days</v>
      </c>
      <c r="H667" s="0" t="n">
        <f aca="false">VLOOKUP(D667,Rates!$A$4:$B$7,2,FALSE())</f>
        <v>0.02</v>
      </c>
      <c r="I667" s="0" t="n">
        <f aca="false">VLOOKUP(F667,Rates!$D$4:$E$8,2)</f>
        <v>0.85</v>
      </c>
      <c r="J667" s="0" t="n">
        <f aca="false">ROUND(E667*I667,2)</f>
        <v>17143.18</v>
      </c>
      <c r="K667" s="1" t="n">
        <f aca="false">PV(H667/12,F667/30,0,-E667)</f>
        <v>19822.1618534023</v>
      </c>
      <c r="L667" s="0" t="n">
        <f aca="false">ROUND(E667-K667,2)</f>
        <v>346.29</v>
      </c>
      <c r="M667" s="0" t="n">
        <f aca="false">F667/E667</f>
        <v>0.015469706397864</v>
      </c>
    </row>
    <row r="668" customFormat="false" ht="12.8" hidden="false" customHeight="false" outlineLevel="0" collapsed="false">
      <c r="A668" s="0" t="s">
        <v>1042</v>
      </c>
      <c r="B668" s="0" t="s">
        <v>1043</v>
      </c>
      <c r="C668" s="0" t="s">
        <v>36</v>
      </c>
      <c r="D668" s="0" t="s">
        <v>16</v>
      </c>
      <c r="E668" s="0" t="n">
        <v>4992.78</v>
      </c>
      <c r="F668" s="0" t="n">
        <v>57</v>
      </c>
      <c r="G668" s="0" t="str">
        <f aca="false">IF(F668&lt;=30,"Current",IF(F668&lt;=60,"31 to 60 days",IF(F668&lt;=90,"61 to 90 days",IF(F668&lt;=120,"91 to 120 days","Over 120 days"))))</f>
        <v>31 to 60 days</v>
      </c>
      <c r="H668" s="0" t="n">
        <f aca="false">VLOOKUP(D668,Rates!$A$4:$B$7,2,FALSE())</f>
        <v>0.085</v>
      </c>
      <c r="I668" s="0" t="n">
        <f aca="false">VLOOKUP(F668,Rates!$D$4:$E$8,2)</f>
        <v>0.1</v>
      </c>
      <c r="J668" s="0" t="n">
        <f aca="false">ROUND(E668*I668,2)</f>
        <v>499.28</v>
      </c>
      <c r="K668" s="1" t="n">
        <f aca="false">PV(H668/12,F668/30,0,-E668)</f>
        <v>4926.26934559978</v>
      </c>
      <c r="L668" s="0" t="n">
        <f aca="false">ROUND(E668-K668,2)</f>
        <v>66.51</v>
      </c>
      <c r="M668" s="0" t="n">
        <f aca="false">F668/E668</f>
        <v>0.0114164854049247</v>
      </c>
    </row>
    <row r="669" customFormat="false" ht="12.8" hidden="false" customHeight="false" outlineLevel="0" collapsed="false">
      <c r="A669" s="0" t="s">
        <v>1044</v>
      </c>
      <c r="B669" s="0" t="s">
        <v>51</v>
      </c>
      <c r="C669" s="0" t="s">
        <v>36</v>
      </c>
      <c r="D669" s="0" t="s">
        <v>20</v>
      </c>
      <c r="E669" s="0" t="n">
        <v>4850.92</v>
      </c>
      <c r="F669" s="0" t="n">
        <v>357</v>
      </c>
      <c r="G669" s="0" t="str">
        <f aca="false">IF(F669&lt;=30,"Current",IF(F669&lt;=60,"31 to 60 days",IF(F669&lt;=90,"61 to 90 days",IF(F669&lt;=120,"91 to 120 days","Over 120 days"))))</f>
        <v>Over 120 days</v>
      </c>
      <c r="H669" s="0" t="n">
        <f aca="false">VLOOKUP(D669,Rates!$A$4:$B$7,2,FALSE())</f>
        <v>0.05</v>
      </c>
      <c r="I669" s="0" t="n">
        <f aca="false">VLOOKUP(F669,Rates!$D$4:$E$8,2)</f>
        <v>0.85</v>
      </c>
      <c r="J669" s="0" t="n">
        <f aca="false">ROUND(E669*I669,2)</f>
        <v>4123.28</v>
      </c>
      <c r="K669" s="1" t="n">
        <f aca="false">PV(H669/12,F669/30,0,-E669)</f>
        <v>4616.73643863576</v>
      </c>
      <c r="L669" s="0" t="n">
        <f aca="false">ROUND(E669-K669,2)</f>
        <v>234.18</v>
      </c>
      <c r="M669" s="0" t="n">
        <f aca="false">F669/E669</f>
        <v>0.073594287269219</v>
      </c>
    </row>
    <row r="670" customFormat="false" ht="12.8" hidden="false" customHeight="false" outlineLevel="0" collapsed="false">
      <c r="A670" s="0" t="s">
        <v>1045</v>
      </c>
      <c r="B670" s="0" t="s">
        <v>1046</v>
      </c>
      <c r="C670" s="0" t="s">
        <v>19</v>
      </c>
      <c r="D670" s="0" t="s">
        <v>49</v>
      </c>
      <c r="E670" s="0" t="n">
        <v>16492.8</v>
      </c>
      <c r="F670" s="0" t="n">
        <v>99</v>
      </c>
      <c r="G670" s="0" t="str">
        <f aca="false">IF(F670&lt;=30,"Current",IF(F670&lt;=60,"31 to 60 days",IF(F670&lt;=90,"61 to 90 days",IF(F670&lt;=120,"91 to 120 days","Over 120 days"))))</f>
        <v>91 to 120 days</v>
      </c>
      <c r="H670" s="0" t="n">
        <f aca="false">VLOOKUP(D670,Rates!$A$4:$B$7,2,FALSE())</f>
        <v>0.02</v>
      </c>
      <c r="I670" s="0" t="n">
        <f aca="false">VLOOKUP(F670,Rates!$D$4:$E$8,2)</f>
        <v>0.5</v>
      </c>
      <c r="J670" s="0" t="n">
        <f aca="false">ROUND(E670*I670,2)</f>
        <v>8246.4</v>
      </c>
      <c r="K670" s="1" t="n">
        <f aca="false">PV(H670/12,F670/30,0,-E670)</f>
        <v>16402.4136910275</v>
      </c>
      <c r="L670" s="0" t="n">
        <f aca="false">ROUND(E670-K670,2)</f>
        <v>90.39</v>
      </c>
      <c r="M670" s="0" t="n">
        <f aca="false">F670/E670</f>
        <v>0.00600261932479628</v>
      </c>
    </row>
    <row r="671" customFormat="false" ht="12.8" hidden="false" customHeight="false" outlineLevel="0" collapsed="false">
      <c r="A671" s="0" t="s">
        <v>1047</v>
      </c>
      <c r="B671" s="0" t="s">
        <v>1048</v>
      </c>
      <c r="C671" s="0" t="s">
        <v>31</v>
      </c>
      <c r="D671" s="0" t="s">
        <v>49</v>
      </c>
      <c r="E671" s="0" t="n">
        <v>11686.01</v>
      </c>
      <c r="F671" s="0" t="n">
        <v>237</v>
      </c>
      <c r="G671" s="0" t="str">
        <f aca="false">IF(F671&lt;=30,"Current",IF(F671&lt;=60,"31 to 60 days",IF(F671&lt;=90,"61 to 90 days",IF(F671&lt;=120,"91 to 120 days","Over 120 days"))))</f>
        <v>Over 120 days</v>
      </c>
      <c r="H671" s="0" t="n">
        <f aca="false">VLOOKUP(D671,Rates!$A$4:$B$7,2,FALSE())</f>
        <v>0.02</v>
      </c>
      <c r="I671" s="0" t="n">
        <f aca="false">VLOOKUP(F671,Rates!$D$4:$E$8,2)</f>
        <v>0.85</v>
      </c>
      <c r="J671" s="0" t="n">
        <f aca="false">ROUND(E671*I671,2)</f>
        <v>9933.11</v>
      </c>
      <c r="K671" s="1" t="n">
        <f aca="false">PV(H671/12,F671/30,0,-E671)</f>
        <v>11533.2791249548</v>
      </c>
      <c r="L671" s="0" t="n">
        <f aca="false">ROUND(E671-K671,2)</f>
        <v>152.73</v>
      </c>
      <c r="M671" s="0" t="n">
        <f aca="false">F671/E671</f>
        <v>0.0202806603793767</v>
      </c>
    </row>
    <row r="672" customFormat="false" ht="12.8" hidden="false" customHeight="false" outlineLevel="0" collapsed="false">
      <c r="A672" s="0" t="s">
        <v>1049</v>
      </c>
      <c r="B672" s="0" t="s">
        <v>609</v>
      </c>
      <c r="C672" s="0" t="s">
        <v>31</v>
      </c>
      <c r="D672" s="0" t="s">
        <v>23</v>
      </c>
      <c r="E672" s="0" t="n">
        <v>25693.5</v>
      </c>
      <c r="F672" s="0" t="n">
        <v>140</v>
      </c>
      <c r="G672" s="0" t="str">
        <f aca="false">IF(F672&lt;=30,"Current",IF(F672&lt;=60,"31 to 60 days",IF(F672&lt;=90,"61 to 90 days",IF(F672&lt;=120,"91 to 120 days","Over 120 days"))))</f>
        <v>Over 120 days</v>
      </c>
      <c r="H672" s="0" t="n">
        <f aca="false">VLOOKUP(D672,Rates!$A$4:$B$7,2,FALSE())</f>
        <v>0.115</v>
      </c>
      <c r="I672" s="0" t="n">
        <f aca="false">VLOOKUP(F672,Rates!$D$4:$E$8,2)</f>
        <v>0.85</v>
      </c>
      <c r="J672" s="0" t="n">
        <f aca="false">ROUND(E672*I672,2)</f>
        <v>21839.48</v>
      </c>
      <c r="K672" s="1" t="n">
        <f aca="false">PV(H672/12,F672/30,0,-E672)</f>
        <v>24574.977587983</v>
      </c>
      <c r="L672" s="0" t="n">
        <f aca="false">ROUND(E672-K672,2)</f>
        <v>1118.52</v>
      </c>
      <c r="M672" s="0" t="n">
        <f aca="false">F672/E672</f>
        <v>0.0054488489306634</v>
      </c>
    </row>
    <row r="673" customFormat="false" ht="12.8" hidden="false" customHeight="false" outlineLevel="0" collapsed="false">
      <c r="A673" s="0" t="s">
        <v>1050</v>
      </c>
      <c r="B673" s="0" t="s">
        <v>1051</v>
      </c>
      <c r="C673" s="0" t="s">
        <v>31</v>
      </c>
      <c r="D673" s="0" t="s">
        <v>49</v>
      </c>
      <c r="E673" s="0" t="n">
        <v>40905.34</v>
      </c>
      <c r="F673" s="0" t="n">
        <v>30</v>
      </c>
      <c r="G673" s="0" t="str">
        <f aca="false">IF(F673&lt;=30,"Current",IF(F673&lt;=60,"31 to 60 days",IF(F673&lt;=90,"61 to 90 days",IF(F673&lt;=120,"91 to 120 days","Over 120 days"))))</f>
        <v>Current</v>
      </c>
      <c r="H673" s="0" t="n">
        <f aca="false">VLOOKUP(D673,Rates!$A$4:$B$7,2,FALSE())</f>
        <v>0.02</v>
      </c>
      <c r="I673" s="0" t="n">
        <f aca="false">VLOOKUP(F673,Rates!$D$4:$E$8,2)</f>
        <v>0.02</v>
      </c>
      <c r="J673" s="0" t="n">
        <f aca="false">ROUND(E673*I673,2)</f>
        <v>818.11</v>
      </c>
      <c r="K673" s="1" t="n">
        <f aca="false">PV(H673/12,F673/30,0,-E673)</f>
        <v>40837.2778702163</v>
      </c>
      <c r="L673" s="0" t="n">
        <f aca="false">ROUND(E673-K673,2)</f>
        <v>68.06</v>
      </c>
      <c r="M673" s="0" t="n">
        <f aca="false">F673/E673</f>
        <v>0.000733400578017442</v>
      </c>
    </row>
    <row r="674" customFormat="false" ht="12.8" hidden="false" customHeight="false" outlineLevel="0" collapsed="false">
      <c r="A674" s="0" t="s">
        <v>1052</v>
      </c>
      <c r="B674" s="0" t="s">
        <v>28</v>
      </c>
      <c r="C674" s="0" t="s">
        <v>15</v>
      </c>
      <c r="D674" s="0" t="s">
        <v>20</v>
      </c>
      <c r="E674" s="0" t="n">
        <v>43049.74</v>
      </c>
      <c r="F674" s="0" t="n">
        <v>127</v>
      </c>
      <c r="G674" s="0" t="str">
        <f aca="false">IF(F674&lt;=30,"Current",IF(F674&lt;=60,"31 to 60 days",IF(F674&lt;=90,"61 to 90 days",IF(F674&lt;=120,"91 to 120 days","Over 120 days"))))</f>
        <v>Over 120 days</v>
      </c>
      <c r="H674" s="0" t="n">
        <f aca="false">VLOOKUP(D674,Rates!$A$4:$B$7,2,FALSE())</f>
        <v>0.05</v>
      </c>
      <c r="I674" s="0" t="n">
        <f aca="false">VLOOKUP(F674,Rates!$D$4:$E$8,2)</f>
        <v>0.85</v>
      </c>
      <c r="J674" s="0" t="n">
        <f aca="false">ROUND(E674*I674,2)</f>
        <v>36592.28</v>
      </c>
      <c r="K674" s="1" t="n">
        <f aca="false">PV(H674/12,F674/30,0,-E674)</f>
        <v>42298.5983006985</v>
      </c>
      <c r="L674" s="0" t="n">
        <f aca="false">ROUND(E674-K674,2)</f>
        <v>751.14</v>
      </c>
      <c r="M674" s="0" t="n">
        <f aca="false">F674/E674</f>
        <v>0.00295007588896007</v>
      </c>
    </row>
    <row r="675" customFormat="false" ht="12.8" hidden="false" customHeight="false" outlineLevel="0" collapsed="false">
      <c r="A675" s="0" t="s">
        <v>1053</v>
      </c>
      <c r="B675" s="0" t="s">
        <v>198</v>
      </c>
      <c r="C675" s="0" t="s">
        <v>19</v>
      </c>
      <c r="D675" s="0" t="s">
        <v>23</v>
      </c>
      <c r="E675" s="0" t="n">
        <v>42671.46</v>
      </c>
      <c r="F675" s="0" t="n">
        <v>251</v>
      </c>
      <c r="G675" s="0" t="str">
        <f aca="false">IF(F675&lt;=30,"Current",IF(F675&lt;=60,"31 to 60 days",IF(F675&lt;=90,"61 to 90 days",IF(F675&lt;=120,"91 to 120 days","Over 120 days"))))</f>
        <v>Over 120 days</v>
      </c>
      <c r="H675" s="0" t="n">
        <f aca="false">VLOOKUP(D675,Rates!$A$4:$B$7,2,FALSE())</f>
        <v>0.115</v>
      </c>
      <c r="I675" s="0" t="n">
        <f aca="false">VLOOKUP(F675,Rates!$D$4:$E$8,2)</f>
        <v>0.85</v>
      </c>
      <c r="J675" s="0" t="n">
        <f aca="false">ROUND(E675*I675,2)</f>
        <v>36270.74</v>
      </c>
      <c r="K675" s="1" t="n">
        <f aca="false">PV(H675/12,F675/30,0,-E675)</f>
        <v>39398.6486911975</v>
      </c>
      <c r="L675" s="0" t="n">
        <f aca="false">ROUND(E675-K675,2)</f>
        <v>3272.81</v>
      </c>
      <c r="M675" s="0" t="n">
        <f aca="false">F675/E675</f>
        <v>0.00588215167702254</v>
      </c>
    </row>
    <row r="676" customFormat="false" ht="12.8" hidden="false" customHeight="false" outlineLevel="0" collapsed="false">
      <c r="A676" s="0" t="s">
        <v>1054</v>
      </c>
      <c r="B676" s="0" t="s">
        <v>239</v>
      </c>
      <c r="C676" s="0" t="s">
        <v>42</v>
      </c>
      <c r="D676" s="0" t="s">
        <v>23</v>
      </c>
      <c r="E676" s="0" t="n">
        <v>37964.73</v>
      </c>
      <c r="F676" s="0" t="n">
        <v>114</v>
      </c>
      <c r="G676" s="0" t="str">
        <f aca="false">IF(F676&lt;=30,"Current",IF(F676&lt;=60,"31 to 60 days",IF(F676&lt;=90,"61 to 90 days",IF(F676&lt;=120,"91 to 120 days","Over 120 days"))))</f>
        <v>91 to 120 days</v>
      </c>
      <c r="H676" s="0" t="n">
        <f aca="false">VLOOKUP(D676,Rates!$A$4:$B$7,2,FALSE())</f>
        <v>0.115</v>
      </c>
      <c r="I676" s="0" t="n">
        <f aca="false">VLOOKUP(F676,Rates!$D$4:$E$8,2)</f>
        <v>0.5</v>
      </c>
      <c r="J676" s="0" t="n">
        <f aca="false">ROUND(E676*I676,2)</f>
        <v>18982.37</v>
      </c>
      <c r="K676" s="1" t="n">
        <f aca="false">PV(H676/12,F676/30,0,-E676)</f>
        <v>36613.4000066011</v>
      </c>
      <c r="L676" s="0" t="n">
        <f aca="false">ROUND(E676-K676,2)</f>
        <v>1351.33</v>
      </c>
      <c r="M676" s="0" t="n">
        <f aca="false">F676/E676</f>
        <v>0.00300278706051643</v>
      </c>
    </row>
    <row r="677" customFormat="false" ht="12.8" hidden="false" customHeight="false" outlineLevel="0" collapsed="false">
      <c r="A677" s="0" t="s">
        <v>1055</v>
      </c>
      <c r="B677" s="0" t="s">
        <v>205</v>
      </c>
      <c r="C677" s="0" t="s">
        <v>42</v>
      </c>
      <c r="D677" s="0" t="s">
        <v>23</v>
      </c>
      <c r="E677" s="0" t="n">
        <v>19473.19</v>
      </c>
      <c r="F677" s="0" t="n">
        <v>11</v>
      </c>
      <c r="G677" s="0" t="str">
        <f aca="false">IF(F677&lt;=30,"Current",IF(F677&lt;=60,"31 to 60 days",IF(F677&lt;=90,"61 to 90 days",IF(F677&lt;=120,"91 to 120 days","Over 120 days"))))</f>
        <v>Current</v>
      </c>
      <c r="H677" s="0" t="n">
        <f aca="false">VLOOKUP(D677,Rates!$A$4:$B$7,2,FALSE())</f>
        <v>0.115</v>
      </c>
      <c r="I677" s="0" t="n">
        <f aca="false">VLOOKUP(F677,Rates!$D$4:$E$8,2)</f>
        <v>0.02</v>
      </c>
      <c r="J677" s="0" t="n">
        <f aca="false">ROUND(E677*I677,2)</f>
        <v>389.46</v>
      </c>
      <c r="K677" s="1" t="n">
        <f aca="false">PV(H677/12,F677/30,0,-E677)</f>
        <v>19405.2081127752</v>
      </c>
      <c r="L677" s="0" t="n">
        <f aca="false">ROUND(E677-K677,2)</f>
        <v>67.98</v>
      </c>
      <c r="M677" s="0" t="n">
        <f aca="false">F677/E677</f>
        <v>0.000564879200582955</v>
      </c>
    </row>
    <row r="678" customFormat="false" ht="12.8" hidden="false" customHeight="false" outlineLevel="0" collapsed="false">
      <c r="A678" s="0" t="s">
        <v>1056</v>
      </c>
      <c r="B678" s="0" t="s">
        <v>534</v>
      </c>
      <c r="C678" s="0" t="s">
        <v>26</v>
      </c>
      <c r="D678" s="0" t="s">
        <v>23</v>
      </c>
      <c r="E678" s="0" t="n">
        <v>7344.22</v>
      </c>
      <c r="F678" s="0" t="n">
        <v>263</v>
      </c>
      <c r="G678" s="0" t="str">
        <f aca="false">IF(F678&lt;=30,"Current",IF(F678&lt;=60,"31 to 60 days",IF(F678&lt;=90,"61 to 90 days",IF(F678&lt;=120,"91 to 120 days","Over 120 days"))))</f>
        <v>Over 120 days</v>
      </c>
      <c r="H678" s="0" t="n">
        <f aca="false">VLOOKUP(D678,Rates!$A$4:$B$7,2,FALSE())</f>
        <v>0.115</v>
      </c>
      <c r="I678" s="0" t="n">
        <f aca="false">VLOOKUP(F678,Rates!$D$4:$E$8,2)</f>
        <v>0.85</v>
      </c>
      <c r="J678" s="0" t="n">
        <f aca="false">ROUND(E678*I678,2)</f>
        <v>6242.59</v>
      </c>
      <c r="K678" s="1" t="n">
        <f aca="false">PV(H678/12,F678/30,0,-E678)</f>
        <v>6755.11322784515</v>
      </c>
      <c r="L678" s="0" t="n">
        <f aca="false">ROUND(E678-K678,2)</f>
        <v>589.11</v>
      </c>
      <c r="M678" s="0" t="n">
        <f aca="false">F678/E678</f>
        <v>0.0358104740871052</v>
      </c>
    </row>
    <row r="679" customFormat="false" ht="12.8" hidden="false" customHeight="false" outlineLevel="0" collapsed="false">
      <c r="A679" s="0" t="s">
        <v>1057</v>
      </c>
      <c r="B679" s="0" t="s">
        <v>852</v>
      </c>
      <c r="C679" s="0" t="s">
        <v>36</v>
      </c>
      <c r="D679" s="0" t="s">
        <v>49</v>
      </c>
      <c r="E679" s="0" t="n">
        <v>36419.39</v>
      </c>
      <c r="F679" s="0" t="n">
        <v>160</v>
      </c>
      <c r="G679" s="0" t="str">
        <f aca="false">IF(F679&lt;=30,"Current",IF(F679&lt;=60,"31 to 60 days",IF(F679&lt;=90,"61 to 90 days",IF(F679&lt;=120,"91 to 120 days","Over 120 days"))))</f>
        <v>Over 120 days</v>
      </c>
      <c r="H679" s="0" t="n">
        <f aca="false">VLOOKUP(D679,Rates!$A$4:$B$7,2,FALSE())</f>
        <v>0.02</v>
      </c>
      <c r="I679" s="0" t="n">
        <f aca="false">VLOOKUP(F679,Rates!$D$4:$E$8,2)</f>
        <v>0.85</v>
      </c>
      <c r="J679" s="0" t="n">
        <f aca="false">ROUND(E679*I679,2)</f>
        <v>30956.48</v>
      </c>
      <c r="K679" s="1" t="n">
        <f aca="false">PV(H679/12,F679/30,0,-E679)</f>
        <v>36097.3637161425</v>
      </c>
      <c r="L679" s="0" t="n">
        <f aca="false">ROUND(E679-K679,2)</f>
        <v>322.03</v>
      </c>
      <c r="M679" s="0" t="n">
        <f aca="false">F679/E679</f>
        <v>0.00439326413759264</v>
      </c>
    </row>
    <row r="680" customFormat="false" ht="12.8" hidden="false" customHeight="false" outlineLevel="0" collapsed="false">
      <c r="A680" s="0" t="s">
        <v>1058</v>
      </c>
      <c r="B680" s="0" t="s">
        <v>1059</v>
      </c>
      <c r="C680" s="0" t="s">
        <v>19</v>
      </c>
      <c r="D680" s="0" t="s">
        <v>49</v>
      </c>
      <c r="E680" s="0" t="n">
        <v>42285.26</v>
      </c>
      <c r="F680" s="0" t="n">
        <v>333</v>
      </c>
      <c r="G680" s="0" t="str">
        <f aca="false">IF(F680&lt;=30,"Current",IF(F680&lt;=60,"31 to 60 days",IF(F680&lt;=90,"61 to 90 days",IF(F680&lt;=120,"91 to 120 days","Over 120 days"))))</f>
        <v>Over 120 days</v>
      </c>
      <c r="H680" s="0" t="n">
        <f aca="false">VLOOKUP(D680,Rates!$A$4:$B$7,2,FALSE())</f>
        <v>0.02</v>
      </c>
      <c r="I680" s="0" t="n">
        <f aca="false">VLOOKUP(F680,Rates!$D$4:$E$8,2)</f>
        <v>0.85</v>
      </c>
      <c r="J680" s="0" t="n">
        <f aca="false">ROUND(E680*I680,2)</f>
        <v>35942.47</v>
      </c>
      <c r="K680" s="1" t="n">
        <f aca="false">PV(H680/12,F680/30,0,-E680)</f>
        <v>41510.8135816101</v>
      </c>
      <c r="L680" s="0" t="n">
        <f aca="false">ROUND(E680-K680,2)</f>
        <v>774.45</v>
      </c>
      <c r="M680" s="0" t="n">
        <f aca="false">F680/E680</f>
        <v>0.00787508460394946</v>
      </c>
    </row>
    <row r="681" customFormat="false" ht="12.8" hidden="false" customHeight="false" outlineLevel="0" collapsed="false">
      <c r="A681" s="0" t="s">
        <v>1060</v>
      </c>
      <c r="B681" s="0" t="s">
        <v>534</v>
      </c>
      <c r="C681" s="0" t="s">
        <v>26</v>
      </c>
      <c r="D681" s="0" t="s">
        <v>23</v>
      </c>
      <c r="E681" s="0" t="n">
        <v>5794.54</v>
      </c>
      <c r="F681" s="0" t="n">
        <v>137</v>
      </c>
      <c r="G681" s="0" t="str">
        <f aca="false">IF(F681&lt;=30,"Current",IF(F681&lt;=60,"31 to 60 days",IF(F681&lt;=90,"61 to 90 days",IF(F681&lt;=120,"91 to 120 days","Over 120 days"))))</f>
        <v>Over 120 days</v>
      </c>
      <c r="H681" s="0" t="n">
        <f aca="false">VLOOKUP(D681,Rates!$A$4:$B$7,2,FALSE())</f>
        <v>0.115</v>
      </c>
      <c r="I681" s="0" t="n">
        <f aca="false">VLOOKUP(F681,Rates!$D$4:$E$8,2)</f>
        <v>0.85</v>
      </c>
      <c r="J681" s="0" t="n">
        <f aca="false">ROUND(E681*I681,2)</f>
        <v>4925.36</v>
      </c>
      <c r="K681" s="1" t="n">
        <f aca="false">PV(H681/12,F681/30,0,-E681)</f>
        <v>5547.57323810175</v>
      </c>
      <c r="L681" s="0" t="n">
        <f aca="false">ROUND(E681-K681,2)</f>
        <v>246.97</v>
      </c>
      <c r="M681" s="0" t="n">
        <f aca="false">F681/E681</f>
        <v>0.0236429466359711</v>
      </c>
    </row>
    <row r="682" customFormat="false" ht="12.8" hidden="false" customHeight="false" outlineLevel="0" collapsed="false">
      <c r="A682" s="0" t="s">
        <v>1061</v>
      </c>
      <c r="B682" s="0" t="s">
        <v>1062</v>
      </c>
      <c r="C682" s="0" t="s">
        <v>19</v>
      </c>
      <c r="D682" s="0" t="s">
        <v>49</v>
      </c>
      <c r="E682" s="0" t="n">
        <v>36273.54</v>
      </c>
      <c r="F682" s="0" t="n">
        <v>136</v>
      </c>
      <c r="G682" s="0" t="str">
        <f aca="false">IF(F682&lt;=30,"Current",IF(F682&lt;=60,"31 to 60 days",IF(F682&lt;=90,"61 to 90 days",IF(F682&lt;=120,"91 to 120 days","Over 120 days"))))</f>
        <v>Over 120 days</v>
      </c>
      <c r="H682" s="0" t="n">
        <f aca="false">VLOOKUP(D682,Rates!$A$4:$B$7,2,FALSE())</f>
        <v>0.02</v>
      </c>
      <c r="I682" s="0" t="n">
        <f aca="false">VLOOKUP(F682,Rates!$D$4:$E$8,2)</f>
        <v>0.85</v>
      </c>
      <c r="J682" s="0" t="n">
        <f aca="false">ROUND(E682*I682,2)</f>
        <v>30832.51</v>
      </c>
      <c r="K682" s="1" t="n">
        <f aca="false">PV(H682/12,F682/30,0,-E682)</f>
        <v>36000.7324329587</v>
      </c>
      <c r="L682" s="0" t="n">
        <f aca="false">ROUND(E682-K682,2)</f>
        <v>272.81</v>
      </c>
      <c r="M682" s="0" t="n">
        <f aca="false">F682/E682</f>
        <v>0.00374928942694868</v>
      </c>
    </row>
    <row r="683" customFormat="false" ht="12.8" hidden="false" customHeight="false" outlineLevel="0" collapsed="false">
      <c r="A683" s="0" t="s">
        <v>1063</v>
      </c>
      <c r="B683" s="0" t="s">
        <v>1064</v>
      </c>
      <c r="C683" s="0" t="s">
        <v>19</v>
      </c>
      <c r="D683" s="0" t="s">
        <v>49</v>
      </c>
      <c r="E683" s="0" t="n">
        <v>43124.81</v>
      </c>
      <c r="F683" s="0" t="n">
        <v>63</v>
      </c>
      <c r="G683" s="0" t="str">
        <f aca="false">IF(F683&lt;=30,"Current",IF(F683&lt;=60,"31 to 60 days",IF(F683&lt;=90,"61 to 90 days",IF(F683&lt;=120,"91 to 120 days","Over 120 days"))))</f>
        <v>61 to 90 days</v>
      </c>
      <c r="H683" s="0" t="n">
        <f aca="false">VLOOKUP(D683,Rates!$A$4:$B$7,2,FALSE())</f>
        <v>0.02</v>
      </c>
      <c r="I683" s="0" t="n">
        <f aca="false">VLOOKUP(F683,Rates!$D$4:$E$8,2)</f>
        <v>0.25</v>
      </c>
      <c r="J683" s="0" t="n">
        <f aca="false">ROUND(E683*I683,2)</f>
        <v>10781.2</v>
      </c>
      <c r="K683" s="1" t="n">
        <f aca="false">PV(H683/12,F683/30,0,-E683)</f>
        <v>42974.2621988891</v>
      </c>
      <c r="L683" s="0" t="n">
        <f aca="false">ROUND(E683-K683,2)</f>
        <v>150.55</v>
      </c>
      <c r="M683" s="0" t="n">
        <f aca="false">F683/E683</f>
        <v>0.00146087600154064</v>
      </c>
    </row>
    <row r="684" customFormat="false" ht="12.8" hidden="false" customHeight="false" outlineLevel="0" collapsed="false">
      <c r="A684" s="0" t="s">
        <v>1065</v>
      </c>
      <c r="B684" s="0" t="s">
        <v>145</v>
      </c>
      <c r="C684" s="0" t="s">
        <v>15</v>
      </c>
      <c r="D684" s="0" t="s">
        <v>16</v>
      </c>
      <c r="E684" s="0" t="n">
        <v>28978.49</v>
      </c>
      <c r="F684" s="0" t="n">
        <v>236</v>
      </c>
      <c r="G684" s="0" t="str">
        <f aca="false">IF(F684&lt;=30,"Current",IF(F684&lt;=60,"31 to 60 days",IF(F684&lt;=90,"61 to 90 days",IF(F684&lt;=120,"91 to 120 days","Over 120 days"))))</f>
        <v>Over 120 days</v>
      </c>
      <c r="H684" s="0" t="n">
        <f aca="false">VLOOKUP(D684,Rates!$A$4:$B$7,2,FALSE())</f>
        <v>0.085</v>
      </c>
      <c r="I684" s="0" t="n">
        <f aca="false">VLOOKUP(F684,Rates!$D$4:$E$8,2)</f>
        <v>0.85</v>
      </c>
      <c r="J684" s="0" t="n">
        <f aca="false">ROUND(E684*I684,2)</f>
        <v>24631.72</v>
      </c>
      <c r="K684" s="1" t="n">
        <f aca="false">PV(H684/12,F684/30,0,-E684)</f>
        <v>27413.2927042205</v>
      </c>
      <c r="L684" s="0" t="n">
        <f aca="false">ROUND(E684-K684,2)</f>
        <v>1565.2</v>
      </c>
      <c r="M684" s="0" t="n">
        <f aca="false">F684/E684</f>
        <v>0.00814397161480809</v>
      </c>
    </row>
    <row r="685" customFormat="false" ht="12.8" hidden="false" customHeight="false" outlineLevel="0" collapsed="false">
      <c r="A685" s="0" t="s">
        <v>1066</v>
      </c>
      <c r="B685" s="0" t="s">
        <v>150</v>
      </c>
      <c r="C685" s="0" t="s">
        <v>31</v>
      </c>
      <c r="D685" s="0" t="s">
        <v>23</v>
      </c>
      <c r="E685" s="0" t="n">
        <v>40786.37</v>
      </c>
      <c r="F685" s="0" t="n">
        <v>206</v>
      </c>
      <c r="G685" s="0" t="str">
        <f aca="false">IF(F685&lt;=30,"Current",IF(F685&lt;=60,"31 to 60 days",IF(F685&lt;=90,"61 to 90 days",IF(F685&lt;=120,"91 to 120 days","Over 120 days"))))</f>
        <v>Over 120 days</v>
      </c>
      <c r="H685" s="0" t="n">
        <f aca="false">VLOOKUP(D685,Rates!$A$4:$B$7,2,FALSE())</f>
        <v>0.115</v>
      </c>
      <c r="I685" s="0" t="n">
        <f aca="false">VLOOKUP(F685,Rates!$D$4:$E$8,2)</f>
        <v>0.85</v>
      </c>
      <c r="J685" s="0" t="n">
        <f aca="false">ROUND(E685*I685,2)</f>
        <v>34668.41</v>
      </c>
      <c r="K685" s="1" t="n">
        <f aca="false">PV(H685/12,F685/30,0,-E685)</f>
        <v>38200.771797697</v>
      </c>
      <c r="L685" s="0" t="n">
        <f aca="false">ROUND(E685-K685,2)</f>
        <v>2585.6</v>
      </c>
      <c r="M685" s="0" t="n">
        <f aca="false">F685/E685</f>
        <v>0.00505070689056172</v>
      </c>
    </row>
    <row r="686" customFormat="false" ht="12.8" hidden="false" customHeight="false" outlineLevel="0" collapsed="false">
      <c r="A686" s="0" t="s">
        <v>1067</v>
      </c>
      <c r="B686" s="0" t="s">
        <v>1068</v>
      </c>
      <c r="C686" s="0" t="s">
        <v>36</v>
      </c>
      <c r="D686" s="0" t="s">
        <v>49</v>
      </c>
      <c r="E686" s="0" t="n">
        <v>23463.72</v>
      </c>
      <c r="F686" s="0" t="n">
        <v>65</v>
      </c>
      <c r="G686" s="0" t="str">
        <f aca="false">IF(F686&lt;=30,"Current",IF(F686&lt;=60,"31 to 60 days",IF(F686&lt;=90,"61 to 90 days",IF(F686&lt;=120,"91 to 120 days","Over 120 days"))))</f>
        <v>61 to 90 days</v>
      </c>
      <c r="H686" s="0" t="n">
        <f aca="false">VLOOKUP(D686,Rates!$A$4:$B$7,2,FALSE())</f>
        <v>0.02</v>
      </c>
      <c r="I686" s="0" t="n">
        <f aca="false">VLOOKUP(F686,Rates!$D$4:$E$8,2)</f>
        <v>0.25</v>
      </c>
      <c r="J686" s="0" t="n">
        <f aca="false">ROUND(E686*I686,2)</f>
        <v>5865.93</v>
      </c>
      <c r="K686" s="1" t="n">
        <f aca="false">PV(H686/12,F686/30,0,-E686)</f>
        <v>23379.2129768543</v>
      </c>
      <c r="L686" s="0" t="n">
        <f aca="false">ROUND(E686-K686,2)</f>
        <v>84.51</v>
      </c>
      <c r="M686" s="0" t="n">
        <f aca="false">F686/E686</f>
        <v>0.00277023421691019</v>
      </c>
    </row>
    <row r="687" customFormat="false" ht="12.8" hidden="false" customHeight="false" outlineLevel="0" collapsed="false">
      <c r="A687" s="0" t="s">
        <v>1069</v>
      </c>
      <c r="B687" s="0" t="s">
        <v>1070</v>
      </c>
      <c r="C687" s="0" t="s">
        <v>31</v>
      </c>
      <c r="D687" s="0" t="s">
        <v>16</v>
      </c>
      <c r="E687" s="0" t="n">
        <v>16635.53</v>
      </c>
      <c r="F687" s="0" t="n">
        <v>75</v>
      </c>
      <c r="G687" s="0" t="str">
        <f aca="false">IF(F687&lt;=30,"Current",IF(F687&lt;=60,"31 to 60 days",IF(F687&lt;=90,"61 to 90 days",IF(F687&lt;=120,"91 to 120 days","Over 120 days"))))</f>
        <v>61 to 90 days</v>
      </c>
      <c r="H687" s="0" t="n">
        <f aca="false">VLOOKUP(D687,Rates!$A$4:$B$7,2,FALSE())</f>
        <v>0.085</v>
      </c>
      <c r="I687" s="0" t="n">
        <f aca="false">VLOOKUP(F687,Rates!$D$4:$E$8,2)</f>
        <v>0.25</v>
      </c>
      <c r="J687" s="0" t="n">
        <f aca="false">ROUND(E687*I687,2)</f>
        <v>4158.88</v>
      </c>
      <c r="K687" s="1" t="n">
        <f aca="false">PV(H687/12,F687/30,0,-E687)</f>
        <v>16344.5557228373</v>
      </c>
      <c r="L687" s="0" t="n">
        <f aca="false">ROUND(E687-K687,2)</f>
        <v>290.97</v>
      </c>
      <c r="M687" s="0" t="n">
        <f aca="false">F687/E687</f>
        <v>0.00450842263516702</v>
      </c>
    </row>
    <row r="688" customFormat="false" ht="12.8" hidden="false" customHeight="false" outlineLevel="0" collapsed="false">
      <c r="A688" s="0" t="s">
        <v>1071</v>
      </c>
      <c r="B688" s="0" t="s">
        <v>97</v>
      </c>
      <c r="C688" s="0" t="s">
        <v>42</v>
      </c>
      <c r="D688" s="0" t="s">
        <v>20</v>
      </c>
      <c r="E688" s="0" t="n">
        <v>1658.96</v>
      </c>
      <c r="F688" s="0" t="n">
        <v>230</v>
      </c>
      <c r="G688" s="0" t="str">
        <f aca="false">IF(F688&lt;=30,"Current",IF(F688&lt;=60,"31 to 60 days",IF(F688&lt;=90,"61 to 90 days",IF(F688&lt;=120,"91 to 120 days","Over 120 days"))))</f>
        <v>Over 120 days</v>
      </c>
      <c r="H688" s="0" t="n">
        <f aca="false">VLOOKUP(D688,Rates!$A$4:$B$7,2,FALSE())</f>
        <v>0.05</v>
      </c>
      <c r="I688" s="0" t="n">
        <f aca="false">VLOOKUP(F688,Rates!$D$4:$E$8,2)</f>
        <v>0.85</v>
      </c>
      <c r="J688" s="0" t="n">
        <f aca="false">ROUND(E688*I688,2)</f>
        <v>1410.12</v>
      </c>
      <c r="K688" s="1" t="n">
        <f aca="false">PV(H688/12,F688/30,0,-E688)</f>
        <v>1606.90958540475</v>
      </c>
      <c r="L688" s="0" t="n">
        <f aca="false">ROUND(E688-K688,2)</f>
        <v>52.05</v>
      </c>
      <c r="M688" s="0" t="n">
        <f aca="false">F688/E688</f>
        <v>0.138641076336982</v>
      </c>
    </row>
    <row r="689" customFormat="false" ht="12.8" hidden="false" customHeight="false" outlineLevel="0" collapsed="false">
      <c r="A689" s="0" t="s">
        <v>1072</v>
      </c>
      <c r="B689" s="0" t="s">
        <v>22</v>
      </c>
      <c r="C689" s="0" t="s">
        <v>15</v>
      </c>
      <c r="D689" s="0" t="s">
        <v>23</v>
      </c>
      <c r="E689" s="0" t="n">
        <v>9328.51</v>
      </c>
      <c r="F689" s="0" t="n">
        <v>69</v>
      </c>
      <c r="G689" s="0" t="str">
        <f aca="false">IF(F689&lt;=30,"Current",IF(F689&lt;=60,"31 to 60 days",IF(F689&lt;=90,"61 to 90 days",IF(F689&lt;=120,"91 to 120 days","Over 120 days"))))</f>
        <v>61 to 90 days</v>
      </c>
      <c r="H689" s="0" t="n">
        <f aca="false">VLOOKUP(D689,Rates!$A$4:$B$7,2,FALSE())</f>
        <v>0.115</v>
      </c>
      <c r="I689" s="0" t="n">
        <f aca="false">VLOOKUP(F689,Rates!$D$4:$E$8,2)</f>
        <v>0.25</v>
      </c>
      <c r="J689" s="0" t="n">
        <f aca="false">ROUND(E689*I689,2)</f>
        <v>2332.13</v>
      </c>
      <c r="K689" s="1" t="n">
        <f aca="false">PV(H689/12,F689/30,0,-E689)</f>
        <v>9126.10129371131</v>
      </c>
      <c r="L689" s="0" t="n">
        <f aca="false">ROUND(E689-K689,2)</f>
        <v>202.41</v>
      </c>
      <c r="M689" s="0" t="n">
        <f aca="false">F689/E689</f>
        <v>0.00739667964122888</v>
      </c>
    </row>
    <row r="690" customFormat="false" ht="12.8" hidden="false" customHeight="false" outlineLevel="0" collapsed="false">
      <c r="A690" s="0" t="s">
        <v>1073</v>
      </c>
      <c r="B690" s="0" t="s">
        <v>1074</v>
      </c>
      <c r="C690" s="0" t="s">
        <v>15</v>
      </c>
      <c r="D690" s="0" t="s">
        <v>16</v>
      </c>
      <c r="E690" s="0" t="n">
        <v>41347.15</v>
      </c>
      <c r="F690" s="0" t="n">
        <v>98</v>
      </c>
      <c r="G690" s="0" t="str">
        <f aca="false">IF(F690&lt;=30,"Current",IF(F690&lt;=60,"31 to 60 days",IF(F690&lt;=90,"61 to 90 days",IF(F690&lt;=120,"91 to 120 days","Over 120 days"))))</f>
        <v>91 to 120 days</v>
      </c>
      <c r="H690" s="0" t="n">
        <f aca="false">VLOOKUP(D690,Rates!$A$4:$B$7,2,FALSE())</f>
        <v>0.085</v>
      </c>
      <c r="I690" s="0" t="n">
        <f aca="false">VLOOKUP(F690,Rates!$D$4:$E$8,2)</f>
        <v>0.5</v>
      </c>
      <c r="J690" s="0" t="n">
        <f aca="false">ROUND(E690*I690,2)</f>
        <v>20673.58</v>
      </c>
      <c r="K690" s="1" t="n">
        <f aca="false">PV(H690/12,F690/30,0,-E690)</f>
        <v>40404.7022965545</v>
      </c>
      <c r="L690" s="0" t="n">
        <f aca="false">ROUND(E690-K690,2)</f>
        <v>942.45</v>
      </c>
      <c r="M690" s="0" t="n">
        <f aca="false">F690/E690</f>
        <v>0.00237017545344721</v>
      </c>
    </row>
    <row r="691" customFormat="false" ht="12.8" hidden="false" customHeight="false" outlineLevel="0" collapsed="false">
      <c r="A691" s="0" t="s">
        <v>1075</v>
      </c>
      <c r="B691" s="0" t="s">
        <v>368</v>
      </c>
      <c r="C691" s="0" t="s">
        <v>42</v>
      </c>
      <c r="D691" s="0" t="s">
        <v>23</v>
      </c>
      <c r="E691" s="0" t="n">
        <v>1210.13</v>
      </c>
      <c r="F691" s="0" t="n">
        <v>18</v>
      </c>
      <c r="G691" s="0" t="str">
        <f aca="false">IF(F691&lt;=30,"Current",IF(F691&lt;=60,"31 to 60 days",IF(F691&lt;=90,"61 to 90 days",IF(F691&lt;=120,"91 to 120 days","Over 120 days"))))</f>
        <v>Current</v>
      </c>
      <c r="H691" s="0" t="n">
        <f aca="false">VLOOKUP(D691,Rates!$A$4:$B$7,2,FALSE())</f>
        <v>0.115</v>
      </c>
      <c r="I691" s="0" t="n">
        <f aca="false">VLOOKUP(F691,Rates!$D$4:$E$8,2)</f>
        <v>0.02</v>
      </c>
      <c r="J691" s="0" t="n">
        <f aca="false">ROUND(E691*I691,2)</f>
        <v>24.2</v>
      </c>
      <c r="K691" s="1" t="n">
        <f aca="false">PV(H691/12,F691/30,0,-E691)</f>
        <v>1203.22465977942</v>
      </c>
      <c r="L691" s="0" t="n">
        <f aca="false">ROUND(E691-K691,2)</f>
        <v>6.91</v>
      </c>
      <c r="M691" s="0" t="n">
        <f aca="false">F691/E691</f>
        <v>0.0148744349780602</v>
      </c>
    </row>
    <row r="692" customFormat="false" ht="12.8" hidden="false" customHeight="false" outlineLevel="0" collapsed="false">
      <c r="A692" s="0" t="s">
        <v>1076</v>
      </c>
      <c r="B692" s="0" t="s">
        <v>550</v>
      </c>
      <c r="C692" s="0" t="s">
        <v>36</v>
      </c>
      <c r="D692" s="0" t="s">
        <v>23</v>
      </c>
      <c r="E692" s="0" t="n">
        <v>14447.92</v>
      </c>
      <c r="F692" s="0" t="n">
        <v>223</v>
      </c>
      <c r="G692" s="0" t="str">
        <f aca="false">IF(F692&lt;=30,"Current",IF(F692&lt;=60,"31 to 60 days",IF(F692&lt;=90,"61 to 90 days",IF(F692&lt;=120,"91 to 120 days","Over 120 days"))))</f>
        <v>Over 120 days</v>
      </c>
      <c r="H692" s="0" t="n">
        <f aca="false">VLOOKUP(D692,Rates!$A$4:$B$7,2,FALSE())</f>
        <v>0.115</v>
      </c>
      <c r="I692" s="0" t="n">
        <f aca="false">VLOOKUP(F692,Rates!$D$4:$E$8,2)</f>
        <v>0.85</v>
      </c>
      <c r="J692" s="0" t="n">
        <f aca="false">ROUND(E692*I692,2)</f>
        <v>12280.73</v>
      </c>
      <c r="K692" s="1" t="n">
        <f aca="false">PV(H692/12,F692/30,0,-E692)</f>
        <v>13459.0739664374</v>
      </c>
      <c r="L692" s="0" t="n">
        <f aca="false">ROUND(E692-K692,2)</f>
        <v>988.85</v>
      </c>
      <c r="M692" s="0" t="n">
        <f aca="false">F692/E692</f>
        <v>0.0154347477007071</v>
      </c>
    </row>
    <row r="693" customFormat="false" ht="12.8" hidden="false" customHeight="false" outlineLevel="0" collapsed="false">
      <c r="A693" s="0" t="s">
        <v>1077</v>
      </c>
      <c r="B693" s="0" t="s">
        <v>375</v>
      </c>
      <c r="C693" s="0" t="s">
        <v>42</v>
      </c>
      <c r="D693" s="0" t="s">
        <v>23</v>
      </c>
      <c r="E693" s="0" t="n">
        <v>9467.11</v>
      </c>
      <c r="F693" s="0" t="n">
        <v>260</v>
      </c>
      <c r="G693" s="0" t="str">
        <f aca="false">IF(F693&lt;=30,"Current",IF(F693&lt;=60,"31 to 60 days",IF(F693&lt;=90,"61 to 90 days",IF(F693&lt;=120,"91 to 120 days","Over 120 days"))))</f>
        <v>Over 120 days</v>
      </c>
      <c r="H693" s="0" t="n">
        <f aca="false">VLOOKUP(D693,Rates!$A$4:$B$7,2,FALSE())</f>
        <v>0.115</v>
      </c>
      <c r="I693" s="0" t="n">
        <f aca="false">VLOOKUP(F693,Rates!$D$4:$E$8,2)</f>
        <v>0.85</v>
      </c>
      <c r="J693" s="0" t="n">
        <f aca="false">ROUND(E693*I693,2)</f>
        <v>8047.04</v>
      </c>
      <c r="K693" s="1" t="n">
        <f aca="false">PV(H693/12,F693/30,0,-E693)</f>
        <v>8716.0275757984</v>
      </c>
      <c r="L693" s="0" t="n">
        <f aca="false">ROUND(E693-K693,2)</f>
        <v>751.08</v>
      </c>
      <c r="M693" s="0" t="n">
        <f aca="false">F693/E693</f>
        <v>0.0274635025894914</v>
      </c>
    </row>
    <row r="694" customFormat="false" ht="12.8" hidden="false" customHeight="false" outlineLevel="0" collapsed="false">
      <c r="A694" s="0" t="s">
        <v>1078</v>
      </c>
      <c r="B694" s="0" t="s">
        <v>97</v>
      </c>
      <c r="C694" s="0" t="s">
        <v>42</v>
      </c>
      <c r="D694" s="0" t="s">
        <v>20</v>
      </c>
      <c r="E694" s="0" t="n">
        <v>6970.7</v>
      </c>
      <c r="F694" s="0" t="n">
        <v>214</v>
      </c>
      <c r="G694" s="0" t="str">
        <f aca="false">IF(F694&lt;=30,"Current",IF(F694&lt;=60,"31 to 60 days",IF(F694&lt;=90,"61 to 90 days",IF(F694&lt;=120,"91 to 120 days","Over 120 days"))))</f>
        <v>Over 120 days</v>
      </c>
      <c r="H694" s="0" t="n">
        <f aca="false">VLOOKUP(D694,Rates!$A$4:$B$7,2,FALSE())</f>
        <v>0.05</v>
      </c>
      <c r="I694" s="0" t="n">
        <f aca="false">VLOOKUP(F694,Rates!$D$4:$E$8,2)</f>
        <v>0.85</v>
      </c>
      <c r="J694" s="0" t="n">
        <f aca="false">ROUND(E694*I694,2)</f>
        <v>5925.1</v>
      </c>
      <c r="K694" s="1" t="n">
        <f aca="false">PV(H694/12,F694/30,0,-E694)</f>
        <v>6766.98186786008</v>
      </c>
      <c r="L694" s="0" t="n">
        <f aca="false">ROUND(E694-K694,2)</f>
        <v>203.72</v>
      </c>
      <c r="M694" s="0" t="n">
        <f aca="false">F694/E694</f>
        <v>0.0306999297057684</v>
      </c>
    </row>
    <row r="695" customFormat="false" ht="12.8" hidden="false" customHeight="false" outlineLevel="0" collapsed="false">
      <c r="A695" s="0" t="s">
        <v>1079</v>
      </c>
      <c r="B695" s="0" t="s">
        <v>28</v>
      </c>
      <c r="C695" s="0" t="s">
        <v>15</v>
      </c>
      <c r="D695" s="0" t="s">
        <v>20</v>
      </c>
      <c r="E695" s="0" t="n">
        <v>24938.43</v>
      </c>
      <c r="F695" s="0" t="n">
        <v>79</v>
      </c>
      <c r="G695" s="0" t="str">
        <f aca="false">IF(F695&lt;=30,"Current",IF(F695&lt;=60,"31 to 60 days",IF(F695&lt;=90,"61 to 90 days",IF(F695&lt;=120,"91 to 120 days","Over 120 days"))))</f>
        <v>61 to 90 days</v>
      </c>
      <c r="H695" s="0" t="n">
        <f aca="false">VLOOKUP(D695,Rates!$A$4:$B$7,2,FALSE())</f>
        <v>0.05</v>
      </c>
      <c r="I695" s="0" t="n">
        <f aca="false">VLOOKUP(F695,Rates!$D$4:$E$8,2)</f>
        <v>0.25</v>
      </c>
      <c r="J695" s="0" t="n">
        <f aca="false">ROUND(E695*I695,2)</f>
        <v>6234.61</v>
      </c>
      <c r="K695" s="1" t="n">
        <f aca="false">PV(H695/12,F695/30,0,-E695)</f>
        <v>24666.8579802725</v>
      </c>
      <c r="L695" s="0" t="n">
        <f aca="false">ROUND(E695-K695,2)</f>
        <v>271.57</v>
      </c>
      <c r="M695" s="0" t="n">
        <f aca="false">F695/E695</f>
        <v>0.00316780166193301</v>
      </c>
    </row>
    <row r="696" customFormat="false" ht="12.8" hidden="false" customHeight="false" outlineLevel="0" collapsed="false">
      <c r="A696" s="0" t="s">
        <v>1080</v>
      </c>
      <c r="B696" s="0" t="s">
        <v>330</v>
      </c>
      <c r="C696" s="0" t="s">
        <v>15</v>
      </c>
      <c r="D696" s="0" t="s">
        <v>23</v>
      </c>
      <c r="E696" s="0" t="n">
        <v>24874.29</v>
      </c>
      <c r="F696" s="0" t="n">
        <v>55</v>
      </c>
      <c r="G696" s="0" t="str">
        <f aca="false">IF(F696&lt;=30,"Current",IF(F696&lt;=60,"31 to 60 days",IF(F696&lt;=90,"61 to 90 days",IF(F696&lt;=120,"91 to 120 days","Over 120 days"))))</f>
        <v>31 to 60 days</v>
      </c>
      <c r="H696" s="0" t="n">
        <f aca="false">VLOOKUP(D696,Rates!$A$4:$B$7,2,FALSE())</f>
        <v>0.115</v>
      </c>
      <c r="I696" s="0" t="n">
        <f aca="false">VLOOKUP(F696,Rates!$D$4:$E$8,2)</f>
        <v>0.1</v>
      </c>
      <c r="J696" s="0" t="n">
        <f aca="false">ROUND(E696*I696,2)</f>
        <v>2487.43</v>
      </c>
      <c r="K696" s="1" t="n">
        <f aca="false">PV(H696/12,F696/30,0,-E696)</f>
        <v>24443.1239755785</v>
      </c>
      <c r="L696" s="0" t="n">
        <f aca="false">ROUND(E696-K696,2)</f>
        <v>431.17</v>
      </c>
      <c r="M696" s="0" t="n">
        <f aca="false">F696/E696</f>
        <v>0.00221111838770071</v>
      </c>
    </row>
    <row r="697" customFormat="false" ht="12.8" hidden="false" customHeight="false" outlineLevel="0" collapsed="false">
      <c r="A697" s="0" t="s">
        <v>1081</v>
      </c>
      <c r="B697" s="0" t="s">
        <v>194</v>
      </c>
      <c r="C697" s="0" t="s">
        <v>15</v>
      </c>
      <c r="D697" s="0" t="s">
        <v>23</v>
      </c>
      <c r="E697" s="0" t="n">
        <v>24510.67</v>
      </c>
      <c r="F697" s="0" t="n">
        <v>251</v>
      </c>
      <c r="G697" s="0" t="str">
        <f aca="false">IF(F697&lt;=30,"Current",IF(F697&lt;=60,"31 to 60 days",IF(F697&lt;=90,"61 to 90 days",IF(F697&lt;=120,"91 to 120 days","Over 120 days"))))</f>
        <v>Over 120 days</v>
      </c>
      <c r="H697" s="0" t="n">
        <f aca="false">VLOOKUP(D697,Rates!$A$4:$B$7,2,FALSE())</f>
        <v>0.115</v>
      </c>
      <c r="I697" s="0" t="n">
        <f aca="false">VLOOKUP(F697,Rates!$D$4:$E$8,2)</f>
        <v>0.85</v>
      </c>
      <c r="J697" s="0" t="n">
        <f aca="false">ROUND(E697*I697,2)</f>
        <v>20834.07</v>
      </c>
      <c r="K697" s="1" t="n">
        <f aca="false">PV(H697/12,F697/30,0,-E697)</f>
        <v>22630.75311967</v>
      </c>
      <c r="L697" s="0" t="n">
        <f aca="false">ROUND(E697-K697,2)</f>
        <v>1879.92</v>
      </c>
      <c r="M697" s="0" t="n">
        <f aca="false">F697/E697</f>
        <v>0.0102404381438778</v>
      </c>
    </row>
    <row r="698" customFormat="false" ht="12.8" hidden="false" customHeight="false" outlineLevel="0" collapsed="false">
      <c r="A698" s="0" t="s">
        <v>1082</v>
      </c>
      <c r="B698" s="0" t="s">
        <v>1083</v>
      </c>
      <c r="C698" s="0" t="s">
        <v>19</v>
      </c>
      <c r="D698" s="0" t="s">
        <v>49</v>
      </c>
      <c r="E698" s="0" t="n">
        <v>37483.85</v>
      </c>
      <c r="F698" s="0" t="n">
        <v>351</v>
      </c>
      <c r="G698" s="0" t="str">
        <f aca="false">IF(F698&lt;=30,"Current",IF(F698&lt;=60,"31 to 60 days",IF(F698&lt;=90,"61 to 90 days",IF(F698&lt;=120,"91 to 120 days","Over 120 days"))))</f>
        <v>Over 120 days</v>
      </c>
      <c r="H698" s="0" t="n">
        <f aca="false">VLOOKUP(D698,Rates!$A$4:$B$7,2,FALSE())</f>
        <v>0.02</v>
      </c>
      <c r="I698" s="0" t="n">
        <f aca="false">VLOOKUP(F698,Rates!$D$4:$E$8,2)</f>
        <v>0.85</v>
      </c>
      <c r="J698" s="0" t="n">
        <f aca="false">ROUND(E698*I698,2)</f>
        <v>31861.27</v>
      </c>
      <c r="K698" s="1" t="n">
        <f aca="false">PV(H698/12,F698/30,0,-E698)</f>
        <v>36760.5921357928</v>
      </c>
      <c r="L698" s="0" t="n">
        <f aca="false">ROUND(E698-K698,2)</f>
        <v>723.26</v>
      </c>
      <c r="M698" s="0" t="n">
        <f aca="false">F698/E698</f>
        <v>0.00936403277678254</v>
      </c>
    </row>
    <row r="699" customFormat="false" ht="12.8" hidden="false" customHeight="false" outlineLevel="0" collapsed="false">
      <c r="A699" s="0" t="s">
        <v>1084</v>
      </c>
      <c r="B699" s="0" t="s">
        <v>53</v>
      </c>
      <c r="C699" s="0" t="s">
        <v>19</v>
      </c>
      <c r="D699" s="0" t="s">
        <v>23</v>
      </c>
      <c r="E699" s="0" t="n">
        <v>22893.64</v>
      </c>
      <c r="F699" s="0" t="n">
        <v>86</v>
      </c>
      <c r="G699" s="0" t="str">
        <f aca="false">IF(F699&lt;=30,"Current",IF(F699&lt;=60,"31 to 60 days",IF(F699&lt;=90,"61 to 90 days",IF(F699&lt;=120,"91 to 120 days","Over 120 days"))))</f>
        <v>61 to 90 days</v>
      </c>
      <c r="H699" s="0" t="n">
        <f aca="false">VLOOKUP(D699,Rates!$A$4:$B$7,2,FALSE())</f>
        <v>0.115</v>
      </c>
      <c r="I699" s="0" t="n">
        <f aca="false">VLOOKUP(F699,Rates!$D$4:$E$8,2)</f>
        <v>0.25</v>
      </c>
      <c r="J699" s="0" t="n">
        <f aca="false">ROUND(E699*I699,2)</f>
        <v>5723.41</v>
      </c>
      <c r="K699" s="1" t="n">
        <f aca="false">PV(H699/12,F699/30,0,-E699)</f>
        <v>22276.1750341457</v>
      </c>
      <c r="L699" s="0" t="n">
        <f aca="false">ROUND(E699-K699,2)</f>
        <v>617.46</v>
      </c>
      <c r="M699" s="0" t="n">
        <f aca="false">F699/E699</f>
        <v>0.00375650180574168</v>
      </c>
    </row>
    <row r="700" customFormat="false" ht="12.8" hidden="false" customHeight="false" outlineLevel="0" collapsed="false">
      <c r="A700" s="0" t="s">
        <v>1085</v>
      </c>
      <c r="B700" s="0" t="s">
        <v>97</v>
      </c>
      <c r="C700" s="0" t="s">
        <v>42</v>
      </c>
      <c r="D700" s="0" t="s">
        <v>20</v>
      </c>
      <c r="E700" s="0" t="n">
        <v>36773.53</v>
      </c>
      <c r="F700" s="0" t="n">
        <v>240</v>
      </c>
      <c r="G700" s="0" t="str">
        <f aca="false">IF(F700&lt;=30,"Current",IF(F700&lt;=60,"31 to 60 days",IF(F700&lt;=90,"61 to 90 days",IF(F700&lt;=120,"91 to 120 days","Over 120 days"))))</f>
        <v>Over 120 days</v>
      </c>
      <c r="H700" s="0" t="n">
        <f aca="false">VLOOKUP(D700,Rates!$A$4:$B$7,2,FALSE())</f>
        <v>0.05</v>
      </c>
      <c r="I700" s="0" t="n">
        <f aca="false">VLOOKUP(F700,Rates!$D$4:$E$8,2)</f>
        <v>0.85</v>
      </c>
      <c r="J700" s="0" t="n">
        <f aca="false">ROUND(E700*I700,2)</f>
        <v>31257.5</v>
      </c>
      <c r="K700" s="1" t="n">
        <f aca="false">PV(H700/12,F700/30,0,-E700)</f>
        <v>35570.4135296654</v>
      </c>
      <c r="L700" s="0" t="n">
        <f aca="false">ROUND(E700-K700,2)</f>
        <v>1203.12</v>
      </c>
      <c r="M700" s="0" t="n">
        <f aca="false">F700/E700</f>
        <v>0.0065264335515247</v>
      </c>
    </row>
    <row r="701" customFormat="false" ht="12.8" hidden="false" customHeight="false" outlineLevel="0" collapsed="false">
      <c r="A701" s="0" t="s">
        <v>1086</v>
      </c>
      <c r="B701" s="0" t="s">
        <v>1087</v>
      </c>
      <c r="C701" s="0" t="s">
        <v>31</v>
      </c>
      <c r="D701" s="0" t="s">
        <v>49</v>
      </c>
      <c r="E701" s="0" t="n">
        <v>2231.39</v>
      </c>
      <c r="F701" s="0" t="n">
        <v>308</v>
      </c>
      <c r="G701" s="0" t="str">
        <f aca="false">IF(F701&lt;=30,"Current",IF(F701&lt;=60,"31 to 60 days",IF(F701&lt;=90,"61 to 90 days",IF(F701&lt;=120,"91 to 120 days","Over 120 days"))))</f>
        <v>Over 120 days</v>
      </c>
      <c r="H701" s="0" t="n">
        <f aca="false">VLOOKUP(D701,Rates!$A$4:$B$7,2,FALSE())</f>
        <v>0.02</v>
      </c>
      <c r="I701" s="0" t="n">
        <f aca="false">VLOOKUP(F701,Rates!$D$4:$E$8,2)</f>
        <v>0.85</v>
      </c>
      <c r="J701" s="0" t="n">
        <f aca="false">ROUND(E701*I701,2)</f>
        <v>1896.68</v>
      </c>
      <c r="K701" s="1" t="n">
        <f aca="false">PV(H701/12,F701/30,0,-E701)</f>
        <v>2193.56449067197</v>
      </c>
      <c r="L701" s="0" t="n">
        <f aca="false">ROUND(E701-K701,2)</f>
        <v>37.83</v>
      </c>
      <c r="M701" s="0" t="n">
        <f aca="false">F701/E701</f>
        <v>0.138030554945572</v>
      </c>
    </row>
    <row r="702" customFormat="false" ht="12.8" hidden="false" customHeight="false" outlineLevel="0" collapsed="false">
      <c r="A702" s="0" t="s">
        <v>1088</v>
      </c>
      <c r="B702" s="0" t="s">
        <v>1089</v>
      </c>
      <c r="C702" s="0" t="s">
        <v>42</v>
      </c>
      <c r="D702" s="0" t="s">
        <v>49</v>
      </c>
      <c r="E702" s="0" t="n">
        <v>1782.24</v>
      </c>
      <c r="F702" s="0" t="n">
        <v>348</v>
      </c>
      <c r="G702" s="0" t="str">
        <f aca="false">IF(F702&lt;=30,"Current",IF(F702&lt;=60,"31 to 60 days",IF(F702&lt;=90,"61 to 90 days",IF(F702&lt;=120,"91 to 120 days","Over 120 days"))))</f>
        <v>Over 120 days</v>
      </c>
      <c r="H702" s="0" t="n">
        <f aca="false">VLOOKUP(D702,Rates!$A$4:$B$7,2,FALSE())</f>
        <v>0.02</v>
      </c>
      <c r="I702" s="0" t="n">
        <f aca="false">VLOOKUP(F702,Rates!$D$4:$E$8,2)</f>
        <v>0.85</v>
      </c>
      <c r="J702" s="0" t="n">
        <f aca="false">ROUND(E702*I702,2)</f>
        <v>1514.9</v>
      </c>
      <c r="K702" s="1" t="n">
        <f aca="false">PV(H702/12,F702/30,0,-E702)</f>
        <v>1748.14243770298</v>
      </c>
      <c r="L702" s="0" t="n">
        <f aca="false">ROUND(E702-K702,2)</f>
        <v>34.1</v>
      </c>
      <c r="M702" s="0" t="n">
        <f aca="false">F702/E702</f>
        <v>0.195259897656881</v>
      </c>
    </row>
    <row r="703" customFormat="false" ht="12.8" hidden="false" customHeight="false" outlineLevel="0" collapsed="false">
      <c r="A703" s="0" t="s">
        <v>1090</v>
      </c>
      <c r="B703" s="0" t="s">
        <v>1091</v>
      </c>
      <c r="C703" s="0" t="s">
        <v>31</v>
      </c>
      <c r="D703" s="0" t="s">
        <v>49</v>
      </c>
      <c r="E703" s="0" t="n">
        <v>32362.31</v>
      </c>
      <c r="F703" s="0" t="n">
        <v>188</v>
      </c>
      <c r="G703" s="0" t="str">
        <f aca="false">IF(F703&lt;=30,"Current",IF(F703&lt;=60,"31 to 60 days",IF(F703&lt;=90,"61 to 90 days",IF(F703&lt;=120,"91 to 120 days","Over 120 days"))))</f>
        <v>Over 120 days</v>
      </c>
      <c r="H703" s="0" t="n">
        <f aca="false">VLOOKUP(D703,Rates!$A$4:$B$7,2,FALSE())</f>
        <v>0.02</v>
      </c>
      <c r="I703" s="0" t="n">
        <f aca="false">VLOOKUP(F703,Rates!$D$4:$E$8,2)</f>
        <v>0.85</v>
      </c>
      <c r="J703" s="0" t="n">
        <f aca="false">ROUND(E703*I703,2)</f>
        <v>27507.96</v>
      </c>
      <c r="K703" s="1" t="n">
        <f aca="false">PV(H703/12,F703/30,0,-E703)</f>
        <v>32026.3411033133</v>
      </c>
      <c r="L703" s="0" t="n">
        <f aca="false">ROUND(E703-K703,2)</f>
        <v>335.97</v>
      </c>
      <c r="M703" s="0" t="n">
        <f aca="false">F703/E703</f>
        <v>0.00580922684443725</v>
      </c>
    </row>
    <row r="704" customFormat="false" ht="12.8" hidden="false" customHeight="false" outlineLevel="0" collapsed="false">
      <c r="A704" s="0" t="s">
        <v>1092</v>
      </c>
      <c r="B704" s="0" t="s">
        <v>30</v>
      </c>
      <c r="C704" s="0" t="s">
        <v>31</v>
      </c>
      <c r="D704" s="0" t="s">
        <v>20</v>
      </c>
      <c r="E704" s="0" t="n">
        <v>36905.57</v>
      </c>
      <c r="F704" s="0" t="n">
        <v>374</v>
      </c>
      <c r="G704" s="0" t="str">
        <f aca="false">IF(F704&lt;=30,"Current",IF(F704&lt;=60,"31 to 60 days",IF(F704&lt;=90,"61 to 90 days",IF(F704&lt;=120,"91 to 120 days","Over 120 days"))))</f>
        <v>Over 120 days</v>
      </c>
      <c r="H704" s="0" t="n">
        <f aca="false">VLOOKUP(D704,Rates!$A$4:$B$7,2,FALSE())</f>
        <v>0.05</v>
      </c>
      <c r="I704" s="0" t="n">
        <f aca="false">VLOOKUP(F704,Rates!$D$4:$E$8,2)</f>
        <v>0.85</v>
      </c>
      <c r="J704" s="0" t="n">
        <f aca="false">ROUND(E704*I704,2)</f>
        <v>31369.73</v>
      </c>
      <c r="K704" s="1" t="n">
        <f aca="false">PV(H704/12,F704/30,0,-E704)</f>
        <v>35041.2507953135</v>
      </c>
      <c r="L704" s="0" t="n">
        <f aca="false">ROUND(E704-K704,2)</f>
        <v>1864.32</v>
      </c>
      <c r="M704" s="0" t="n">
        <f aca="false">F704/E704</f>
        <v>0.0101339716470983</v>
      </c>
    </row>
    <row r="705" customFormat="false" ht="12.8" hidden="false" customHeight="false" outlineLevel="0" collapsed="false">
      <c r="A705" s="0" t="s">
        <v>1093</v>
      </c>
      <c r="B705" s="0" t="s">
        <v>51</v>
      </c>
      <c r="C705" s="0" t="s">
        <v>36</v>
      </c>
      <c r="D705" s="0" t="s">
        <v>20</v>
      </c>
      <c r="E705" s="0" t="n">
        <v>44000.21</v>
      </c>
      <c r="F705" s="0" t="n">
        <v>133</v>
      </c>
      <c r="G705" s="0" t="str">
        <f aca="false">IF(F705&lt;=30,"Current",IF(F705&lt;=60,"31 to 60 days",IF(F705&lt;=90,"61 to 90 days",IF(F705&lt;=120,"91 to 120 days","Over 120 days"))))</f>
        <v>Over 120 days</v>
      </c>
      <c r="H705" s="0" t="n">
        <f aca="false">VLOOKUP(D705,Rates!$A$4:$B$7,2,FALSE())</f>
        <v>0.05</v>
      </c>
      <c r="I705" s="0" t="n">
        <f aca="false">VLOOKUP(F705,Rates!$D$4:$E$8,2)</f>
        <v>0.85</v>
      </c>
      <c r="J705" s="0" t="n">
        <f aca="false">ROUND(E705*I705,2)</f>
        <v>37400.18</v>
      </c>
      <c r="K705" s="1" t="n">
        <f aca="false">PV(H705/12,F705/30,0,-E705)</f>
        <v>43196.5470061272</v>
      </c>
      <c r="L705" s="0" t="n">
        <f aca="false">ROUND(E705-K705,2)</f>
        <v>803.66</v>
      </c>
      <c r="M705" s="0" t="n">
        <f aca="false">F705/E705</f>
        <v>0.00302271284614323</v>
      </c>
    </row>
    <row r="706" customFormat="false" ht="12.8" hidden="false" customHeight="false" outlineLevel="0" collapsed="false">
      <c r="A706" s="0" t="s">
        <v>1094</v>
      </c>
      <c r="B706" s="0" t="s">
        <v>239</v>
      </c>
      <c r="C706" s="0" t="s">
        <v>42</v>
      </c>
      <c r="D706" s="0" t="s">
        <v>23</v>
      </c>
      <c r="E706" s="0" t="n">
        <v>12090.66</v>
      </c>
      <c r="F706" s="0" t="n">
        <v>46</v>
      </c>
      <c r="G706" s="0" t="str">
        <f aca="false">IF(F706&lt;=30,"Current",IF(F706&lt;=60,"31 to 60 days",IF(F706&lt;=90,"61 to 90 days",IF(F706&lt;=120,"91 to 120 days","Over 120 days"))))</f>
        <v>31 to 60 days</v>
      </c>
      <c r="H706" s="0" t="n">
        <f aca="false">VLOOKUP(D706,Rates!$A$4:$B$7,2,FALSE())</f>
        <v>0.115</v>
      </c>
      <c r="I706" s="0" t="n">
        <f aca="false">VLOOKUP(F706,Rates!$D$4:$E$8,2)</f>
        <v>0.1</v>
      </c>
      <c r="J706" s="0" t="n">
        <f aca="false">ROUND(E706*I706,2)</f>
        <v>1209.07</v>
      </c>
      <c r="K706" s="1" t="n">
        <f aca="false">PV(H706/12,F706/30,0,-E706)</f>
        <v>11915.1270497658</v>
      </c>
      <c r="L706" s="0" t="n">
        <f aca="false">ROUND(E706-K706,2)</f>
        <v>175.53</v>
      </c>
      <c r="M706" s="0" t="n">
        <f aca="false">F706/E706</f>
        <v>0.00380458965846364</v>
      </c>
    </row>
    <row r="707" customFormat="false" ht="12.8" hidden="false" customHeight="false" outlineLevel="0" collapsed="false">
      <c r="A707" s="0" t="s">
        <v>1095</v>
      </c>
      <c r="B707" s="0" t="s">
        <v>247</v>
      </c>
      <c r="C707" s="0" t="s">
        <v>26</v>
      </c>
      <c r="D707" s="0" t="s">
        <v>23</v>
      </c>
      <c r="E707" s="0" t="n">
        <v>0</v>
      </c>
      <c r="F707" s="0" t="n">
        <v>311</v>
      </c>
      <c r="G707" s="0" t="str">
        <f aca="false">IF(F707&lt;=30,"Current",IF(F707&lt;=60,"31 to 60 days",IF(F707&lt;=90,"61 to 90 days",IF(F707&lt;=120,"91 to 120 days","Over 120 days"))))</f>
        <v>Over 120 days</v>
      </c>
      <c r="H707" s="0" t="n">
        <f aca="false">VLOOKUP(D707,Rates!$A$4:$B$7,2,FALSE())</f>
        <v>0.115</v>
      </c>
      <c r="I707" s="0" t="n">
        <f aca="false">VLOOKUP(F707,Rates!$D$4:$E$8,2)</f>
        <v>0.85</v>
      </c>
      <c r="J707" s="0" t="n">
        <f aca="false">ROUND(E707*I707,2)</f>
        <v>0</v>
      </c>
      <c r="K707" s="1" t="n">
        <f aca="false">PV(H707/12,F707/30,0,-E707)</f>
        <v>-0</v>
      </c>
      <c r="L707" s="0" t="n">
        <f aca="false">ROUND(E707-K707,2)</f>
        <v>0</v>
      </c>
      <c r="M707" s="0" t="e">
        <f aca="false">F707/E707</f>
        <v>#DIV/0!</v>
      </c>
    </row>
    <row r="708" customFormat="false" ht="12.8" hidden="false" customHeight="false" outlineLevel="0" collapsed="false">
      <c r="A708" s="0" t="s">
        <v>1096</v>
      </c>
      <c r="B708" s="0" t="s">
        <v>194</v>
      </c>
      <c r="C708" s="0" t="s">
        <v>15</v>
      </c>
      <c r="D708" s="0" t="s">
        <v>23</v>
      </c>
      <c r="E708" s="0" t="n">
        <v>44997.14</v>
      </c>
      <c r="F708" s="0" t="n">
        <v>157</v>
      </c>
      <c r="G708" s="0" t="str">
        <f aca="false">IF(F708&lt;=30,"Current",IF(F708&lt;=60,"31 to 60 days",IF(F708&lt;=90,"61 to 90 days",IF(F708&lt;=120,"91 to 120 days","Over 120 days"))))</f>
        <v>Over 120 days</v>
      </c>
      <c r="H708" s="0" t="n">
        <f aca="false">VLOOKUP(D708,Rates!$A$4:$B$7,2,FALSE())</f>
        <v>0.115</v>
      </c>
      <c r="I708" s="0" t="n">
        <f aca="false">VLOOKUP(F708,Rates!$D$4:$E$8,2)</f>
        <v>0.85</v>
      </c>
      <c r="J708" s="0" t="n">
        <f aca="false">ROUND(E708*I708,2)</f>
        <v>38247.57</v>
      </c>
      <c r="K708" s="1" t="n">
        <f aca="false">PV(H708/12,F708/30,0,-E708)</f>
        <v>42806.2853344217</v>
      </c>
      <c r="L708" s="0" t="n">
        <f aca="false">ROUND(E708-K708,2)</f>
        <v>2190.85</v>
      </c>
      <c r="M708" s="0" t="n">
        <f aca="false">F708/E708</f>
        <v>0.00348911064125409</v>
      </c>
    </row>
    <row r="709" customFormat="false" ht="12.8" hidden="false" customHeight="false" outlineLevel="0" collapsed="false">
      <c r="A709" s="0" t="s">
        <v>1097</v>
      </c>
      <c r="B709" s="0" t="s">
        <v>357</v>
      </c>
      <c r="C709" s="0" t="s">
        <v>19</v>
      </c>
      <c r="D709" s="0" t="s">
        <v>23</v>
      </c>
      <c r="E709" s="0" t="n">
        <v>25296.91</v>
      </c>
      <c r="F709" s="0" t="n">
        <v>377</v>
      </c>
      <c r="G709" s="0" t="str">
        <f aca="false">IF(F709&lt;=30,"Current",IF(F709&lt;=60,"31 to 60 days",IF(F709&lt;=90,"61 to 90 days",IF(F709&lt;=120,"91 to 120 days","Over 120 days"))))</f>
        <v>Over 120 days</v>
      </c>
      <c r="H709" s="0" t="n">
        <f aca="false">VLOOKUP(D709,Rates!$A$4:$B$7,2,FALSE())</f>
        <v>0.115</v>
      </c>
      <c r="I709" s="0" t="n">
        <f aca="false">VLOOKUP(F709,Rates!$D$4:$E$8,2)</f>
        <v>0.85</v>
      </c>
      <c r="J709" s="0" t="n">
        <f aca="false">ROUND(E709*I709,2)</f>
        <v>21502.37</v>
      </c>
      <c r="K709" s="1" t="n">
        <f aca="false">PV(H709/12,F709/30,0,-E709)</f>
        <v>22439.5516591389</v>
      </c>
      <c r="L709" s="0" t="n">
        <f aca="false">ROUND(E709-K709,2)</f>
        <v>2857.36</v>
      </c>
      <c r="M709" s="0" t="n">
        <f aca="false">F709/E709</f>
        <v>0.0149030059402512</v>
      </c>
    </row>
    <row r="710" customFormat="false" ht="12.8" hidden="false" customHeight="false" outlineLevel="0" collapsed="false">
      <c r="A710" s="0" t="s">
        <v>1098</v>
      </c>
      <c r="B710" s="0" t="s">
        <v>1099</v>
      </c>
      <c r="C710" s="0" t="s">
        <v>26</v>
      </c>
      <c r="D710" s="0" t="s">
        <v>49</v>
      </c>
      <c r="E710" s="0" t="n">
        <v>7931.91</v>
      </c>
      <c r="F710" s="0" t="n">
        <v>191</v>
      </c>
      <c r="G710" s="0" t="str">
        <f aca="false">IF(F710&lt;=30,"Current",IF(F710&lt;=60,"31 to 60 days",IF(F710&lt;=90,"61 to 90 days",IF(F710&lt;=120,"91 to 120 days","Over 120 days"))))</f>
        <v>Over 120 days</v>
      </c>
      <c r="H710" s="0" t="n">
        <f aca="false">VLOOKUP(D710,Rates!$A$4:$B$7,2,FALSE())</f>
        <v>0.02</v>
      </c>
      <c r="I710" s="0" t="n">
        <f aca="false">VLOOKUP(F710,Rates!$D$4:$E$8,2)</f>
        <v>0.85</v>
      </c>
      <c r="J710" s="0" t="n">
        <f aca="false">ROUND(E710*I710,2)</f>
        <v>6742.12</v>
      </c>
      <c r="K710" s="1" t="n">
        <f aca="false">PV(H710/12,F710/30,0,-E710)</f>
        <v>7848.25791740965</v>
      </c>
      <c r="L710" s="0" t="n">
        <f aca="false">ROUND(E710-K710,2)</f>
        <v>83.65</v>
      </c>
      <c r="M710" s="0" t="n">
        <f aca="false">F710/E710</f>
        <v>0.0240799504785102</v>
      </c>
    </row>
    <row r="711" customFormat="false" ht="12.8" hidden="false" customHeight="false" outlineLevel="0" collapsed="false">
      <c r="A711" s="0" t="s">
        <v>1100</v>
      </c>
      <c r="B711" s="0" t="s">
        <v>1101</v>
      </c>
      <c r="C711" s="0" t="s">
        <v>31</v>
      </c>
      <c r="D711" s="0" t="s">
        <v>16</v>
      </c>
      <c r="E711" s="0" t="n">
        <v>665.86</v>
      </c>
      <c r="F711" s="0" t="n">
        <v>195</v>
      </c>
      <c r="G711" s="0" t="str">
        <f aca="false">IF(F711&lt;=30,"Current",IF(F711&lt;=60,"31 to 60 days",IF(F711&lt;=90,"61 to 90 days",IF(F711&lt;=120,"91 to 120 days","Over 120 days"))))</f>
        <v>Over 120 days</v>
      </c>
      <c r="H711" s="0" t="n">
        <f aca="false">VLOOKUP(D711,Rates!$A$4:$B$7,2,FALSE())</f>
        <v>0.085</v>
      </c>
      <c r="I711" s="0" t="n">
        <f aca="false">VLOOKUP(F711,Rates!$D$4:$E$8,2)</f>
        <v>0.85</v>
      </c>
      <c r="J711" s="0" t="n">
        <f aca="false">ROUND(E711*I711,2)</f>
        <v>565.98</v>
      </c>
      <c r="K711" s="1" t="n">
        <f aca="false">PV(H711/12,F711/30,0,-E711)</f>
        <v>636.000958137517</v>
      </c>
      <c r="L711" s="0" t="n">
        <f aca="false">ROUND(E711-K711,2)</f>
        <v>29.86</v>
      </c>
      <c r="M711" s="0" t="n">
        <f aca="false">F711/E711</f>
        <v>0.292854353768059</v>
      </c>
    </row>
    <row r="712" customFormat="false" ht="12.8" hidden="false" customHeight="false" outlineLevel="0" collapsed="false">
      <c r="A712" s="0" t="s">
        <v>1102</v>
      </c>
      <c r="B712" s="0" t="s">
        <v>97</v>
      </c>
      <c r="C712" s="0" t="s">
        <v>42</v>
      </c>
      <c r="D712" s="0" t="s">
        <v>20</v>
      </c>
      <c r="E712" s="0" t="n">
        <v>10472.77</v>
      </c>
      <c r="F712" s="0" t="n">
        <v>179</v>
      </c>
      <c r="G712" s="0" t="str">
        <f aca="false">IF(F712&lt;=30,"Current",IF(F712&lt;=60,"31 to 60 days",IF(F712&lt;=90,"61 to 90 days",IF(F712&lt;=120,"91 to 120 days","Over 120 days"))))</f>
        <v>Over 120 days</v>
      </c>
      <c r="H712" s="0" t="n">
        <f aca="false">VLOOKUP(D712,Rates!$A$4:$B$7,2,FALSE())</f>
        <v>0.05</v>
      </c>
      <c r="I712" s="0" t="n">
        <f aca="false">VLOOKUP(F712,Rates!$D$4:$E$8,2)</f>
        <v>0.85</v>
      </c>
      <c r="J712" s="0" t="n">
        <f aca="false">ROUND(E712*I712,2)</f>
        <v>8901.85</v>
      </c>
      <c r="K712" s="1" t="n">
        <f aca="false">PV(H712/12,F712/30,0,-E712)</f>
        <v>10216.1427801435</v>
      </c>
      <c r="L712" s="0" t="n">
        <f aca="false">ROUND(E712-K712,2)</f>
        <v>256.63</v>
      </c>
      <c r="M712" s="0" t="n">
        <f aca="false">F712/E712</f>
        <v>0.0170919441561306</v>
      </c>
    </row>
    <row r="713" customFormat="false" ht="12.8" hidden="false" customHeight="false" outlineLevel="0" collapsed="false">
      <c r="A713" s="0" t="s">
        <v>1103</v>
      </c>
      <c r="B713" s="0" t="s">
        <v>18</v>
      </c>
      <c r="C713" s="0" t="s">
        <v>19</v>
      </c>
      <c r="D713" s="0" t="s">
        <v>20</v>
      </c>
      <c r="E713" s="0" t="n">
        <v>32281.67</v>
      </c>
      <c r="F713" s="0" t="n">
        <v>65</v>
      </c>
      <c r="G713" s="0" t="str">
        <f aca="false">IF(F713&lt;=30,"Current",IF(F713&lt;=60,"31 to 60 days",IF(F713&lt;=90,"61 to 90 days",IF(F713&lt;=120,"91 to 120 days","Over 120 days"))))</f>
        <v>61 to 90 days</v>
      </c>
      <c r="H713" s="0" t="n">
        <f aca="false">VLOOKUP(D713,Rates!$A$4:$B$7,2,FALSE())</f>
        <v>0.05</v>
      </c>
      <c r="I713" s="0" t="n">
        <f aca="false">VLOOKUP(F713,Rates!$D$4:$E$8,2)</f>
        <v>0.25</v>
      </c>
      <c r="J713" s="0" t="n">
        <f aca="false">ROUND(E713*I713,2)</f>
        <v>8070.42</v>
      </c>
      <c r="K713" s="1" t="n">
        <f aca="false">PV(H713/12,F713/30,0,-E713)</f>
        <v>31992.1498301027</v>
      </c>
      <c r="L713" s="0" t="n">
        <f aca="false">ROUND(E713-K713,2)</f>
        <v>289.52</v>
      </c>
      <c r="M713" s="0" t="n">
        <f aca="false">F713/E713</f>
        <v>0.00201352656166797</v>
      </c>
    </row>
    <row r="714" customFormat="false" ht="12.8" hidden="false" customHeight="false" outlineLevel="0" collapsed="false">
      <c r="A714" s="0" t="s">
        <v>1104</v>
      </c>
      <c r="B714" s="0" t="s">
        <v>251</v>
      </c>
      <c r="C714" s="0" t="s">
        <v>19</v>
      </c>
      <c r="D714" s="0" t="s">
        <v>49</v>
      </c>
      <c r="E714" s="0" t="n">
        <v>17082.76</v>
      </c>
      <c r="F714" s="0" t="n">
        <v>308</v>
      </c>
      <c r="G714" s="0" t="str">
        <f aca="false">IF(F714&lt;=30,"Current",IF(F714&lt;=60,"31 to 60 days",IF(F714&lt;=90,"61 to 90 days",IF(F714&lt;=120,"91 to 120 days","Over 120 days"))))</f>
        <v>Over 120 days</v>
      </c>
      <c r="H714" s="0" t="n">
        <f aca="false">VLOOKUP(D714,Rates!$A$4:$B$7,2,FALSE())</f>
        <v>0.02</v>
      </c>
      <c r="I714" s="0" t="n">
        <f aca="false">VLOOKUP(F714,Rates!$D$4:$E$8,2)</f>
        <v>0.85</v>
      </c>
      <c r="J714" s="0" t="n">
        <f aca="false">ROUND(E714*I714,2)</f>
        <v>14520.35</v>
      </c>
      <c r="K714" s="1" t="n">
        <f aca="false">PV(H714/12,F714/30,0,-E714)</f>
        <v>16793.1808149501</v>
      </c>
      <c r="L714" s="0" t="n">
        <f aca="false">ROUND(E714-K714,2)</f>
        <v>289.58</v>
      </c>
      <c r="M714" s="0" t="n">
        <f aca="false">F714/E714</f>
        <v>0.0180298733928241</v>
      </c>
    </row>
    <row r="715" customFormat="false" ht="12.8" hidden="false" customHeight="false" outlineLevel="0" collapsed="false">
      <c r="A715" s="0" t="s">
        <v>1105</v>
      </c>
      <c r="B715" s="0" t="s">
        <v>1106</v>
      </c>
      <c r="C715" s="0" t="s">
        <v>15</v>
      </c>
      <c r="D715" s="0" t="s">
        <v>49</v>
      </c>
      <c r="E715" s="0" t="n">
        <v>6103.47</v>
      </c>
      <c r="F715" s="0" t="n">
        <v>101</v>
      </c>
      <c r="G715" s="0" t="str">
        <f aca="false">IF(F715&lt;=30,"Current",IF(F715&lt;=60,"31 to 60 days",IF(F715&lt;=90,"61 to 90 days",IF(F715&lt;=120,"91 to 120 days","Over 120 days"))))</f>
        <v>91 to 120 days</v>
      </c>
      <c r="H715" s="0" t="n">
        <f aca="false">VLOOKUP(D715,Rates!$A$4:$B$7,2,FALSE())</f>
        <v>0.02</v>
      </c>
      <c r="I715" s="0" t="n">
        <f aca="false">VLOOKUP(F715,Rates!$D$4:$E$8,2)</f>
        <v>0.5</v>
      </c>
      <c r="J715" s="0" t="n">
        <f aca="false">ROUND(E715*I715,2)</f>
        <v>3051.74</v>
      </c>
      <c r="K715" s="1" t="n">
        <f aca="false">PV(H715/12,F715/30,0,-E715)</f>
        <v>6069.34700302337</v>
      </c>
      <c r="L715" s="0" t="n">
        <f aca="false">ROUND(E715-K715,2)</f>
        <v>34.12</v>
      </c>
      <c r="M715" s="0" t="n">
        <f aca="false">F715/E715</f>
        <v>0.0165479636993382</v>
      </c>
    </row>
    <row r="716" customFormat="false" ht="12.8" hidden="false" customHeight="false" outlineLevel="0" collapsed="false">
      <c r="A716" s="0" t="s">
        <v>1107</v>
      </c>
      <c r="B716" s="0" t="s">
        <v>1108</v>
      </c>
      <c r="C716" s="0" t="s">
        <v>36</v>
      </c>
      <c r="D716" s="0" t="s">
        <v>16</v>
      </c>
      <c r="E716" s="0" t="n">
        <v>16175.52</v>
      </c>
      <c r="F716" s="0" t="n">
        <v>208</v>
      </c>
      <c r="G716" s="0" t="str">
        <f aca="false">IF(F716&lt;=30,"Current",IF(F716&lt;=60,"31 to 60 days",IF(F716&lt;=90,"61 to 90 days",IF(F716&lt;=120,"91 to 120 days","Over 120 days"))))</f>
        <v>Over 120 days</v>
      </c>
      <c r="H716" s="0" t="n">
        <f aca="false">VLOOKUP(D716,Rates!$A$4:$B$7,2,FALSE())</f>
        <v>0.085</v>
      </c>
      <c r="I716" s="0" t="n">
        <f aca="false">VLOOKUP(F716,Rates!$D$4:$E$8,2)</f>
        <v>0.85</v>
      </c>
      <c r="J716" s="0" t="n">
        <f aca="false">ROUND(E716*I716,2)</f>
        <v>13749.19</v>
      </c>
      <c r="K716" s="1" t="n">
        <f aca="false">PV(H716/12,F716/30,0,-E716)</f>
        <v>15402.9799708359</v>
      </c>
      <c r="L716" s="0" t="n">
        <f aca="false">ROUND(E716-K716,2)</f>
        <v>772.54</v>
      </c>
      <c r="M716" s="0" t="n">
        <f aca="false">F716/E716</f>
        <v>0.0128589374561065</v>
      </c>
    </row>
    <row r="717" customFormat="false" ht="12.8" hidden="false" customHeight="false" outlineLevel="0" collapsed="false">
      <c r="A717" s="0" t="s">
        <v>1109</v>
      </c>
      <c r="B717" s="0" t="s">
        <v>28</v>
      </c>
      <c r="C717" s="0" t="s">
        <v>15</v>
      </c>
      <c r="D717" s="0" t="s">
        <v>20</v>
      </c>
      <c r="E717" s="0" t="n">
        <v>16443.11</v>
      </c>
      <c r="F717" s="0" t="n">
        <v>54</v>
      </c>
      <c r="G717" s="0" t="str">
        <f aca="false">IF(F717&lt;=30,"Current",IF(F717&lt;=60,"31 to 60 days",IF(F717&lt;=90,"61 to 90 days",IF(F717&lt;=120,"91 to 120 days","Over 120 days"))))</f>
        <v>31 to 60 days</v>
      </c>
      <c r="H717" s="0" t="n">
        <f aca="false">VLOOKUP(D717,Rates!$A$4:$B$7,2,FALSE())</f>
        <v>0.05</v>
      </c>
      <c r="I717" s="0" t="n">
        <f aca="false">VLOOKUP(F717,Rates!$D$4:$E$8,2)</f>
        <v>0.1</v>
      </c>
      <c r="J717" s="0" t="n">
        <f aca="false">ROUND(E717*I717,2)</f>
        <v>1644.31</v>
      </c>
      <c r="K717" s="1" t="n">
        <f aca="false">PV(H717/12,F717/30,0,-E717)</f>
        <v>16320.5022831952</v>
      </c>
      <c r="L717" s="0" t="n">
        <f aca="false">ROUND(E717-K717,2)</f>
        <v>122.61</v>
      </c>
      <c r="M717" s="0" t="n">
        <f aca="false">F717/E717</f>
        <v>0.0032840502800261</v>
      </c>
    </row>
    <row r="718" customFormat="false" ht="12.8" hidden="false" customHeight="false" outlineLevel="0" collapsed="false">
      <c r="A718" s="0" t="s">
        <v>1110</v>
      </c>
      <c r="B718" s="0" t="s">
        <v>1007</v>
      </c>
      <c r="C718" s="0" t="s">
        <v>19</v>
      </c>
      <c r="D718" s="0" t="s">
        <v>23</v>
      </c>
      <c r="E718" s="0" t="n">
        <v>17239.18</v>
      </c>
      <c r="F718" s="0" t="n">
        <v>181</v>
      </c>
      <c r="G718" s="0" t="str">
        <f aca="false">IF(F718&lt;=30,"Current",IF(F718&lt;=60,"31 to 60 days",IF(F718&lt;=90,"61 to 90 days",IF(F718&lt;=120,"91 to 120 days","Over 120 days"))))</f>
        <v>Over 120 days</v>
      </c>
      <c r="H718" s="0" t="n">
        <f aca="false">VLOOKUP(D718,Rates!$A$4:$B$7,2,FALSE())</f>
        <v>0.115</v>
      </c>
      <c r="I718" s="0" t="n">
        <f aca="false">VLOOKUP(F718,Rates!$D$4:$E$8,2)</f>
        <v>0.85</v>
      </c>
      <c r="J718" s="0" t="n">
        <f aca="false">ROUND(E718*I718,2)</f>
        <v>14653.3</v>
      </c>
      <c r="K718" s="1" t="n">
        <f aca="false">PV(H718/12,F718/30,0,-E718)</f>
        <v>16275.1686398034</v>
      </c>
      <c r="L718" s="0" t="n">
        <f aca="false">ROUND(E718-K718,2)</f>
        <v>964.01</v>
      </c>
      <c r="M718" s="0" t="n">
        <f aca="false">F718/E718</f>
        <v>0.0104993392957206</v>
      </c>
    </row>
    <row r="719" customFormat="false" ht="12.8" hidden="false" customHeight="false" outlineLevel="0" collapsed="false">
      <c r="A719" s="0" t="s">
        <v>1111</v>
      </c>
      <c r="B719" s="0" t="s">
        <v>255</v>
      </c>
      <c r="C719" s="0" t="s">
        <v>19</v>
      </c>
      <c r="D719" s="0" t="s">
        <v>16</v>
      </c>
      <c r="E719" s="0" t="n">
        <v>14740.84</v>
      </c>
      <c r="F719" s="0" t="n">
        <v>265</v>
      </c>
      <c r="G719" s="0" t="str">
        <f aca="false">IF(F719&lt;=30,"Current",IF(F719&lt;=60,"31 to 60 days",IF(F719&lt;=90,"61 to 90 days",IF(F719&lt;=120,"91 to 120 days","Over 120 days"))))</f>
        <v>Over 120 days</v>
      </c>
      <c r="H719" s="0" t="n">
        <f aca="false">VLOOKUP(D719,Rates!$A$4:$B$7,2,FALSE())</f>
        <v>0.085</v>
      </c>
      <c r="I719" s="0" t="n">
        <f aca="false">VLOOKUP(F719,Rates!$D$4:$E$8,2)</f>
        <v>0.85</v>
      </c>
      <c r="J719" s="0" t="n">
        <f aca="false">ROUND(E719*I719,2)</f>
        <v>12529.71</v>
      </c>
      <c r="K719" s="1" t="n">
        <f aca="false">PV(H719/12,F719/30,0,-E719)</f>
        <v>13849.8304084345</v>
      </c>
      <c r="L719" s="0" t="n">
        <f aca="false">ROUND(E719-K719,2)</f>
        <v>891.01</v>
      </c>
      <c r="M719" s="0" t="n">
        <f aca="false">F719/E719</f>
        <v>0.0179772658817272</v>
      </c>
    </row>
    <row r="720" customFormat="false" ht="12.8" hidden="false" customHeight="false" outlineLevel="0" collapsed="false">
      <c r="A720" s="0" t="s">
        <v>1112</v>
      </c>
      <c r="B720" s="0" t="s">
        <v>1113</v>
      </c>
      <c r="C720" s="0" t="s">
        <v>31</v>
      </c>
      <c r="D720" s="0" t="s">
        <v>49</v>
      </c>
      <c r="E720" s="0" t="n">
        <v>32065.77</v>
      </c>
      <c r="F720" s="0" t="n">
        <v>216</v>
      </c>
      <c r="G720" s="0" t="str">
        <f aca="false">IF(F720&lt;=30,"Current",IF(F720&lt;=60,"31 to 60 days",IF(F720&lt;=90,"61 to 90 days",IF(F720&lt;=120,"91 to 120 days","Over 120 days"))))</f>
        <v>Over 120 days</v>
      </c>
      <c r="H720" s="0" t="n">
        <f aca="false">VLOOKUP(D720,Rates!$A$4:$B$7,2,FALSE())</f>
        <v>0.02</v>
      </c>
      <c r="I720" s="0" t="n">
        <f aca="false">VLOOKUP(F720,Rates!$D$4:$E$8,2)</f>
        <v>0.85</v>
      </c>
      <c r="J720" s="0" t="n">
        <f aca="false">ROUND(E720*I720,2)</f>
        <v>27255.9</v>
      </c>
      <c r="K720" s="1" t="n">
        <f aca="false">PV(H720/12,F720/30,0,-E720)</f>
        <v>31683.5967709232</v>
      </c>
      <c r="L720" s="0" t="n">
        <f aca="false">ROUND(E720-K720,2)</f>
        <v>382.17</v>
      </c>
      <c r="M720" s="0" t="n">
        <f aca="false">F720/E720</f>
        <v>0.00673615509622878</v>
      </c>
    </row>
    <row r="721" customFormat="false" ht="12.8" hidden="false" customHeight="false" outlineLevel="0" collapsed="false">
      <c r="A721" s="0" t="s">
        <v>1114</v>
      </c>
      <c r="B721" s="0" t="s">
        <v>1115</v>
      </c>
      <c r="C721" s="0" t="s">
        <v>26</v>
      </c>
      <c r="D721" s="0" t="s">
        <v>49</v>
      </c>
      <c r="E721" s="0" t="n">
        <v>1745.49</v>
      </c>
      <c r="F721" s="0" t="n">
        <v>319</v>
      </c>
      <c r="G721" s="0" t="str">
        <f aca="false">IF(F721&lt;=30,"Current",IF(F721&lt;=60,"31 to 60 days",IF(F721&lt;=90,"61 to 90 days",IF(F721&lt;=120,"91 to 120 days","Over 120 days"))))</f>
        <v>Over 120 days</v>
      </c>
      <c r="H721" s="0" t="n">
        <f aca="false">VLOOKUP(D721,Rates!$A$4:$B$7,2,FALSE())</f>
        <v>0.02</v>
      </c>
      <c r="I721" s="0" t="n">
        <f aca="false">VLOOKUP(F721,Rates!$D$4:$E$8,2)</f>
        <v>0.85</v>
      </c>
      <c r="J721" s="0" t="n">
        <f aca="false">ROUND(E721*I721,2)</f>
        <v>1483.67</v>
      </c>
      <c r="K721" s="1" t="n">
        <f aca="false">PV(H721/12,F721/30,0,-E721)</f>
        <v>1714.85383303785</v>
      </c>
      <c r="L721" s="0" t="n">
        <f aca="false">ROUND(E721-K721,2)</f>
        <v>30.64</v>
      </c>
      <c r="M721" s="0" t="n">
        <f aca="false">F721/E721</f>
        <v>0.182756704421108</v>
      </c>
    </row>
    <row r="722" customFormat="false" ht="12.8" hidden="false" customHeight="false" outlineLevel="0" collapsed="false">
      <c r="A722" s="0" t="s">
        <v>1116</v>
      </c>
      <c r="B722" s="0" t="s">
        <v>111</v>
      </c>
      <c r="C722" s="0" t="s">
        <v>19</v>
      </c>
      <c r="D722" s="0" t="s">
        <v>23</v>
      </c>
      <c r="E722" s="0" t="n">
        <v>24987.6</v>
      </c>
      <c r="F722" s="0" t="n">
        <v>170</v>
      </c>
      <c r="G722" s="0" t="str">
        <f aca="false">IF(F722&lt;=30,"Current",IF(F722&lt;=60,"31 to 60 days",IF(F722&lt;=90,"61 to 90 days",IF(F722&lt;=120,"91 to 120 days","Over 120 days"))))</f>
        <v>Over 120 days</v>
      </c>
      <c r="H722" s="0" t="n">
        <f aca="false">VLOOKUP(D722,Rates!$A$4:$B$7,2,FALSE())</f>
        <v>0.115</v>
      </c>
      <c r="I722" s="0" t="n">
        <f aca="false">VLOOKUP(F722,Rates!$D$4:$E$8,2)</f>
        <v>0.85</v>
      </c>
      <c r="J722" s="0" t="n">
        <f aca="false">ROUND(E722*I722,2)</f>
        <v>21239.46</v>
      </c>
      <c r="K722" s="1" t="n">
        <f aca="false">PV(H722/12,F722/30,0,-E722)</f>
        <v>23672.9420380656</v>
      </c>
      <c r="L722" s="0" t="n">
        <f aca="false">ROUND(E722-K722,2)</f>
        <v>1314.66</v>
      </c>
      <c r="M722" s="0" t="n">
        <f aca="false">F722/E722</f>
        <v>0.00680337447373898</v>
      </c>
    </row>
    <row r="723" customFormat="false" ht="12.8" hidden="false" customHeight="false" outlineLevel="0" collapsed="false">
      <c r="A723" s="0" t="s">
        <v>1117</v>
      </c>
      <c r="B723" s="0" t="s">
        <v>1118</v>
      </c>
      <c r="C723" s="0" t="s">
        <v>15</v>
      </c>
      <c r="D723" s="0" t="s">
        <v>16</v>
      </c>
      <c r="E723" s="0" t="n">
        <v>40501.35</v>
      </c>
      <c r="F723" s="0" t="n">
        <v>118</v>
      </c>
      <c r="G723" s="0" t="str">
        <f aca="false">IF(F723&lt;=30,"Current",IF(F723&lt;=60,"31 to 60 days",IF(F723&lt;=90,"61 to 90 days",IF(F723&lt;=120,"91 to 120 days","Over 120 days"))))</f>
        <v>91 to 120 days</v>
      </c>
      <c r="H723" s="0" t="n">
        <f aca="false">VLOOKUP(D723,Rates!$A$4:$B$7,2,FALSE())</f>
        <v>0.085</v>
      </c>
      <c r="I723" s="0" t="n">
        <f aca="false">VLOOKUP(F723,Rates!$D$4:$E$8,2)</f>
        <v>0.5</v>
      </c>
      <c r="J723" s="0" t="n">
        <f aca="false">ROUND(E723*I723,2)</f>
        <v>20250.68</v>
      </c>
      <c r="K723" s="1" t="n">
        <f aca="false">PV(H723/12,F723/30,0,-E723)</f>
        <v>39392.3804120728</v>
      </c>
      <c r="L723" s="0" t="n">
        <f aca="false">ROUND(E723-K723,2)</f>
        <v>1108.97</v>
      </c>
      <c r="M723" s="0" t="n">
        <f aca="false">F723/E723</f>
        <v>0.00291348313080922</v>
      </c>
    </row>
    <row r="724" customFormat="false" ht="12.8" hidden="false" customHeight="false" outlineLevel="0" collapsed="false">
      <c r="A724" s="0" t="s">
        <v>1119</v>
      </c>
      <c r="B724" s="0" t="s">
        <v>1120</v>
      </c>
      <c r="C724" s="0" t="s">
        <v>42</v>
      </c>
      <c r="D724" s="0" t="s">
        <v>16</v>
      </c>
      <c r="E724" s="0" t="n">
        <v>31241.9</v>
      </c>
      <c r="F724" s="0" t="n">
        <v>143</v>
      </c>
      <c r="G724" s="0" t="str">
        <f aca="false">IF(F724&lt;=30,"Current",IF(F724&lt;=60,"31 to 60 days",IF(F724&lt;=90,"61 to 90 days",IF(F724&lt;=120,"91 to 120 days","Over 120 days"))))</f>
        <v>Over 120 days</v>
      </c>
      <c r="H724" s="0" t="n">
        <f aca="false">VLOOKUP(D724,Rates!$A$4:$B$7,2,FALSE())</f>
        <v>0.085</v>
      </c>
      <c r="I724" s="0" t="n">
        <f aca="false">VLOOKUP(F724,Rates!$D$4:$E$8,2)</f>
        <v>0.85</v>
      </c>
      <c r="J724" s="0" t="n">
        <f aca="false">ROUND(E724*I724,2)</f>
        <v>26555.62</v>
      </c>
      <c r="K724" s="1" t="n">
        <f aca="false">PV(H724/12,F724/30,0,-E724)</f>
        <v>30208.2562395315</v>
      </c>
      <c r="L724" s="0" t="n">
        <f aca="false">ROUND(E724-K724,2)</f>
        <v>1033.64</v>
      </c>
      <c r="M724" s="0" t="n">
        <f aca="false">F724/E724</f>
        <v>0.00457718640671662</v>
      </c>
    </row>
    <row r="725" customFormat="false" ht="12.8" hidden="false" customHeight="false" outlineLevel="0" collapsed="false">
      <c r="A725" s="0" t="s">
        <v>1121</v>
      </c>
      <c r="B725" s="0" t="s">
        <v>1122</v>
      </c>
      <c r="C725" s="0" t="s">
        <v>42</v>
      </c>
      <c r="D725" s="0" t="s">
        <v>16</v>
      </c>
      <c r="E725" s="0" t="n">
        <v>10276.61</v>
      </c>
      <c r="F725" s="0" t="n">
        <v>369</v>
      </c>
      <c r="G725" s="0" t="str">
        <f aca="false">IF(F725&lt;=30,"Current",IF(F725&lt;=60,"31 to 60 days",IF(F725&lt;=90,"61 to 90 days",IF(F725&lt;=120,"91 to 120 days","Over 120 days"))))</f>
        <v>Over 120 days</v>
      </c>
      <c r="H725" s="0" t="n">
        <f aca="false">VLOOKUP(D725,Rates!$A$4:$B$7,2,FALSE())</f>
        <v>0.085</v>
      </c>
      <c r="I725" s="0" t="n">
        <f aca="false">VLOOKUP(F725,Rates!$D$4:$E$8,2)</f>
        <v>0.85</v>
      </c>
      <c r="J725" s="0" t="n">
        <f aca="false">ROUND(E725*I725,2)</f>
        <v>8735.12</v>
      </c>
      <c r="K725" s="1" t="n">
        <f aca="false">PV(H725/12,F725/30,0,-E725)</f>
        <v>9422.04877883481</v>
      </c>
      <c r="L725" s="0" t="n">
        <f aca="false">ROUND(E725-K725,2)</f>
        <v>854.56</v>
      </c>
      <c r="M725" s="0" t="n">
        <f aca="false">F725/E725</f>
        <v>0.0359067824895564</v>
      </c>
    </row>
    <row r="726" customFormat="false" ht="12.8" hidden="false" customHeight="false" outlineLevel="0" collapsed="false">
      <c r="A726" s="0" t="s">
        <v>1123</v>
      </c>
      <c r="B726" s="0" t="s">
        <v>1021</v>
      </c>
      <c r="C726" s="0" t="s">
        <v>42</v>
      </c>
      <c r="D726" s="0" t="s">
        <v>49</v>
      </c>
      <c r="E726" s="0" t="n">
        <v>24153.72</v>
      </c>
      <c r="F726" s="0" t="n">
        <v>69</v>
      </c>
      <c r="G726" s="0" t="str">
        <f aca="false">IF(F726&lt;=30,"Current",IF(F726&lt;=60,"31 to 60 days",IF(F726&lt;=90,"61 to 90 days",IF(F726&lt;=120,"91 to 120 days","Over 120 days"))))</f>
        <v>61 to 90 days</v>
      </c>
      <c r="H726" s="0" t="n">
        <f aca="false">VLOOKUP(D726,Rates!$A$4:$B$7,2,FALSE())</f>
        <v>0.02</v>
      </c>
      <c r="I726" s="0" t="n">
        <f aca="false">VLOOKUP(F726,Rates!$D$4:$E$8,2)</f>
        <v>0.25</v>
      </c>
      <c r="J726" s="0" t="n">
        <f aca="false">ROUND(E726*I726,2)</f>
        <v>6038.43</v>
      </c>
      <c r="K726" s="1" t="n">
        <f aca="false">PV(H726/12,F726/30,0,-E726)</f>
        <v>24061.3847535454</v>
      </c>
      <c r="L726" s="0" t="n">
        <f aca="false">ROUND(E726-K726,2)</f>
        <v>92.34</v>
      </c>
      <c r="M726" s="0" t="n">
        <f aca="false">F726/E726</f>
        <v>0.00285670281844784</v>
      </c>
    </row>
    <row r="727" customFormat="false" ht="12.8" hidden="false" customHeight="false" outlineLevel="0" collapsed="false">
      <c r="A727" s="0" t="s">
        <v>1124</v>
      </c>
      <c r="B727" s="0" t="s">
        <v>120</v>
      </c>
      <c r="C727" s="0" t="s">
        <v>31</v>
      </c>
      <c r="D727" s="0" t="s">
        <v>23</v>
      </c>
      <c r="E727" s="0" t="n">
        <v>44379.37</v>
      </c>
      <c r="F727" s="0" t="n">
        <v>352</v>
      </c>
      <c r="G727" s="0" t="str">
        <f aca="false">IF(F727&lt;=30,"Current",IF(F727&lt;=60,"31 to 60 days",IF(F727&lt;=90,"61 to 90 days",IF(F727&lt;=120,"91 to 120 days","Over 120 days"))))</f>
        <v>Over 120 days</v>
      </c>
      <c r="H727" s="0" t="n">
        <f aca="false">VLOOKUP(D727,Rates!$A$4:$B$7,2,FALSE())</f>
        <v>0.115</v>
      </c>
      <c r="I727" s="0" t="n">
        <f aca="false">VLOOKUP(F727,Rates!$D$4:$E$8,2)</f>
        <v>0.85</v>
      </c>
      <c r="J727" s="0" t="n">
        <f aca="false">ROUND(E727*I727,2)</f>
        <v>37722.46</v>
      </c>
      <c r="K727" s="1" t="n">
        <f aca="false">PV(H727/12,F727/30,0,-E727)</f>
        <v>39680.7290671389</v>
      </c>
      <c r="L727" s="0" t="n">
        <f aca="false">ROUND(E727-K727,2)</f>
        <v>4698.64</v>
      </c>
      <c r="M727" s="0" t="n">
        <f aca="false">F727/E727</f>
        <v>0.0079316132698594</v>
      </c>
    </row>
    <row r="728" customFormat="false" ht="12.8" hidden="false" customHeight="false" outlineLevel="0" collapsed="false">
      <c r="A728" s="0" t="s">
        <v>1125</v>
      </c>
      <c r="B728" s="0" t="s">
        <v>33</v>
      </c>
      <c r="C728" s="0" t="s">
        <v>26</v>
      </c>
      <c r="D728" s="0" t="s">
        <v>20</v>
      </c>
      <c r="E728" s="0" t="n">
        <v>26133.55</v>
      </c>
      <c r="F728" s="0" t="n">
        <v>32</v>
      </c>
      <c r="G728" s="0" t="str">
        <f aca="false">IF(F728&lt;=30,"Current",IF(F728&lt;=60,"31 to 60 days",IF(F728&lt;=90,"61 to 90 days",IF(F728&lt;=120,"91 to 120 days","Over 120 days"))))</f>
        <v>31 to 60 days</v>
      </c>
      <c r="H728" s="0" t="n">
        <f aca="false">VLOOKUP(D728,Rates!$A$4:$B$7,2,FALSE())</f>
        <v>0.05</v>
      </c>
      <c r="I728" s="0" t="n">
        <f aca="false">VLOOKUP(F728,Rates!$D$4:$E$8,2)</f>
        <v>0.1</v>
      </c>
      <c r="J728" s="0" t="n">
        <f aca="false">ROUND(E728*I728,2)</f>
        <v>2613.36</v>
      </c>
      <c r="K728" s="1" t="n">
        <f aca="false">PV(H728/12,F728/30,0,-E728)</f>
        <v>26017.8988543266</v>
      </c>
      <c r="L728" s="0" t="n">
        <f aca="false">ROUND(E728-K728,2)</f>
        <v>115.65</v>
      </c>
      <c r="M728" s="0" t="n">
        <f aca="false">F728/E728</f>
        <v>0.00122447964398254</v>
      </c>
    </row>
    <row r="729" customFormat="false" ht="12.8" hidden="false" customHeight="false" outlineLevel="0" collapsed="false">
      <c r="A729" s="0" t="s">
        <v>1126</v>
      </c>
      <c r="B729" s="0" t="s">
        <v>490</v>
      </c>
      <c r="C729" s="0" t="s">
        <v>42</v>
      </c>
      <c r="D729" s="0" t="s">
        <v>23</v>
      </c>
      <c r="E729" s="0" t="n">
        <v>1567.04</v>
      </c>
      <c r="F729" s="0" t="n">
        <v>359</v>
      </c>
      <c r="G729" s="0" t="str">
        <f aca="false">IF(F729&lt;=30,"Current",IF(F729&lt;=60,"31 to 60 days",IF(F729&lt;=90,"61 to 90 days",IF(F729&lt;=120,"91 to 120 days","Over 120 days"))))</f>
        <v>Over 120 days</v>
      </c>
      <c r="H729" s="0" t="n">
        <f aca="false">VLOOKUP(D729,Rates!$A$4:$B$7,2,FALSE())</f>
        <v>0.115</v>
      </c>
      <c r="I729" s="0" t="n">
        <f aca="false">VLOOKUP(F729,Rates!$D$4:$E$8,2)</f>
        <v>0.85</v>
      </c>
      <c r="J729" s="0" t="n">
        <f aca="false">ROUND(E729*I729,2)</f>
        <v>1331.98</v>
      </c>
      <c r="K729" s="1" t="n">
        <f aca="false">PV(H729/12,F729/30,0,-E729)</f>
        <v>1398.01581907045</v>
      </c>
      <c r="L729" s="0" t="n">
        <f aca="false">ROUND(E729-K729,2)</f>
        <v>169.02</v>
      </c>
      <c r="M729" s="0" t="n">
        <f aca="false">F729/E729</f>
        <v>0.229094343475597</v>
      </c>
    </row>
    <row r="730" customFormat="false" ht="12.8" hidden="false" customHeight="false" outlineLevel="0" collapsed="false">
      <c r="A730" s="0" t="s">
        <v>1127</v>
      </c>
      <c r="B730" s="0" t="s">
        <v>150</v>
      </c>
      <c r="C730" s="0" t="s">
        <v>31</v>
      </c>
      <c r="D730" s="0" t="s">
        <v>23</v>
      </c>
      <c r="E730" s="0" t="n">
        <v>35125.2</v>
      </c>
      <c r="F730" s="0" t="n">
        <v>184</v>
      </c>
      <c r="G730" s="0" t="str">
        <f aca="false">IF(F730&lt;=30,"Current",IF(F730&lt;=60,"31 to 60 days",IF(F730&lt;=90,"61 to 90 days",IF(F730&lt;=120,"91 to 120 days","Over 120 days"))))</f>
        <v>Over 120 days</v>
      </c>
      <c r="H730" s="0" t="n">
        <f aca="false">VLOOKUP(D730,Rates!$A$4:$B$7,2,FALSE())</f>
        <v>0.115</v>
      </c>
      <c r="I730" s="0" t="n">
        <f aca="false">VLOOKUP(F730,Rates!$D$4:$E$8,2)</f>
        <v>0.85</v>
      </c>
      <c r="J730" s="0" t="n">
        <f aca="false">ROUND(E730*I730,2)</f>
        <v>29856.42</v>
      </c>
      <c r="K730" s="1" t="n">
        <f aca="false">PV(H730/12,F730/30,0,-E730)</f>
        <v>33129.3932117964</v>
      </c>
      <c r="L730" s="0" t="n">
        <f aca="false">ROUND(E730-K730,2)</f>
        <v>1995.81</v>
      </c>
      <c r="M730" s="0" t="n">
        <f aca="false">F730/E730</f>
        <v>0.00523840433648776</v>
      </c>
    </row>
    <row r="731" customFormat="false" ht="12.8" hidden="false" customHeight="false" outlineLevel="0" collapsed="false">
      <c r="A731" s="0" t="s">
        <v>1128</v>
      </c>
      <c r="B731" s="0" t="s">
        <v>347</v>
      </c>
      <c r="C731" s="0" t="s">
        <v>42</v>
      </c>
      <c r="D731" s="0" t="s">
        <v>23</v>
      </c>
      <c r="E731" s="0" t="n">
        <v>41510.14</v>
      </c>
      <c r="F731" s="0" t="n">
        <v>124</v>
      </c>
      <c r="G731" s="0" t="str">
        <f aca="false">IF(F731&lt;=30,"Current",IF(F731&lt;=60,"31 to 60 days",IF(F731&lt;=90,"61 to 90 days",IF(F731&lt;=120,"91 to 120 days","Over 120 days"))))</f>
        <v>Over 120 days</v>
      </c>
      <c r="H731" s="0" t="n">
        <f aca="false">VLOOKUP(D731,Rates!$A$4:$B$7,2,FALSE())</f>
        <v>0.115</v>
      </c>
      <c r="I731" s="0" t="n">
        <f aca="false">VLOOKUP(F731,Rates!$D$4:$E$8,2)</f>
        <v>0.85</v>
      </c>
      <c r="J731" s="0" t="n">
        <f aca="false">ROUND(E731*I731,2)</f>
        <v>35283.62</v>
      </c>
      <c r="K731" s="1" t="n">
        <f aca="false">PV(H731/12,F731/30,0,-E731)</f>
        <v>39905.5424546941</v>
      </c>
      <c r="L731" s="0" t="n">
        <f aca="false">ROUND(E731-K731,2)</f>
        <v>1604.6</v>
      </c>
      <c r="M731" s="0" t="n">
        <f aca="false">F731/E731</f>
        <v>0.00298722191734357</v>
      </c>
    </row>
    <row r="732" customFormat="false" ht="12.8" hidden="false" customHeight="false" outlineLevel="0" collapsed="false">
      <c r="A732" s="0" t="s">
        <v>1129</v>
      </c>
      <c r="B732" s="0" t="s">
        <v>18</v>
      </c>
      <c r="C732" s="0" t="s">
        <v>19</v>
      </c>
      <c r="D732" s="0" t="s">
        <v>20</v>
      </c>
      <c r="E732" s="0" t="n">
        <v>37847.73</v>
      </c>
      <c r="F732" s="0" t="n">
        <v>134</v>
      </c>
      <c r="G732" s="0" t="str">
        <f aca="false">IF(F732&lt;=30,"Current",IF(F732&lt;=60,"31 to 60 days",IF(F732&lt;=90,"61 to 90 days",IF(F732&lt;=120,"91 to 120 days","Over 120 days"))))</f>
        <v>Over 120 days</v>
      </c>
      <c r="H732" s="0" t="n">
        <f aca="false">VLOOKUP(D732,Rates!$A$4:$B$7,2,FALSE())</f>
        <v>0.05</v>
      </c>
      <c r="I732" s="0" t="n">
        <f aca="false">VLOOKUP(F732,Rates!$D$4:$E$8,2)</f>
        <v>0.85</v>
      </c>
      <c r="J732" s="0" t="n">
        <f aca="false">ROUND(E732*I732,2)</f>
        <v>32170.57</v>
      </c>
      <c r="K732" s="1" t="n">
        <f aca="false">PV(H732/12,F732/30,0,-E732)</f>
        <v>37151.292397073</v>
      </c>
      <c r="L732" s="0" t="n">
        <f aca="false">ROUND(E732-K732,2)</f>
        <v>696.44</v>
      </c>
      <c r="M732" s="0" t="n">
        <f aca="false">F732/E732</f>
        <v>0.00354050295750894</v>
      </c>
    </row>
    <row r="733" customFormat="false" ht="12.8" hidden="false" customHeight="false" outlineLevel="0" collapsed="false">
      <c r="A733" s="0" t="s">
        <v>1130</v>
      </c>
      <c r="B733" s="0" t="s">
        <v>242</v>
      </c>
      <c r="C733" s="0" t="s">
        <v>36</v>
      </c>
      <c r="D733" s="0" t="s">
        <v>23</v>
      </c>
      <c r="E733" s="0" t="n">
        <v>43892.07</v>
      </c>
      <c r="F733" s="0" t="n">
        <v>131</v>
      </c>
      <c r="G733" s="0" t="str">
        <f aca="false">IF(F733&lt;=30,"Current",IF(F733&lt;=60,"31 to 60 days",IF(F733&lt;=90,"61 to 90 days",IF(F733&lt;=120,"91 to 120 days","Over 120 days"))))</f>
        <v>Over 120 days</v>
      </c>
      <c r="H733" s="0" t="n">
        <f aca="false">VLOOKUP(D733,Rates!$A$4:$B$7,2,FALSE())</f>
        <v>0.115</v>
      </c>
      <c r="I733" s="0" t="n">
        <f aca="false">VLOOKUP(F733,Rates!$D$4:$E$8,2)</f>
        <v>0.85</v>
      </c>
      <c r="J733" s="0" t="n">
        <f aca="false">ROUND(E733*I733,2)</f>
        <v>37308.26</v>
      </c>
      <c r="K733" s="1" t="n">
        <f aca="false">PV(H733/12,F733/30,0,-E733)</f>
        <v>42101.5976845259</v>
      </c>
      <c r="L733" s="0" t="n">
        <f aca="false">ROUND(E733-K733,2)</f>
        <v>1790.47</v>
      </c>
      <c r="M733" s="0" t="n">
        <f aca="false">F733/E733</f>
        <v>0.00298459380020127</v>
      </c>
    </row>
    <row r="734" customFormat="false" ht="12.8" hidden="false" customHeight="false" outlineLevel="0" collapsed="false">
      <c r="A734" s="0" t="s">
        <v>1131</v>
      </c>
      <c r="B734" s="0" t="s">
        <v>1132</v>
      </c>
      <c r="C734" s="0" t="s">
        <v>31</v>
      </c>
      <c r="D734" s="0" t="s">
        <v>49</v>
      </c>
      <c r="E734" s="0" t="n">
        <v>7076.79</v>
      </c>
      <c r="F734" s="0" t="n">
        <v>261</v>
      </c>
      <c r="G734" s="0" t="str">
        <f aca="false">IF(F734&lt;=30,"Current",IF(F734&lt;=60,"31 to 60 days",IF(F734&lt;=90,"61 to 90 days",IF(F734&lt;=120,"91 to 120 days","Over 120 days"))))</f>
        <v>Over 120 days</v>
      </c>
      <c r="H734" s="0" t="n">
        <f aca="false">VLOOKUP(D734,Rates!$A$4:$B$7,2,FALSE())</f>
        <v>0.02</v>
      </c>
      <c r="I734" s="0" t="n">
        <f aca="false">VLOOKUP(F734,Rates!$D$4:$E$8,2)</f>
        <v>0.85</v>
      </c>
      <c r="J734" s="0" t="n">
        <f aca="false">ROUND(E734*I734,2)</f>
        <v>6015.27</v>
      </c>
      <c r="K734" s="1" t="n">
        <f aca="false">PV(H734/12,F734/30,0,-E734)</f>
        <v>6975.00109702538</v>
      </c>
      <c r="L734" s="0" t="n">
        <f aca="false">ROUND(E734-K734,2)</f>
        <v>101.79</v>
      </c>
      <c r="M734" s="0" t="n">
        <f aca="false">F734/E734</f>
        <v>0.0368811283081736</v>
      </c>
    </row>
    <row r="735" customFormat="false" ht="12.8" hidden="false" customHeight="false" outlineLevel="0" collapsed="false">
      <c r="A735" s="0" t="s">
        <v>1133</v>
      </c>
      <c r="B735" s="0" t="s">
        <v>1134</v>
      </c>
      <c r="C735" s="0" t="s">
        <v>15</v>
      </c>
      <c r="D735" s="0" t="s">
        <v>16</v>
      </c>
      <c r="E735" s="0" t="n">
        <v>24748.47</v>
      </c>
      <c r="F735" s="0" t="n">
        <v>335</v>
      </c>
      <c r="G735" s="0" t="str">
        <f aca="false">IF(F735&lt;=30,"Current",IF(F735&lt;=60,"31 to 60 days",IF(F735&lt;=90,"61 to 90 days",IF(F735&lt;=120,"91 to 120 days","Over 120 days"))))</f>
        <v>Over 120 days</v>
      </c>
      <c r="H735" s="0" t="n">
        <f aca="false">VLOOKUP(D735,Rates!$A$4:$B$7,2,FALSE())</f>
        <v>0.085</v>
      </c>
      <c r="I735" s="0" t="n">
        <f aca="false">VLOOKUP(F735,Rates!$D$4:$E$8,2)</f>
        <v>0.85</v>
      </c>
      <c r="J735" s="0" t="n">
        <f aca="false">ROUND(E735*I735,2)</f>
        <v>21036.2</v>
      </c>
      <c r="K735" s="1" t="n">
        <f aca="false">PV(H735/12,F735/30,0,-E735)</f>
        <v>22872.7276110377</v>
      </c>
      <c r="L735" s="0" t="n">
        <f aca="false">ROUND(E735-K735,2)</f>
        <v>1875.74</v>
      </c>
      <c r="M735" s="0" t="n">
        <f aca="false">F735/E735</f>
        <v>0.0135361903180277</v>
      </c>
    </row>
    <row r="736" customFormat="false" ht="12.8" hidden="false" customHeight="false" outlineLevel="0" collapsed="false">
      <c r="A736" s="0" t="s">
        <v>1135</v>
      </c>
      <c r="B736" s="0" t="s">
        <v>1136</v>
      </c>
      <c r="C736" s="0" t="s">
        <v>26</v>
      </c>
      <c r="D736" s="0" t="s">
        <v>16</v>
      </c>
      <c r="E736" s="0" t="n">
        <v>26619.79</v>
      </c>
      <c r="F736" s="0" t="n">
        <v>298</v>
      </c>
      <c r="G736" s="0" t="str">
        <f aca="false">IF(F736&lt;=30,"Current",IF(F736&lt;=60,"31 to 60 days",IF(F736&lt;=90,"61 to 90 days",IF(F736&lt;=120,"91 to 120 days","Over 120 days"))))</f>
        <v>Over 120 days</v>
      </c>
      <c r="H736" s="0" t="n">
        <f aca="false">VLOOKUP(D736,Rates!$A$4:$B$7,2,FALSE())</f>
        <v>0.085</v>
      </c>
      <c r="I736" s="0" t="n">
        <f aca="false">VLOOKUP(F736,Rates!$D$4:$E$8,2)</f>
        <v>0.85</v>
      </c>
      <c r="J736" s="0" t="n">
        <f aca="false">ROUND(E736*I736,2)</f>
        <v>22626.82</v>
      </c>
      <c r="K736" s="1" t="n">
        <f aca="false">PV(H736/12,F736/30,0,-E736)</f>
        <v>24817.3210316944</v>
      </c>
      <c r="L736" s="0" t="n">
        <f aca="false">ROUND(E736-K736,2)</f>
        <v>1802.47</v>
      </c>
      <c r="M736" s="0" t="n">
        <f aca="false">F736/E736</f>
        <v>0.0111946788460765</v>
      </c>
    </row>
    <row r="737" customFormat="false" ht="12.8" hidden="false" customHeight="false" outlineLevel="0" collapsed="false">
      <c r="A737" s="0" t="s">
        <v>1137</v>
      </c>
      <c r="B737" s="0" t="s">
        <v>51</v>
      </c>
      <c r="C737" s="0" t="s">
        <v>36</v>
      </c>
      <c r="D737" s="0" t="s">
        <v>20</v>
      </c>
      <c r="E737" s="0" t="n">
        <v>42967.49</v>
      </c>
      <c r="F737" s="0" t="n">
        <v>91</v>
      </c>
      <c r="G737" s="0" t="str">
        <f aca="false">IF(F737&lt;=30,"Current",IF(F737&lt;=60,"31 to 60 days",IF(F737&lt;=90,"61 to 90 days",IF(F737&lt;=120,"91 to 120 days","Over 120 days"))))</f>
        <v>91 to 120 days</v>
      </c>
      <c r="H737" s="0" t="n">
        <f aca="false">VLOOKUP(D737,Rates!$A$4:$B$7,2,FALSE())</f>
        <v>0.05</v>
      </c>
      <c r="I737" s="0" t="n">
        <f aca="false">VLOOKUP(F737,Rates!$D$4:$E$8,2)</f>
        <v>0.5</v>
      </c>
      <c r="J737" s="0" t="n">
        <f aca="false">ROUND(E737*I737,2)</f>
        <v>21483.75</v>
      </c>
      <c r="K737" s="1" t="n">
        <f aca="false">PV(H737/12,F737/30,0,-E737)</f>
        <v>42428.9601907499</v>
      </c>
      <c r="L737" s="0" t="n">
        <f aca="false">ROUND(E737-K737,2)</f>
        <v>538.53</v>
      </c>
      <c r="M737" s="0" t="n">
        <f aca="false">F737/E737</f>
        <v>0.00211788028576954</v>
      </c>
    </row>
    <row r="738" customFormat="false" ht="12.8" hidden="false" customHeight="false" outlineLevel="0" collapsed="false">
      <c r="A738" s="0" t="s">
        <v>1138</v>
      </c>
      <c r="B738" s="0" t="s">
        <v>30</v>
      </c>
      <c r="C738" s="0" t="s">
        <v>31</v>
      </c>
      <c r="D738" s="0" t="s">
        <v>20</v>
      </c>
      <c r="E738" s="0" t="n">
        <v>39673.59</v>
      </c>
      <c r="F738" s="0" t="n">
        <v>371</v>
      </c>
      <c r="G738" s="0" t="str">
        <f aca="false">IF(F738&lt;=30,"Current",IF(F738&lt;=60,"31 to 60 days",IF(F738&lt;=90,"61 to 90 days",IF(F738&lt;=120,"91 to 120 days","Over 120 days"))))</f>
        <v>Over 120 days</v>
      </c>
      <c r="H738" s="0" t="n">
        <f aca="false">VLOOKUP(D738,Rates!$A$4:$B$7,2,FALSE())</f>
        <v>0.05</v>
      </c>
      <c r="I738" s="0" t="n">
        <f aca="false">VLOOKUP(F738,Rates!$D$4:$E$8,2)</f>
        <v>0.85</v>
      </c>
      <c r="J738" s="0" t="n">
        <f aca="false">ROUND(E738*I738,2)</f>
        <v>33722.55</v>
      </c>
      <c r="K738" s="1" t="n">
        <f aca="false">PV(H738/12,F738/30,0,-E738)</f>
        <v>37685.1079385875</v>
      </c>
      <c r="L738" s="0" t="n">
        <f aca="false">ROUND(E738-K738,2)</f>
        <v>1988.48</v>
      </c>
      <c r="M738" s="0" t="n">
        <f aca="false">F738/E738</f>
        <v>0.00935130901942577</v>
      </c>
    </row>
    <row r="739" customFormat="false" ht="12.8" hidden="false" customHeight="false" outlineLevel="0" collapsed="false">
      <c r="A739" s="0" t="s">
        <v>1139</v>
      </c>
      <c r="B739" s="0" t="s">
        <v>1140</v>
      </c>
      <c r="C739" s="0" t="s">
        <v>31</v>
      </c>
      <c r="D739" s="0" t="s">
        <v>16</v>
      </c>
      <c r="E739" s="0" t="n">
        <v>21790.26</v>
      </c>
      <c r="F739" s="0" t="n">
        <v>309</v>
      </c>
      <c r="G739" s="0" t="str">
        <f aca="false">IF(F739&lt;=30,"Current",IF(F739&lt;=60,"31 to 60 days",IF(F739&lt;=90,"61 to 90 days",IF(F739&lt;=120,"91 to 120 days","Over 120 days"))))</f>
        <v>Over 120 days</v>
      </c>
      <c r="H739" s="0" t="n">
        <f aca="false">VLOOKUP(D739,Rates!$A$4:$B$7,2,FALSE())</f>
        <v>0.085</v>
      </c>
      <c r="I739" s="0" t="n">
        <f aca="false">VLOOKUP(F739,Rates!$D$4:$E$8,2)</f>
        <v>0.85</v>
      </c>
      <c r="J739" s="0" t="n">
        <f aca="false">ROUND(E739*I739,2)</f>
        <v>18521.72</v>
      </c>
      <c r="K739" s="1" t="n">
        <f aca="false">PV(H739/12,F739/30,0,-E739)</f>
        <v>20262.2982051015</v>
      </c>
      <c r="L739" s="0" t="n">
        <f aca="false">ROUND(E739-K739,2)</f>
        <v>1527.96</v>
      </c>
      <c r="M739" s="0" t="n">
        <f aca="false">F739/E739</f>
        <v>0.0141806476838734</v>
      </c>
    </row>
    <row r="740" customFormat="false" ht="12.8" hidden="false" customHeight="false" outlineLevel="0" collapsed="false">
      <c r="A740" s="0" t="s">
        <v>1141</v>
      </c>
      <c r="B740" s="0" t="s">
        <v>1142</v>
      </c>
      <c r="C740" s="0" t="s">
        <v>19</v>
      </c>
      <c r="D740" s="0" t="s">
        <v>49</v>
      </c>
      <c r="E740" s="0" t="n">
        <v>19292.11</v>
      </c>
      <c r="F740" s="0" t="n">
        <v>263</v>
      </c>
      <c r="G740" s="0" t="str">
        <f aca="false">IF(F740&lt;=30,"Current",IF(F740&lt;=60,"31 to 60 days",IF(F740&lt;=90,"61 to 90 days",IF(F740&lt;=120,"91 to 120 days","Over 120 days"))))</f>
        <v>Over 120 days</v>
      </c>
      <c r="H740" s="0" t="n">
        <f aca="false">VLOOKUP(D740,Rates!$A$4:$B$7,2,FALSE())</f>
        <v>0.02</v>
      </c>
      <c r="I740" s="0" t="n">
        <f aca="false">VLOOKUP(F740,Rates!$D$4:$E$8,2)</f>
        <v>0.85</v>
      </c>
      <c r="J740" s="0" t="n">
        <f aca="false">ROUND(E740*I740,2)</f>
        <v>16398.29</v>
      </c>
      <c r="K740" s="1" t="n">
        <f aca="false">PV(H740/12,F740/30,0,-E740)</f>
        <v>19012.5113647876</v>
      </c>
      <c r="L740" s="0" t="n">
        <f aca="false">ROUND(E740-K740,2)</f>
        <v>279.6</v>
      </c>
      <c r="M740" s="0" t="n">
        <f aca="false">F740/E740</f>
        <v>0.0136325160907749</v>
      </c>
    </row>
    <row r="741" customFormat="false" ht="12.8" hidden="false" customHeight="false" outlineLevel="0" collapsed="false">
      <c r="A741" s="0" t="s">
        <v>1143</v>
      </c>
      <c r="B741" s="0" t="s">
        <v>1144</v>
      </c>
      <c r="C741" s="0" t="s">
        <v>36</v>
      </c>
      <c r="D741" s="0" t="s">
        <v>16</v>
      </c>
      <c r="E741" s="0" t="n">
        <v>4410.94</v>
      </c>
      <c r="F741" s="0" t="n">
        <v>331</v>
      </c>
      <c r="G741" s="0" t="str">
        <f aca="false">IF(F741&lt;=30,"Current",IF(F741&lt;=60,"31 to 60 days",IF(F741&lt;=90,"61 to 90 days",IF(F741&lt;=120,"91 to 120 days","Over 120 days"))))</f>
        <v>Over 120 days</v>
      </c>
      <c r="H741" s="0" t="n">
        <f aca="false">VLOOKUP(D741,Rates!$A$4:$B$7,2,FALSE())</f>
        <v>0.085</v>
      </c>
      <c r="I741" s="0" t="n">
        <f aca="false">VLOOKUP(F741,Rates!$D$4:$E$8,2)</f>
        <v>0.85</v>
      </c>
      <c r="J741" s="0" t="n">
        <f aca="false">ROUND(E741*I741,2)</f>
        <v>3749.3</v>
      </c>
      <c r="K741" s="1" t="n">
        <f aca="false">PV(H741/12,F741/30,0,-E741)</f>
        <v>4080.46328338237</v>
      </c>
      <c r="L741" s="0" t="n">
        <f aca="false">ROUND(E741-K741,2)</f>
        <v>330.48</v>
      </c>
      <c r="M741" s="0" t="n">
        <f aca="false">F741/E741</f>
        <v>0.0750406942737829</v>
      </c>
    </row>
    <row r="742" customFormat="false" ht="12.8" hidden="false" customHeight="false" outlineLevel="0" collapsed="false">
      <c r="A742" s="0" t="s">
        <v>1145</v>
      </c>
      <c r="B742" s="0" t="s">
        <v>952</v>
      </c>
      <c r="C742" s="0" t="s">
        <v>19</v>
      </c>
      <c r="D742" s="0" t="s">
        <v>16</v>
      </c>
      <c r="E742" s="0" t="n">
        <v>8556.75</v>
      </c>
      <c r="F742" s="0" t="n">
        <v>351</v>
      </c>
      <c r="G742" s="0" t="str">
        <f aca="false">IF(F742&lt;=30,"Current",IF(F742&lt;=60,"31 to 60 days",IF(F742&lt;=90,"61 to 90 days",IF(F742&lt;=120,"91 to 120 days","Over 120 days"))))</f>
        <v>Over 120 days</v>
      </c>
      <c r="H742" s="0" t="n">
        <f aca="false">VLOOKUP(D742,Rates!$A$4:$B$7,2,FALSE())</f>
        <v>0.085</v>
      </c>
      <c r="I742" s="0" t="n">
        <f aca="false">VLOOKUP(F742,Rates!$D$4:$E$8,2)</f>
        <v>0.85</v>
      </c>
      <c r="J742" s="0" t="n">
        <f aca="false">ROUND(E742*I742,2)</f>
        <v>7273.24</v>
      </c>
      <c r="K742" s="1" t="n">
        <f aca="false">PV(H742/12,F742/30,0,-E742)</f>
        <v>7878.5004068723</v>
      </c>
      <c r="L742" s="0" t="n">
        <f aca="false">ROUND(E742-K742,2)</f>
        <v>678.25</v>
      </c>
      <c r="M742" s="0" t="n">
        <f aca="false">F742/E742</f>
        <v>0.0410202471732843</v>
      </c>
    </row>
    <row r="743" customFormat="false" ht="12.8" hidden="false" customHeight="false" outlineLevel="0" collapsed="false">
      <c r="A743" s="0" t="s">
        <v>1146</v>
      </c>
      <c r="B743" s="0" t="s">
        <v>1147</v>
      </c>
      <c r="C743" s="0" t="s">
        <v>31</v>
      </c>
      <c r="D743" s="0" t="s">
        <v>16</v>
      </c>
      <c r="E743" s="0" t="n">
        <v>32890.95</v>
      </c>
      <c r="F743" s="0" t="n">
        <v>89</v>
      </c>
      <c r="G743" s="0" t="str">
        <f aca="false">IF(F743&lt;=30,"Current",IF(F743&lt;=60,"31 to 60 days",IF(F743&lt;=90,"61 to 90 days",IF(F743&lt;=120,"91 to 120 days","Over 120 days"))))</f>
        <v>61 to 90 days</v>
      </c>
      <c r="H743" s="0" t="n">
        <f aca="false">VLOOKUP(D743,Rates!$A$4:$B$7,2,FALSE())</f>
        <v>0.085</v>
      </c>
      <c r="I743" s="0" t="n">
        <f aca="false">VLOOKUP(F743,Rates!$D$4:$E$8,2)</f>
        <v>0.25</v>
      </c>
      <c r="J743" s="0" t="n">
        <f aca="false">ROUND(E743*I743,2)</f>
        <v>8222.74</v>
      </c>
      <c r="K743" s="1" t="n">
        <f aca="false">PV(H743/12,F743/30,0,-E743)</f>
        <v>32209.3804888012</v>
      </c>
      <c r="L743" s="0" t="n">
        <f aca="false">ROUND(E743-K743,2)</f>
        <v>681.57</v>
      </c>
      <c r="M743" s="0" t="n">
        <f aca="false">F743/E743</f>
        <v>0.0027059115045324</v>
      </c>
    </row>
    <row r="744" customFormat="false" ht="12.8" hidden="false" customHeight="false" outlineLevel="0" collapsed="false">
      <c r="A744" s="0" t="s">
        <v>1148</v>
      </c>
      <c r="B744" s="0" t="s">
        <v>480</v>
      </c>
      <c r="C744" s="0" t="s">
        <v>36</v>
      </c>
      <c r="D744" s="0" t="s">
        <v>23</v>
      </c>
      <c r="E744" s="0" t="n">
        <v>17883.2</v>
      </c>
      <c r="F744" s="0" t="n">
        <v>204</v>
      </c>
      <c r="G744" s="0" t="str">
        <f aca="false">IF(F744&lt;=30,"Current",IF(F744&lt;=60,"31 to 60 days",IF(F744&lt;=90,"61 to 90 days",IF(F744&lt;=120,"91 to 120 days","Over 120 days"))))</f>
        <v>Over 120 days</v>
      </c>
      <c r="H744" s="0" t="n">
        <f aca="false">VLOOKUP(D744,Rates!$A$4:$B$7,2,FALSE())</f>
        <v>0.115</v>
      </c>
      <c r="I744" s="0" t="n">
        <f aca="false">VLOOKUP(F744,Rates!$D$4:$E$8,2)</f>
        <v>0.85</v>
      </c>
      <c r="J744" s="0" t="n">
        <f aca="false">ROUND(E744*I744,2)</f>
        <v>15200.72</v>
      </c>
      <c r="K744" s="1" t="n">
        <f aca="false">PV(H744/12,F744/30,0,-E744)</f>
        <v>16760.171608663</v>
      </c>
      <c r="L744" s="0" t="n">
        <f aca="false">ROUND(E744-K744,2)</f>
        <v>1123.03</v>
      </c>
      <c r="M744" s="0" t="n">
        <f aca="false">F744/E744</f>
        <v>0.0114073543884763</v>
      </c>
    </row>
    <row r="745" customFormat="false" ht="12.8" hidden="false" customHeight="false" outlineLevel="0" collapsed="false">
      <c r="A745" s="0" t="s">
        <v>1149</v>
      </c>
      <c r="B745" s="0" t="s">
        <v>1150</v>
      </c>
      <c r="C745" s="0" t="s">
        <v>36</v>
      </c>
      <c r="D745" s="0" t="s">
        <v>49</v>
      </c>
      <c r="E745" s="0" t="n">
        <v>44749.02</v>
      </c>
      <c r="F745" s="0" t="n">
        <v>242</v>
      </c>
      <c r="G745" s="0" t="str">
        <f aca="false">IF(F745&lt;=30,"Current",IF(F745&lt;=60,"31 to 60 days",IF(F745&lt;=90,"61 to 90 days",IF(F745&lt;=120,"91 to 120 days","Over 120 days"))))</f>
        <v>Over 120 days</v>
      </c>
      <c r="H745" s="0" t="n">
        <f aca="false">VLOOKUP(D745,Rates!$A$4:$B$7,2,FALSE())</f>
        <v>0.02</v>
      </c>
      <c r="I745" s="0" t="n">
        <f aca="false">VLOOKUP(F745,Rates!$D$4:$E$8,2)</f>
        <v>0.85</v>
      </c>
      <c r="J745" s="0" t="n">
        <f aca="false">ROUND(E745*I745,2)</f>
        <v>38036.67</v>
      </c>
      <c r="K745" s="1" t="n">
        <f aca="false">PV(H745/12,F745/30,0,-E745)</f>
        <v>44151.9145981391</v>
      </c>
      <c r="L745" s="0" t="n">
        <f aca="false">ROUND(E745-K745,2)</f>
        <v>597.11</v>
      </c>
      <c r="M745" s="0" t="n">
        <f aca="false">F745/E745</f>
        <v>0.00540793965990764</v>
      </c>
    </row>
    <row r="746" customFormat="false" ht="12.8" hidden="false" customHeight="false" outlineLevel="0" collapsed="false">
      <c r="A746" s="0" t="s">
        <v>1151</v>
      </c>
      <c r="B746" s="0" t="s">
        <v>375</v>
      </c>
      <c r="C746" s="0" t="s">
        <v>42</v>
      </c>
      <c r="D746" s="0" t="s">
        <v>23</v>
      </c>
      <c r="E746" s="0" t="n">
        <v>32352.69</v>
      </c>
      <c r="F746" s="0" t="n">
        <v>140</v>
      </c>
      <c r="G746" s="0" t="str">
        <f aca="false">IF(F746&lt;=30,"Current",IF(F746&lt;=60,"31 to 60 days",IF(F746&lt;=90,"61 to 90 days",IF(F746&lt;=120,"91 to 120 days","Over 120 days"))))</f>
        <v>Over 120 days</v>
      </c>
      <c r="H746" s="0" t="n">
        <f aca="false">VLOOKUP(D746,Rates!$A$4:$B$7,2,FALSE())</f>
        <v>0.115</v>
      </c>
      <c r="I746" s="0" t="n">
        <f aca="false">VLOOKUP(F746,Rates!$D$4:$E$8,2)</f>
        <v>0.85</v>
      </c>
      <c r="J746" s="0" t="n">
        <f aca="false">ROUND(E746*I746,2)</f>
        <v>27499.79</v>
      </c>
      <c r="K746" s="1" t="n">
        <f aca="false">PV(H746/12,F746/30,0,-E746)</f>
        <v>30944.2711837998</v>
      </c>
      <c r="L746" s="0" t="n">
        <f aca="false">ROUND(E746-K746,2)</f>
        <v>1408.42</v>
      </c>
      <c r="M746" s="0" t="n">
        <f aca="false">F746/E746</f>
        <v>0.00432730632290545</v>
      </c>
    </row>
    <row r="747" customFormat="false" ht="12.8" hidden="false" customHeight="false" outlineLevel="0" collapsed="false">
      <c r="A747" s="0" t="s">
        <v>1152</v>
      </c>
      <c r="B747" s="0" t="s">
        <v>18</v>
      </c>
      <c r="C747" s="0" t="s">
        <v>19</v>
      </c>
      <c r="D747" s="0" t="s">
        <v>20</v>
      </c>
      <c r="E747" s="0" t="n">
        <v>7261.24</v>
      </c>
      <c r="F747" s="0" t="n">
        <v>137</v>
      </c>
      <c r="G747" s="0" t="str">
        <f aca="false">IF(F747&lt;=30,"Current",IF(F747&lt;=60,"31 to 60 days",IF(F747&lt;=90,"61 to 90 days",IF(F747&lt;=120,"91 to 120 days","Over 120 days"))))</f>
        <v>Over 120 days</v>
      </c>
      <c r="H747" s="0" t="n">
        <f aca="false">VLOOKUP(D747,Rates!$A$4:$B$7,2,FALSE())</f>
        <v>0.05</v>
      </c>
      <c r="I747" s="0" t="n">
        <f aca="false">VLOOKUP(F747,Rates!$D$4:$E$8,2)</f>
        <v>0.85</v>
      </c>
      <c r="J747" s="0" t="n">
        <f aca="false">ROUND(E747*I747,2)</f>
        <v>6172.05</v>
      </c>
      <c r="K747" s="1" t="n">
        <f aca="false">PV(H747/12,F747/30,0,-E747)</f>
        <v>7124.66257262168</v>
      </c>
      <c r="L747" s="0" t="n">
        <f aca="false">ROUND(E747-K747,2)</f>
        <v>136.58</v>
      </c>
      <c r="M747" s="0" t="n">
        <f aca="false">F747/E747</f>
        <v>0.0188673009017744</v>
      </c>
    </row>
    <row r="748" customFormat="false" ht="12.8" hidden="false" customHeight="false" outlineLevel="0" collapsed="false">
      <c r="A748" s="0" t="s">
        <v>1153</v>
      </c>
      <c r="B748" s="0" t="s">
        <v>1154</v>
      </c>
      <c r="C748" s="0" t="s">
        <v>36</v>
      </c>
      <c r="D748" s="0" t="s">
        <v>49</v>
      </c>
      <c r="E748" s="0" t="n">
        <v>12877.79</v>
      </c>
      <c r="F748" s="0" t="n">
        <v>53</v>
      </c>
      <c r="G748" s="0" t="str">
        <f aca="false">IF(F748&lt;=30,"Current",IF(F748&lt;=60,"31 to 60 days",IF(F748&lt;=90,"61 to 90 days",IF(F748&lt;=120,"91 to 120 days","Over 120 days"))))</f>
        <v>31 to 60 days</v>
      </c>
      <c r="H748" s="0" t="n">
        <f aca="false">VLOOKUP(D748,Rates!$A$4:$B$7,2,FALSE())</f>
        <v>0.02</v>
      </c>
      <c r="I748" s="0" t="n">
        <f aca="false">VLOOKUP(F748,Rates!$D$4:$E$8,2)</f>
        <v>0.1</v>
      </c>
      <c r="J748" s="0" t="n">
        <f aca="false">ROUND(E748*I748,2)</f>
        <v>1287.78</v>
      </c>
      <c r="K748" s="1" t="n">
        <f aca="false">PV(H748/12,F748/30,0,-E748)</f>
        <v>12839.9593021128</v>
      </c>
      <c r="L748" s="0" t="n">
        <f aca="false">ROUND(E748-K748,2)</f>
        <v>37.83</v>
      </c>
      <c r="M748" s="0" t="n">
        <f aca="false">F748/E748</f>
        <v>0.00411561300502648</v>
      </c>
    </row>
    <row r="749" customFormat="false" ht="12.8" hidden="false" customHeight="false" outlineLevel="0" collapsed="false">
      <c r="A749" s="0" t="s">
        <v>1155</v>
      </c>
      <c r="B749" s="0" t="s">
        <v>51</v>
      </c>
      <c r="C749" s="0" t="s">
        <v>36</v>
      </c>
      <c r="D749" s="0" t="s">
        <v>20</v>
      </c>
      <c r="E749" s="0" t="n">
        <v>22033.21</v>
      </c>
      <c r="F749" s="0" t="n">
        <v>221</v>
      </c>
      <c r="G749" s="0" t="str">
        <f aca="false">IF(F749&lt;=30,"Current",IF(F749&lt;=60,"31 to 60 days",IF(F749&lt;=90,"61 to 90 days",IF(F749&lt;=120,"91 to 120 days","Over 120 days"))))</f>
        <v>Over 120 days</v>
      </c>
      <c r="H749" s="0" t="n">
        <f aca="false">VLOOKUP(D749,Rates!$A$4:$B$7,2,FALSE())</f>
        <v>0.05</v>
      </c>
      <c r="I749" s="0" t="n">
        <f aca="false">VLOOKUP(F749,Rates!$D$4:$E$8,2)</f>
        <v>0.85</v>
      </c>
      <c r="J749" s="0" t="n">
        <f aca="false">ROUND(E749*I749,2)</f>
        <v>18728.23</v>
      </c>
      <c r="K749" s="1" t="n">
        <f aca="false">PV(H749/12,F749/30,0,-E749)</f>
        <v>21368.5493788755</v>
      </c>
      <c r="L749" s="0" t="n">
        <f aca="false">ROUND(E749-K749,2)</f>
        <v>664.66</v>
      </c>
      <c r="M749" s="0" t="n">
        <f aca="false">F749/E749</f>
        <v>0.0100303133315572</v>
      </c>
    </row>
    <row r="750" customFormat="false" ht="12.8" hidden="false" customHeight="false" outlineLevel="0" collapsed="false">
      <c r="A750" s="0" t="s">
        <v>1156</v>
      </c>
      <c r="B750" s="0" t="s">
        <v>55</v>
      </c>
      <c r="C750" s="0" t="s">
        <v>26</v>
      </c>
      <c r="D750" s="0" t="s">
        <v>23</v>
      </c>
      <c r="E750" s="0" t="n">
        <v>24830.55</v>
      </c>
      <c r="F750" s="0" t="n">
        <v>223</v>
      </c>
      <c r="G750" s="0" t="str">
        <f aca="false">IF(F750&lt;=30,"Current",IF(F750&lt;=60,"31 to 60 days",IF(F750&lt;=90,"61 to 90 days",IF(F750&lt;=120,"91 to 120 days","Over 120 days"))))</f>
        <v>Over 120 days</v>
      </c>
      <c r="H750" s="0" t="n">
        <f aca="false">VLOOKUP(D750,Rates!$A$4:$B$7,2,FALSE())</f>
        <v>0.115</v>
      </c>
      <c r="I750" s="0" t="n">
        <f aca="false">VLOOKUP(F750,Rates!$D$4:$E$8,2)</f>
        <v>0.85</v>
      </c>
      <c r="J750" s="0" t="n">
        <f aca="false">ROUND(E750*I750,2)</f>
        <v>21105.97</v>
      </c>
      <c r="K750" s="1" t="n">
        <f aca="false">PV(H750/12,F750/30,0,-E750)</f>
        <v>23131.0949311265</v>
      </c>
      <c r="L750" s="0" t="n">
        <f aca="false">ROUND(E750-K750,2)</f>
        <v>1699.46</v>
      </c>
      <c r="M750" s="0" t="n">
        <f aca="false">F750/E750</f>
        <v>0.00898087235280733</v>
      </c>
    </row>
    <row r="751" customFormat="false" ht="12.8" hidden="false" customHeight="false" outlineLevel="0" collapsed="false">
      <c r="A751" s="0" t="s">
        <v>1157</v>
      </c>
      <c r="B751" s="0" t="s">
        <v>247</v>
      </c>
      <c r="C751" s="0" t="s">
        <v>26</v>
      </c>
      <c r="D751" s="0" t="s">
        <v>23</v>
      </c>
      <c r="E751" s="0" t="n">
        <v>19138.68</v>
      </c>
      <c r="F751" s="0" t="n">
        <v>108</v>
      </c>
      <c r="G751" s="0" t="str">
        <f aca="false">IF(F751&lt;=30,"Current",IF(F751&lt;=60,"31 to 60 days",IF(F751&lt;=90,"61 to 90 days",IF(F751&lt;=120,"91 to 120 days","Over 120 days"))))</f>
        <v>91 to 120 days</v>
      </c>
      <c r="H751" s="0" t="n">
        <f aca="false">VLOOKUP(D751,Rates!$A$4:$B$7,2,FALSE())</f>
        <v>0.115</v>
      </c>
      <c r="I751" s="0" t="n">
        <f aca="false">VLOOKUP(F751,Rates!$D$4:$E$8,2)</f>
        <v>0.5</v>
      </c>
      <c r="J751" s="0" t="n">
        <f aca="false">ROUND(E751*I751,2)</f>
        <v>9569.34</v>
      </c>
      <c r="K751" s="1" t="n">
        <f aca="false">PV(H751/12,F751/30,0,-E751)</f>
        <v>18492.6930168402</v>
      </c>
      <c r="L751" s="0" t="n">
        <f aca="false">ROUND(E751-K751,2)</f>
        <v>645.99</v>
      </c>
      <c r="M751" s="0" t="n">
        <f aca="false">F751/E751</f>
        <v>0.00564302240279894</v>
      </c>
    </row>
    <row r="752" customFormat="false" ht="12.8" hidden="false" customHeight="false" outlineLevel="0" collapsed="false">
      <c r="A752" s="0" t="s">
        <v>1158</v>
      </c>
      <c r="B752" s="0" t="s">
        <v>1159</v>
      </c>
      <c r="C752" s="0" t="s">
        <v>26</v>
      </c>
      <c r="D752" s="0" t="s">
        <v>16</v>
      </c>
      <c r="E752" s="0" t="n">
        <v>7612.68</v>
      </c>
      <c r="F752" s="0" t="n">
        <v>254</v>
      </c>
      <c r="G752" s="0" t="str">
        <f aca="false">IF(F752&lt;=30,"Current",IF(F752&lt;=60,"31 to 60 days",IF(F752&lt;=90,"61 to 90 days",IF(F752&lt;=120,"91 to 120 days","Over 120 days"))))</f>
        <v>Over 120 days</v>
      </c>
      <c r="H752" s="0" t="n">
        <f aca="false">VLOOKUP(D752,Rates!$A$4:$B$7,2,FALSE())</f>
        <v>0.085</v>
      </c>
      <c r="I752" s="0" t="n">
        <f aca="false">VLOOKUP(F752,Rates!$D$4:$E$8,2)</f>
        <v>0.85</v>
      </c>
      <c r="J752" s="0" t="n">
        <f aca="false">ROUND(E752*I752,2)</f>
        <v>6470.78</v>
      </c>
      <c r="K752" s="1" t="n">
        <f aca="false">PV(H752/12,F752/30,0,-E752)</f>
        <v>7171.06701234136</v>
      </c>
      <c r="L752" s="0" t="n">
        <f aca="false">ROUND(E752-K752,2)</f>
        <v>441.61</v>
      </c>
      <c r="M752" s="0" t="n">
        <f aca="false">F752/E752</f>
        <v>0.0333653851206146</v>
      </c>
    </row>
    <row r="753" customFormat="false" ht="12.8" hidden="false" customHeight="false" outlineLevel="0" collapsed="false">
      <c r="A753" s="0" t="s">
        <v>1160</v>
      </c>
      <c r="B753" s="0" t="s">
        <v>1161</v>
      </c>
      <c r="C753" s="0" t="s">
        <v>31</v>
      </c>
      <c r="D753" s="0" t="s">
        <v>16</v>
      </c>
      <c r="E753" s="0" t="n">
        <v>9659.89</v>
      </c>
      <c r="F753" s="0" t="n">
        <v>262</v>
      </c>
      <c r="G753" s="0" t="str">
        <f aca="false">IF(F753&lt;=30,"Current",IF(F753&lt;=60,"31 to 60 days",IF(F753&lt;=90,"61 to 90 days",IF(F753&lt;=120,"91 to 120 days","Over 120 days"))))</f>
        <v>Over 120 days</v>
      </c>
      <c r="H753" s="0" t="n">
        <f aca="false">VLOOKUP(D753,Rates!$A$4:$B$7,2,FALSE())</f>
        <v>0.085</v>
      </c>
      <c r="I753" s="0" t="n">
        <f aca="false">VLOOKUP(F753,Rates!$D$4:$E$8,2)</f>
        <v>0.85</v>
      </c>
      <c r="J753" s="0" t="n">
        <f aca="false">ROUND(E753*I753,2)</f>
        <v>8210.91</v>
      </c>
      <c r="K753" s="1" t="n">
        <f aca="false">PV(H753/12,F753/30,0,-E753)</f>
        <v>9082.40669662688</v>
      </c>
      <c r="L753" s="0" t="n">
        <f aca="false">ROUND(E753-K753,2)</f>
        <v>577.48</v>
      </c>
      <c r="M753" s="0" t="n">
        <f aca="false">F753/E753</f>
        <v>0.0271224620570214</v>
      </c>
    </row>
    <row r="754" customFormat="false" ht="12.8" hidden="false" customHeight="false" outlineLevel="0" collapsed="false">
      <c r="A754" s="0" t="s">
        <v>1162</v>
      </c>
      <c r="B754" s="0" t="s">
        <v>791</v>
      </c>
      <c r="C754" s="0" t="s">
        <v>36</v>
      </c>
      <c r="D754" s="0" t="s">
        <v>49</v>
      </c>
      <c r="E754" s="0" t="n">
        <v>0</v>
      </c>
      <c r="F754" s="0" t="n">
        <v>244</v>
      </c>
      <c r="G754" s="0" t="str">
        <f aca="false">IF(F754&lt;=30,"Current",IF(F754&lt;=60,"31 to 60 days",IF(F754&lt;=90,"61 to 90 days",IF(F754&lt;=120,"91 to 120 days","Over 120 days"))))</f>
        <v>Over 120 days</v>
      </c>
      <c r="H754" s="0" t="n">
        <f aca="false">VLOOKUP(D754,Rates!$A$4:$B$7,2,FALSE())</f>
        <v>0.02</v>
      </c>
      <c r="I754" s="0" t="n">
        <f aca="false">VLOOKUP(F754,Rates!$D$4:$E$8,2)</f>
        <v>0.85</v>
      </c>
      <c r="J754" s="0" t="n">
        <f aca="false">ROUND(E754*I754,2)</f>
        <v>0</v>
      </c>
      <c r="K754" s="1" t="n">
        <f aca="false">PV(H754/12,F754/30,0,-E754)</f>
        <v>-0</v>
      </c>
      <c r="L754" s="0" t="n">
        <f aca="false">ROUND(E754-K754,2)</f>
        <v>0</v>
      </c>
      <c r="M754" s="0" t="e">
        <f aca="false">F754/E754</f>
        <v>#DIV/0!</v>
      </c>
    </row>
    <row r="755" customFormat="false" ht="12.8" hidden="false" customHeight="false" outlineLevel="0" collapsed="false">
      <c r="A755" s="0" t="s">
        <v>1163</v>
      </c>
      <c r="B755" s="0" t="s">
        <v>18</v>
      </c>
      <c r="C755" s="0" t="s">
        <v>19</v>
      </c>
      <c r="D755" s="0" t="s">
        <v>20</v>
      </c>
      <c r="E755" s="0" t="n">
        <v>43250.33</v>
      </c>
      <c r="F755" s="0" t="n">
        <v>240</v>
      </c>
      <c r="G755" s="0" t="str">
        <f aca="false">IF(F755&lt;=30,"Current",IF(F755&lt;=60,"31 to 60 days",IF(F755&lt;=90,"61 to 90 days",IF(F755&lt;=120,"91 to 120 days","Over 120 days"))))</f>
        <v>Over 120 days</v>
      </c>
      <c r="H755" s="0" t="n">
        <f aca="false">VLOOKUP(D755,Rates!$A$4:$B$7,2,FALSE())</f>
        <v>0.05</v>
      </c>
      <c r="I755" s="0" t="n">
        <f aca="false">VLOOKUP(F755,Rates!$D$4:$E$8,2)</f>
        <v>0.85</v>
      </c>
      <c r="J755" s="0" t="n">
        <f aca="false">ROUND(E755*I755,2)</f>
        <v>36762.78</v>
      </c>
      <c r="K755" s="1" t="n">
        <f aca="false">PV(H755/12,F755/30,0,-E755)</f>
        <v>41835.3126119384</v>
      </c>
      <c r="L755" s="0" t="n">
        <f aca="false">ROUND(E755-K755,2)</f>
        <v>1415.02</v>
      </c>
      <c r="M755" s="0" t="n">
        <f aca="false">F755/E755</f>
        <v>0.00554909060809478</v>
      </c>
    </row>
    <row r="756" customFormat="false" ht="12.8" hidden="false" customHeight="false" outlineLevel="0" collapsed="false">
      <c r="A756" s="0" t="s">
        <v>1164</v>
      </c>
      <c r="B756" s="0" t="s">
        <v>1165</v>
      </c>
      <c r="C756" s="0" t="s">
        <v>42</v>
      </c>
      <c r="D756" s="0" t="s">
        <v>49</v>
      </c>
      <c r="E756" s="0" t="n">
        <v>33353.55</v>
      </c>
      <c r="F756" s="0" t="n">
        <v>7</v>
      </c>
      <c r="G756" s="0" t="str">
        <f aca="false">IF(F756&lt;=30,"Current",IF(F756&lt;=60,"31 to 60 days",IF(F756&lt;=90,"61 to 90 days",IF(F756&lt;=120,"91 to 120 days","Over 120 days"))))</f>
        <v>Current</v>
      </c>
      <c r="H756" s="0" t="n">
        <f aca="false">VLOOKUP(D756,Rates!$A$4:$B$7,2,FALSE())</f>
        <v>0.02</v>
      </c>
      <c r="I756" s="0" t="n">
        <f aca="false">VLOOKUP(F756,Rates!$D$4:$E$8,2)</f>
        <v>0.02</v>
      </c>
      <c r="J756" s="0" t="n">
        <f aca="false">ROUND(E756*I756,2)</f>
        <v>667.07</v>
      </c>
      <c r="K756" s="1" t="n">
        <f aca="false">PV(H756/12,F756/30,0,-E756)</f>
        <v>33340.5924896075</v>
      </c>
      <c r="L756" s="0" t="n">
        <f aca="false">ROUND(E756-K756,2)</f>
        <v>12.96</v>
      </c>
      <c r="M756" s="0" t="n">
        <f aca="false">F756/E756</f>
        <v>0.000209872712200051</v>
      </c>
    </row>
    <row r="757" customFormat="false" ht="12.8" hidden="false" customHeight="false" outlineLevel="0" collapsed="false">
      <c r="A757" s="0" t="s">
        <v>1166</v>
      </c>
      <c r="B757" s="0" t="s">
        <v>1167</v>
      </c>
      <c r="C757" s="0" t="s">
        <v>36</v>
      </c>
      <c r="D757" s="0" t="s">
        <v>49</v>
      </c>
      <c r="E757" s="0" t="n">
        <v>40844.44</v>
      </c>
      <c r="F757" s="0" t="n">
        <v>256</v>
      </c>
      <c r="G757" s="0" t="str">
        <f aca="false">IF(F757&lt;=30,"Current",IF(F757&lt;=60,"31 to 60 days",IF(F757&lt;=90,"61 to 90 days",IF(F757&lt;=120,"91 to 120 days","Over 120 days"))))</f>
        <v>Over 120 days</v>
      </c>
      <c r="H757" s="0" t="n">
        <f aca="false">VLOOKUP(D757,Rates!$A$4:$B$7,2,FALSE())</f>
        <v>0.02</v>
      </c>
      <c r="I757" s="0" t="n">
        <f aca="false">VLOOKUP(F757,Rates!$D$4:$E$8,2)</f>
        <v>0.85</v>
      </c>
      <c r="J757" s="0" t="n">
        <f aca="false">ROUND(E757*I757,2)</f>
        <v>34717.77</v>
      </c>
      <c r="K757" s="1" t="n">
        <f aca="false">PV(H757/12,F757/30,0,-E757)</f>
        <v>40268.1293386699</v>
      </c>
      <c r="L757" s="0" t="n">
        <f aca="false">ROUND(E757-K757,2)</f>
        <v>576.31</v>
      </c>
      <c r="M757" s="0" t="n">
        <f aca="false">F757/E757</f>
        <v>0.00626768294534091</v>
      </c>
    </row>
    <row r="758" customFormat="false" ht="12.8" hidden="false" customHeight="false" outlineLevel="0" collapsed="false">
      <c r="A758" s="0" t="s">
        <v>1168</v>
      </c>
      <c r="B758" s="0" t="s">
        <v>526</v>
      </c>
      <c r="C758" s="0" t="s">
        <v>26</v>
      </c>
      <c r="D758" s="0" t="s">
        <v>23</v>
      </c>
      <c r="E758" s="0" t="n">
        <v>39471.71</v>
      </c>
      <c r="F758" s="0" t="n">
        <v>203</v>
      </c>
      <c r="G758" s="0" t="str">
        <f aca="false">IF(F758&lt;=30,"Current",IF(F758&lt;=60,"31 to 60 days",IF(F758&lt;=90,"61 to 90 days",IF(F758&lt;=120,"91 to 120 days","Over 120 days"))))</f>
        <v>Over 120 days</v>
      </c>
      <c r="H758" s="0" t="n">
        <f aca="false">VLOOKUP(D758,Rates!$A$4:$B$7,2,FALSE())</f>
        <v>0.115</v>
      </c>
      <c r="I758" s="0" t="n">
        <f aca="false">VLOOKUP(F758,Rates!$D$4:$E$8,2)</f>
        <v>0.85</v>
      </c>
      <c r="J758" s="0" t="n">
        <f aca="false">ROUND(E758*I758,2)</f>
        <v>33550.95</v>
      </c>
      <c r="K758" s="1" t="n">
        <f aca="false">PV(H758/12,F758/30,0,-E758)</f>
        <v>37004.7301289146</v>
      </c>
      <c r="L758" s="0" t="n">
        <f aca="false">ROUND(E758-K758,2)</f>
        <v>2466.98</v>
      </c>
      <c r="M758" s="0" t="n">
        <f aca="false">F758/E758</f>
        <v>0.00514292388143306</v>
      </c>
    </row>
    <row r="759" customFormat="false" ht="12.8" hidden="false" customHeight="false" outlineLevel="0" collapsed="false">
      <c r="A759" s="0" t="s">
        <v>1169</v>
      </c>
      <c r="B759" s="0" t="s">
        <v>1170</v>
      </c>
      <c r="C759" s="0" t="s">
        <v>36</v>
      </c>
      <c r="D759" s="0" t="s">
        <v>49</v>
      </c>
      <c r="E759" s="0" t="n">
        <v>13573.12</v>
      </c>
      <c r="F759" s="0" t="n">
        <v>284</v>
      </c>
      <c r="G759" s="0" t="str">
        <f aca="false">IF(F759&lt;=30,"Current",IF(F759&lt;=60,"31 to 60 days",IF(F759&lt;=90,"61 to 90 days",IF(F759&lt;=120,"91 to 120 days","Over 120 days"))))</f>
        <v>Over 120 days</v>
      </c>
      <c r="H759" s="0" t="n">
        <f aca="false">VLOOKUP(D759,Rates!$A$4:$B$7,2,FALSE())</f>
        <v>0.02</v>
      </c>
      <c r="I759" s="0" t="n">
        <f aca="false">VLOOKUP(F759,Rates!$D$4:$E$8,2)</f>
        <v>0.85</v>
      </c>
      <c r="J759" s="0" t="n">
        <f aca="false">ROUND(E759*I759,2)</f>
        <v>11537.15</v>
      </c>
      <c r="K759" s="1" t="n">
        <f aca="false">PV(H759/12,F759/30,0,-E759)</f>
        <v>13360.8223871426</v>
      </c>
      <c r="L759" s="0" t="n">
        <f aca="false">ROUND(E759-K759,2)</f>
        <v>212.3</v>
      </c>
      <c r="M759" s="0" t="n">
        <f aca="false">F759/E759</f>
        <v>0.0209237080347039</v>
      </c>
    </row>
    <row r="760" customFormat="false" ht="12.8" hidden="false" customHeight="false" outlineLevel="0" collapsed="false">
      <c r="A760" s="0" t="s">
        <v>1171</v>
      </c>
      <c r="B760" s="0" t="s">
        <v>30</v>
      </c>
      <c r="C760" s="0" t="s">
        <v>31</v>
      </c>
      <c r="D760" s="0" t="s">
        <v>20</v>
      </c>
      <c r="E760" s="0" t="n">
        <v>18638.67</v>
      </c>
      <c r="F760" s="0" t="n">
        <v>169</v>
      </c>
      <c r="G760" s="0" t="str">
        <f aca="false">IF(F760&lt;=30,"Current",IF(F760&lt;=60,"31 to 60 days",IF(F760&lt;=90,"61 to 90 days",IF(F760&lt;=120,"91 to 120 days","Over 120 days"))))</f>
        <v>Over 120 days</v>
      </c>
      <c r="H760" s="0" t="n">
        <f aca="false">VLOOKUP(D760,Rates!$A$4:$B$7,2,FALSE())</f>
        <v>0.05</v>
      </c>
      <c r="I760" s="0" t="n">
        <f aca="false">VLOOKUP(F760,Rates!$D$4:$E$8,2)</f>
        <v>0.85</v>
      </c>
      <c r="J760" s="0" t="n">
        <f aca="false">ROUND(E760*I760,2)</f>
        <v>15842.87</v>
      </c>
      <c r="K760" s="1" t="n">
        <f aca="false">PV(H760/12,F760/30,0,-E760)</f>
        <v>18207.1613527477</v>
      </c>
      <c r="L760" s="0" t="n">
        <f aca="false">ROUND(E760-K760,2)</f>
        <v>431.51</v>
      </c>
      <c r="M760" s="0" t="n">
        <f aca="false">F760/E760</f>
        <v>0.00906717056528175</v>
      </c>
    </row>
    <row r="761" customFormat="false" ht="12.8" hidden="false" customHeight="false" outlineLevel="0" collapsed="false">
      <c r="A761" s="0" t="s">
        <v>1172</v>
      </c>
      <c r="B761" s="0" t="s">
        <v>326</v>
      </c>
      <c r="C761" s="0" t="s">
        <v>42</v>
      </c>
      <c r="D761" s="0" t="s">
        <v>23</v>
      </c>
      <c r="E761" s="0" t="n">
        <v>19454.43</v>
      </c>
      <c r="F761" s="0" t="n">
        <v>98</v>
      </c>
      <c r="G761" s="0" t="str">
        <f aca="false">IF(F761&lt;=30,"Current",IF(F761&lt;=60,"31 to 60 days",IF(F761&lt;=90,"61 to 90 days",IF(F761&lt;=120,"91 to 120 days","Over 120 days"))))</f>
        <v>91 to 120 days</v>
      </c>
      <c r="H761" s="0" t="n">
        <f aca="false">VLOOKUP(D761,Rates!$A$4:$B$7,2,FALSE())</f>
        <v>0.115</v>
      </c>
      <c r="I761" s="0" t="n">
        <f aca="false">VLOOKUP(F761,Rates!$D$4:$E$8,2)</f>
        <v>0.5</v>
      </c>
      <c r="J761" s="0" t="n">
        <f aca="false">ROUND(E761*I761,2)</f>
        <v>9727.22</v>
      </c>
      <c r="K761" s="1" t="n">
        <f aca="false">PV(H761/12,F761/30,0,-E761)</f>
        <v>18857.6431964381</v>
      </c>
      <c r="L761" s="0" t="n">
        <f aca="false">ROUND(E761-K761,2)</f>
        <v>596.79</v>
      </c>
      <c r="M761" s="0" t="n">
        <f aca="false">F761/E761</f>
        <v>0.00503741307249814</v>
      </c>
    </row>
    <row r="762" customFormat="false" ht="12.8" hidden="false" customHeight="false" outlineLevel="0" collapsed="false">
      <c r="A762" s="0" t="s">
        <v>1173</v>
      </c>
      <c r="B762" s="0" t="s">
        <v>1174</v>
      </c>
      <c r="C762" s="0" t="s">
        <v>15</v>
      </c>
      <c r="D762" s="0" t="s">
        <v>49</v>
      </c>
      <c r="E762" s="0" t="n">
        <v>16928.19</v>
      </c>
      <c r="F762" s="0" t="n">
        <v>360</v>
      </c>
      <c r="G762" s="0" t="str">
        <f aca="false">IF(F762&lt;=30,"Current",IF(F762&lt;=60,"31 to 60 days",IF(F762&lt;=90,"61 to 90 days",IF(F762&lt;=120,"91 to 120 days","Over 120 days"))))</f>
        <v>Over 120 days</v>
      </c>
      <c r="H762" s="0" t="n">
        <f aca="false">VLOOKUP(D762,Rates!$A$4:$B$7,2,FALSE())</f>
        <v>0.02</v>
      </c>
      <c r="I762" s="0" t="n">
        <f aca="false">VLOOKUP(F762,Rates!$D$4:$E$8,2)</f>
        <v>0.85</v>
      </c>
      <c r="J762" s="0" t="n">
        <f aca="false">ROUND(E762*I762,2)</f>
        <v>14388.96</v>
      </c>
      <c r="K762" s="1" t="n">
        <f aca="false">PV(H762/12,F762/30,0,-E762)</f>
        <v>16593.2656247132</v>
      </c>
      <c r="L762" s="0" t="n">
        <f aca="false">ROUND(E762-K762,2)</f>
        <v>334.92</v>
      </c>
      <c r="M762" s="0" t="n">
        <f aca="false">F762/E762</f>
        <v>0.0212663019495882</v>
      </c>
    </row>
    <row r="763" customFormat="false" ht="12.8" hidden="false" customHeight="false" outlineLevel="0" collapsed="false">
      <c r="A763" s="0" t="s">
        <v>1175</v>
      </c>
      <c r="B763" s="0" t="s">
        <v>1176</v>
      </c>
      <c r="C763" s="0" t="s">
        <v>15</v>
      </c>
      <c r="D763" s="0" t="s">
        <v>16</v>
      </c>
      <c r="E763" s="0" t="n">
        <v>7716.48</v>
      </c>
      <c r="F763" s="0" t="n">
        <v>330</v>
      </c>
      <c r="G763" s="0" t="str">
        <f aca="false">IF(F763&lt;=30,"Current",IF(F763&lt;=60,"31 to 60 days",IF(F763&lt;=90,"61 to 90 days",IF(F763&lt;=120,"91 to 120 days","Over 120 days"))))</f>
        <v>Over 120 days</v>
      </c>
      <c r="H763" s="0" t="n">
        <f aca="false">VLOOKUP(D763,Rates!$A$4:$B$7,2,FALSE())</f>
        <v>0.085</v>
      </c>
      <c r="I763" s="0" t="n">
        <f aca="false">VLOOKUP(F763,Rates!$D$4:$E$8,2)</f>
        <v>0.85</v>
      </c>
      <c r="J763" s="0" t="n">
        <f aca="false">ROUND(E763*I763,2)</f>
        <v>6559.01</v>
      </c>
      <c r="K763" s="1" t="n">
        <f aca="false">PV(H763/12,F763/30,0,-E763)</f>
        <v>7140.02511223352</v>
      </c>
      <c r="L763" s="0" t="n">
        <f aca="false">ROUND(E763-K763,2)</f>
        <v>576.45</v>
      </c>
      <c r="M763" s="0" t="n">
        <f aca="false">F763/E763</f>
        <v>0.0427656133366509</v>
      </c>
    </row>
    <row r="764" customFormat="false" ht="12.8" hidden="false" customHeight="false" outlineLevel="0" collapsed="false">
      <c r="A764" s="0" t="s">
        <v>1177</v>
      </c>
      <c r="B764" s="0" t="s">
        <v>619</v>
      </c>
      <c r="C764" s="0" t="s">
        <v>26</v>
      </c>
      <c r="D764" s="0" t="s">
        <v>49</v>
      </c>
      <c r="E764" s="0" t="n">
        <v>32398.99</v>
      </c>
      <c r="F764" s="0" t="n">
        <v>144</v>
      </c>
      <c r="G764" s="0" t="str">
        <f aca="false">IF(F764&lt;=30,"Current",IF(F764&lt;=60,"31 to 60 days",IF(F764&lt;=90,"61 to 90 days",IF(F764&lt;=120,"91 to 120 days","Over 120 days"))))</f>
        <v>Over 120 days</v>
      </c>
      <c r="H764" s="0" t="n">
        <f aca="false">VLOOKUP(D764,Rates!$A$4:$B$7,2,FALSE())</f>
        <v>0.02</v>
      </c>
      <c r="I764" s="0" t="n">
        <f aca="false">VLOOKUP(F764,Rates!$D$4:$E$8,2)</f>
        <v>0.85</v>
      </c>
      <c r="J764" s="0" t="n">
        <f aca="false">ROUND(E764*I764,2)</f>
        <v>27539.14</v>
      </c>
      <c r="K764" s="1" t="n">
        <f aca="false">PV(H764/12,F764/30,0,-E764)</f>
        <v>32141.0461236303</v>
      </c>
      <c r="L764" s="0" t="n">
        <f aca="false">ROUND(E764-K764,2)</f>
        <v>257.94</v>
      </c>
      <c r="M764" s="0" t="n">
        <f aca="false">F764/E764</f>
        <v>0.00444458299471681</v>
      </c>
    </row>
    <row r="765" customFormat="false" ht="12.8" hidden="false" customHeight="false" outlineLevel="0" collapsed="false">
      <c r="A765" s="0" t="s">
        <v>1178</v>
      </c>
      <c r="B765" s="0" t="s">
        <v>18</v>
      </c>
      <c r="C765" s="0" t="s">
        <v>19</v>
      </c>
      <c r="D765" s="0" t="s">
        <v>20</v>
      </c>
      <c r="E765" s="0" t="n">
        <v>11402.95</v>
      </c>
      <c r="F765" s="0" t="n">
        <v>137</v>
      </c>
      <c r="G765" s="0" t="str">
        <f aca="false">IF(F765&lt;=30,"Current",IF(F765&lt;=60,"31 to 60 days",IF(F765&lt;=90,"61 to 90 days",IF(F765&lt;=120,"91 to 120 days","Over 120 days"))))</f>
        <v>Over 120 days</v>
      </c>
      <c r="H765" s="0" t="n">
        <f aca="false">VLOOKUP(D765,Rates!$A$4:$B$7,2,FALSE())</f>
        <v>0.05</v>
      </c>
      <c r="I765" s="0" t="n">
        <f aca="false">VLOOKUP(F765,Rates!$D$4:$E$8,2)</f>
        <v>0.85</v>
      </c>
      <c r="J765" s="0" t="n">
        <f aca="false">ROUND(E765*I765,2)</f>
        <v>9692.51</v>
      </c>
      <c r="K765" s="1" t="n">
        <f aca="false">PV(H765/12,F765/30,0,-E765)</f>
        <v>11188.4707133322</v>
      </c>
      <c r="L765" s="0" t="n">
        <f aca="false">ROUND(E765-K765,2)</f>
        <v>214.48</v>
      </c>
      <c r="M765" s="0" t="n">
        <f aca="false">F765/E765</f>
        <v>0.0120144348611544</v>
      </c>
    </row>
    <row r="766" customFormat="false" ht="12.8" hidden="false" customHeight="false" outlineLevel="0" collapsed="false">
      <c r="A766" s="0" t="s">
        <v>1179</v>
      </c>
      <c r="B766" s="0" t="s">
        <v>1180</v>
      </c>
      <c r="C766" s="0" t="s">
        <v>26</v>
      </c>
      <c r="D766" s="0" t="s">
        <v>16</v>
      </c>
      <c r="E766" s="0" t="n">
        <v>22759.89</v>
      </c>
      <c r="F766" s="0" t="n">
        <v>371</v>
      </c>
      <c r="G766" s="0" t="str">
        <f aca="false">IF(F766&lt;=30,"Current",IF(F766&lt;=60,"31 to 60 days",IF(F766&lt;=90,"61 to 90 days",IF(F766&lt;=120,"91 to 120 days","Over 120 days"))))</f>
        <v>Over 120 days</v>
      </c>
      <c r="H766" s="0" t="n">
        <f aca="false">VLOOKUP(D766,Rates!$A$4:$B$7,2,FALSE())</f>
        <v>0.085</v>
      </c>
      <c r="I766" s="0" t="n">
        <f aca="false">VLOOKUP(F766,Rates!$D$4:$E$8,2)</f>
        <v>0.85</v>
      </c>
      <c r="J766" s="0" t="n">
        <f aca="false">ROUND(E766*I766,2)</f>
        <v>19345.91</v>
      </c>
      <c r="K766" s="1" t="n">
        <f aca="false">PV(H766/12,F766/30,0,-E766)</f>
        <v>20857.452884376</v>
      </c>
      <c r="L766" s="0" t="n">
        <f aca="false">ROUND(E766-K766,2)</f>
        <v>1902.44</v>
      </c>
      <c r="M766" s="0" t="n">
        <f aca="false">F766/E766</f>
        <v>0.0163006060222611</v>
      </c>
    </row>
    <row r="767" customFormat="false" ht="12.8" hidden="false" customHeight="false" outlineLevel="0" collapsed="false">
      <c r="A767" s="0" t="s">
        <v>1181</v>
      </c>
      <c r="B767" s="0" t="s">
        <v>1182</v>
      </c>
      <c r="C767" s="0" t="s">
        <v>15</v>
      </c>
      <c r="D767" s="0" t="s">
        <v>49</v>
      </c>
      <c r="E767" s="0" t="n">
        <v>33945.38</v>
      </c>
      <c r="F767" s="0" t="n">
        <v>172</v>
      </c>
      <c r="G767" s="0" t="str">
        <f aca="false">IF(F767&lt;=30,"Current",IF(F767&lt;=60,"31 to 60 days",IF(F767&lt;=90,"61 to 90 days",IF(F767&lt;=120,"91 to 120 days","Over 120 days"))))</f>
        <v>Over 120 days</v>
      </c>
      <c r="H767" s="0" t="n">
        <f aca="false">VLOOKUP(D767,Rates!$A$4:$B$7,2,FALSE())</f>
        <v>0.02</v>
      </c>
      <c r="I767" s="0" t="n">
        <f aca="false">VLOOKUP(F767,Rates!$D$4:$E$8,2)</f>
        <v>0.85</v>
      </c>
      <c r="J767" s="0" t="n">
        <f aca="false">ROUND(E767*I767,2)</f>
        <v>28853.57</v>
      </c>
      <c r="K767" s="1" t="n">
        <f aca="false">PV(H767/12,F767/30,0,-E767)</f>
        <v>33622.825303483</v>
      </c>
      <c r="L767" s="0" t="n">
        <f aca="false">ROUND(E767-K767,2)</f>
        <v>322.55</v>
      </c>
      <c r="M767" s="0" t="n">
        <f aca="false">F767/E767</f>
        <v>0.00506696345717738</v>
      </c>
    </row>
    <row r="768" customFormat="false" ht="12.8" hidden="false" customHeight="false" outlineLevel="0" collapsed="false">
      <c r="A768" s="0" t="s">
        <v>1183</v>
      </c>
      <c r="B768" s="0" t="s">
        <v>1184</v>
      </c>
      <c r="C768" s="0" t="s">
        <v>26</v>
      </c>
      <c r="D768" s="0" t="s">
        <v>49</v>
      </c>
      <c r="E768" s="0" t="n">
        <v>11420.31</v>
      </c>
      <c r="F768" s="0" t="n">
        <v>94</v>
      </c>
      <c r="G768" s="0" t="str">
        <f aca="false">IF(F768&lt;=30,"Current",IF(F768&lt;=60,"31 to 60 days",IF(F768&lt;=90,"61 to 90 days",IF(F768&lt;=120,"91 to 120 days","Over 120 days"))))</f>
        <v>91 to 120 days</v>
      </c>
      <c r="H768" s="0" t="n">
        <f aca="false">VLOOKUP(D768,Rates!$A$4:$B$7,2,FALSE())</f>
        <v>0.02</v>
      </c>
      <c r="I768" s="0" t="n">
        <f aca="false">VLOOKUP(F768,Rates!$D$4:$E$8,2)</f>
        <v>0.5</v>
      </c>
      <c r="J768" s="0" t="n">
        <f aca="false">ROUND(E768*I768,2)</f>
        <v>5710.16</v>
      </c>
      <c r="K768" s="1" t="n">
        <f aca="false">PV(H768/12,F768/30,0,-E768)</f>
        <v>11360.875443575</v>
      </c>
      <c r="L768" s="0" t="n">
        <f aca="false">ROUND(E768-K768,2)</f>
        <v>59.43</v>
      </c>
      <c r="M768" s="0" t="n">
        <f aca="false">F768/E768</f>
        <v>0.00823094994794362</v>
      </c>
    </row>
    <row r="769" customFormat="false" ht="12.8" hidden="false" customHeight="false" outlineLevel="0" collapsed="false">
      <c r="A769" s="0" t="s">
        <v>1185</v>
      </c>
      <c r="B769" s="0" t="s">
        <v>330</v>
      </c>
      <c r="C769" s="0" t="s">
        <v>15</v>
      </c>
      <c r="D769" s="0" t="s">
        <v>23</v>
      </c>
      <c r="E769" s="0" t="n">
        <v>44846.67</v>
      </c>
      <c r="F769" s="0" t="n">
        <v>326</v>
      </c>
      <c r="G769" s="0" t="str">
        <f aca="false">IF(F769&lt;=30,"Current",IF(F769&lt;=60,"31 to 60 days",IF(F769&lt;=90,"61 to 90 days",IF(F769&lt;=120,"91 to 120 days","Over 120 days"))))</f>
        <v>Over 120 days</v>
      </c>
      <c r="H769" s="0" t="n">
        <f aca="false">VLOOKUP(D769,Rates!$A$4:$B$7,2,FALSE())</f>
        <v>0.115</v>
      </c>
      <c r="I769" s="0" t="n">
        <f aca="false">VLOOKUP(F769,Rates!$D$4:$E$8,2)</f>
        <v>0.85</v>
      </c>
      <c r="J769" s="0" t="n">
        <f aca="false">ROUND(E769*I769,2)</f>
        <v>38119.67</v>
      </c>
      <c r="K769" s="1" t="n">
        <f aca="false">PV(H769/12,F769/30,0,-E769)</f>
        <v>40431.3826992952</v>
      </c>
      <c r="L769" s="0" t="n">
        <f aca="false">ROUND(E769-K769,2)</f>
        <v>4415.29</v>
      </c>
      <c r="M769" s="0" t="n">
        <f aca="false">F769/E769</f>
        <v>0.00726921307646699</v>
      </c>
    </row>
    <row r="770" customFormat="false" ht="12.8" hidden="false" customHeight="false" outlineLevel="0" collapsed="false">
      <c r="A770" s="0" t="s">
        <v>1186</v>
      </c>
      <c r="B770" s="0" t="s">
        <v>1187</v>
      </c>
      <c r="C770" s="0" t="s">
        <v>15</v>
      </c>
      <c r="D770" s="0" t="s">
        <v>16</v>
      </c>
      <c r="E770" s="0" t="n">
        <v>5102.19</v>
      </c>
      <c r="F770" s="0" t="n">
        <v>355</v>
      </c>
      <c r="G770" s="0" t="str">
        <f aca="false">IF(F770&lt;=30,"Current",IF(F770&lt;=60,"31 to 60 days",IF(F770&lt;=90,"61 to 90 days",IF(F770&lt;=120,"91 to 120 days","Over 120 days"))))</f>
        <v>Over 120 days</v>
      </c>
      <c r="H770" s="0" t="n">
        <f aca="false">VLOOKUP(D770,Rates!$A$4:$B$7,2,FALSE())</f>
        <v>0.085</v>
      </c>
      <c r="I770" s="0" t="n">
        <f aca="false">VLOOKUP(F770,Rates!$D$4:$E$8,2)</f>
        <v>0.85</v>
      </c>
      <c r="J770" s="0" t="n">
        <f aca="false">ROUND(E770*I770,2)</f>
        <v>4336.86</v>
      </c>
      <c r="K770" s="1" t="n">
        <f aca="false">PV(H770/12,F770/30,0,-E770)</f>
        <v>4693.34656345615</v>
      </c>
      <c r="L770" s="0" t="n">
        <f aca="false">ROUND(E770-K770,2)</f>
        <v>408.84</v>
      </c>
      <c r="M770" s="0" t="n">
        <f aca="false">F770/E770</f>
        <v>0.0695779655402876</v>
      </c>
    </row>
    <row r="771" customFormat="false" ht="12.8" hidden="false" customHeight="false" outlineLevel="0" collapsed="false">
      <c r="A771" s="0" t="s">
        <v>1188</v>
      </c>
      <c r="B771" s="0" t="s">
        <v>28</v>
      </c>
      <c r="C771" s="0" t="s">
        <v>15</v>
      </c>
      <c r="D771" s="0" t="s">
        <v>20</v>
      </c>
      <c r="E771" s="0" t="n">
        <v>9495.86</v>
      </c>
      <c r="F771" s="0" t="n">
        <v>326</v>
      </c>
      <c r="G771" s="0" t="str">
        <f aca="false">IF(F771&lt;=30,"Current",IF(F771&lt;=60,"31 to 60 days",IF(F771&lt;=90,"61 to 90 days",IF(F771&lt;=120,"91 to 120 days","Over 120 days"))))</f>
        <v>Over 120 days</v>
      </c>
      <c r="H771" s="0" t="n">
        <f aca="false">VLOOKUP(D771,Rates!$A$4:$B$7,2,FALSE())</f>
        <v>0.05</v>
      </c>
      <c r="I771" s="0" t="n">
        <f aca="false">VLOOKUP(F771,Rates!$D$4:$E$8,2)</f>
        <v>0.85</v>
      </c>
      <c r="J771" s="0" t="n">
        <f aca="false">ROUND(E771*I771,2)</f>
        <v>8071.48</v>
      </c>
      <c r="K771" s="1" t="n">
        <f aca="false">PV(H771/12,F771/30,0,-E771)</f>
        <v>9076.35067572579</v>
      </c>
      <c r="L771" s="0" t="n">
        <f aca="false">ROUND(E771-K771,2)</f>
        <v>419.51</v>
      </c>
      <c r="M771" s="0" t="n">
        <f aca="false">F771/E771</f>
        <v>0.0343307504533555</v>
      </c>
    </row>
    <row r="772" customFormat="false" ht="12.8" hidden="false" customHeight="false" outlineLevel="0" collapsed="false">
      <c r="A772" s="0" t="s">
        <v>1189</v>
      </c>
      <c r="B772" s="0" t="s">
        <v>30</v>
      </c>
      <c r="C772" s="0" t="s">
        <v>31</v>
      </c>
      <c r="D772" s="0" t="s">
        <v>20</v>
      </c>
      <c r="E772" s="0" t="n">
        <v>5463.61</v>
      </c>
      <c r="F772" s="0" t="n">
        <v>192</v>
      </c>
      <c r="G772" s="0" t="str">
        <f aca="false">IF(F772&lt;=30,"Current",IF(F772&lt;=60,"31 to 60 days",IF(F772&lt;=90,"61 to 90 days",IF(F772&lt;=120,"91 to 120 days","Over 120 days"))))</f>
        <v>Over 120 days</v>
      </c>
      <c r="H772" s="0" t="n">
        <f aca="false">VLOOKUP(D772,Rates!$A$4:$B$7,2,FALSE())</f>
        <v>0.05</v>
      </c>
      <c r="I772" s="0" t="n">
        <f aca="false">VLOOKUP(F772,Rates!$D$4:$E$8,2)</f>
        <v>0.85</v>
      </c>
      <c r="J772" s="0" t="n">
        <f aca="false">ROUND(E772*I772,2)</f>
        <v>4644.07</v>
      </c>
      <c r="K772" s="1" t="n">
        <f aca="false">PV(H772/12,F772/30,0,-E772)</f>
        <v>5320.13393340392</v>
      </c>
      <c r="L772" s="0" t="n">
        <f aca="false">ROUND(E772-K772,2)</f>
        <v>143.48</v>
      </c>
      <c r="M772" s="0" t="n">
        <f aca="false">F772/E772</f>
        <v>0.0351416005168744</v>
      </c>
    </row>
    <row r="773" customFormat="false" ht="12.8" hidden="false" customHeight="false" outlineLevel="0" collapsed="false">
      <c r="A773" s="0" t="s">
        <v>1190</v>
      </c>
      <c r="B773" s="0" t="s">
        <v>1007</v>
      </c>
      <c r="C773" s="0" t="s">
        <v>19</v>
      </c>
      <c r="D773" s="0" t="s">
        <v>23</v>
      </c>
      <c r="E773" s="0" t="n">
        <v>6984.92</v>
      </c>
      <c r="F773" s="0" t="n">
        <v>0</v>
      </c>
      <c r="G773" s="0" t="str">
        <f aca="false">IF(F773&lt;=30,"Current",IF(F773&lt;=60,"31 to 60 days",IF(F773&lt;=90,"61 to 90 days",IF(F773&lt;=120,"91 to 120 days","Over 120 days"))))</f>
        <v>Current</v>
      </c>
      <c r="H773" s="0" t="n">
        <f aca="false">VLOOKUP(D773,Rates!$A$4:$B$7,2,FALSE())</f>
        <v>0.115</v>
      </c>
      <c r="I773" s="0" t="n">
        <f aca="false">VLOOKUP(F773,Rates!$D$4:$E$8,2)</f>
        <v>0.02</v>
      </c>
      <c r="J773" s="0" t="n">
        <f aca="false">ROUND(E773*I773,2)</f>
        <v>139.7</v>
      </c>
      <c r="K773" s="1" t="n">
        <f aca="false">PV(H773/12,F773/30,0,-E773)</f>
        <v>6984.92</v>
      </c>
      <c r="L773" s="0" t="n">
        <f aca="false">ROUND(E773-K773,2)</f>
        <v>0</v>
      </c>
      <c r="M773" s="0" t="n">
        <f aca="false">F773/E773</f>
        <v>0</v>
      </c>
    </row>
    <row r="774" customFormat="false" ht="12.8" hidden="false" customHeight="false" outlineLevel="0" collapsed="false">
      <c r="A774" s="0" t="s">
        <v>1191</v>
      </c>
      <c r="B774" s="0" t="s">
        <v>1192</v>
      </c>
      <c r="C774" s="0" t="s">
        <v>19</v>
      </c>
      <c r="D774" s="0" t="s">
        <v>49</v>
      </c>
      <c r="E774" s="0" t="n">
        <v>31488.2</v>
      </c>
      <c r="F774" s="0" t="n">
        <v>187</v>
      </c>
      <c r="G774" s="0" t="str">
        <f aca="false">IF(F774&lt;=30,"Current",IF(F774&lt;=60,"31 to 60 days",IF(F774&lt;=90,"61 to 90 days",IF(F774&lt;=120,"91 to 120 days","Over 120 days"))))</f>
        <v>Over 120 days</v>
      </c>
      <c r="H774" s="0" t="n">
        <f aca="false">VLOOKUP(D774,Rates!$A$4:$B$7,2,FALSE())</f>
        <v>0.02</v>
      </c>
      <c r="I774" s="0" t="n">
        <f aca="false">VLOOKUP(F774,Rates!$D$4:$E$8,2)</f>
        <v>0.85</v>
      </c>
      <c r="J774" s="0" t="n">
        <f aca="false">ROUND(E774*I774,2)</f>
        <v>26764.97</v>
      </c>
      <c r="K774" s="1" t="n">
        <f aca="false">PV(H774/12,F774/30,0,-E774)</f>
        <v>31163.0354554156</v>
      </c>
      <c r="L774" s="0" t="n">
        <f aca="false">ROUND(E774-K774,2)</f>
        <v>325.16</v>
      </c>
      <c r="M774" s="0" t="n">
        <f aca="false">F774/E774</f>
        <v>0.00593873260459474</v>
      </c>
    </row>
    <row r="775" customFormat="false" ht="12.8" hidden="false" customHeight="false" outlineLevel="0" collapsed="false">
      <c r="A775" s="0" t="s">
        <v>1193</v>
      </c>
      <c r="B775" s="0" t="s">
        <v>38</v>
      </c>
      <c r="C775" s="0" t="s">
        <v>15</v>
      </c>
      <c r="D775" s="0" t="s">
        <v>23</v>
      </c>
      <c r="E775" s="0" t="n">
        <v>39887.94</v>
      </c>
      <c r="F775" s="0" t="n">
        <v>100</v>
      </c>
      <c r="G775" s="0" t="str">
        <f aca="false">IF(F775&lt;=30,"Current",IF(F775&lt;=60,"31 to 60 days",IF(F775&lt;=90,"61 to 90 days",IF(F775&lt;=120,"91 to 120 days","Over 120 days"))))</f>
        <v>91 to 120 days</v>
      </c>
      <c r="H775" s="0" t="n">
        <f aca="false">VLOOKUP(D775,Rates!$A$4:$B$7,2,FALSE())</f>
        <v>0.115</v>
      </c>
      <c r="I775" s="0" t="n">
        <f aca="false">VLOOKUP(F775,Rates!$D$4:$E$8,2)</f>
        <v>0.5</v>
      </c>
      <c r="J775" s="0" t="n">
        <f aca="false">ROUND(E775*I775,2)</f>
        <v>19943.97</v>
      </c>
      <c r="K775" s="1" t="n">
        <f aca="false">PV(H775/12,F775/30,0,-E775)</f>
        <v>38639.7552146623</v>
      </c>
      <c r="L775" s="0" t="n">
        <f aca="false">ROUND(E775-K775,2)</f>
        <v>1248.18</v>
      </c>
      <c r="M775" s="0" t="n">
        <f aca="false">F775/E775</f>
        <v>0.0025070234261283</v>
      </c>
    </row>
    <row r="776" customFormat="false" ht="12.8" hidden="false" customHeight="false" outlineLevel="0" collapsed="false">
      <c r="A776" s="0" t="s">
        <v>1194</v>
      </c>
      <c r="B776" s="0" t="s">
        <v>368</v>
      </c>
      <c r="C776" s="0" t="s">
        <v>42</v>
      </c>
      <c r="D776" s="0" t="s">
        <v>23</v>
      </c>
      <c r="E776" s="0" t="n">
        <v>32838.94</v>
      </c>
      <c r="F776" s="0" t="n">
        <v>163</v>
      </c>
      <c r="G776" s="0" t="str">
        <f aca="false">IF(F776&lt;=30,"Current",IF(F776&lt;=60,"31 to 60 days",IF(F776&lt;=90,"61 to 90 days",IF(F776&lt;=120,"91 to 120 days","Over 120 days"))))</f>
        <v>Over 120 days</v>
      </c>
      <c r="H776" s="0" t="n">
        <f aca="false">VLOOKUP(D776,Rates!$A$4:$B$7,2,FALSE())</f>
        <v>0.115</v>
      </c>
      <c r="I776" s="0" t="n">
        <f aca="false">VLOOKUP(F776,Rates!$D$4:$E$8,2)</f>
        <v>0.85</v>
      </c>
      <c r="J776" s="0" t="n">
        <f aca="false">ROUND(E776*I776,2)</f>
        <v>27913.1</v>
      </c>
      <c r="K776" s="1" t="n">
        <f aca="false">PV(H776/12,F776/30,0,-E776)</f>
        <v>31180.5180614452</v>
      </c>
      <c r="L776" s="0" t="n">
        <f aca="false">ROUND(E776-K776,2)</f>
        <v>1658.42</v>
      </c>
      <c r="M776" s="0" t="n">
        <f aca="false">F776/E776</f>
        <v>0.00496361941037074</v>
      </c>
    </row>
    <row r="777" customFormat="false" ht="12.8" hidden="false" customHeight="false" outlineLevel="0" collapsed="false">
      <c r="A777" s="0" t="s">
        <v>1195</v>
      </c>
      <c r="B777" s="0" t="s">
        <v>30</v>
      </c>
      <c r="C777" s="0" t="s">
        <v>31</v>
      </c>
      <c r="D777" s="0" t="s">
        <v>20</v>
      </c>
      <c r="E777" s="0" t="n">
        <v>32543.79</v>
      </c>
      <c r="F777" s="0" t="n">
        <v>236</v>
      </c>
      <c r="G777" s="0" t="str">
        <f aca="false">IF(F777&lt;=30,"Current",IF(F777&lt;=60,"31 to 60 days",IF(F777&lt;=90,"61 to 90 days",IF(F777&lt;=120,"91 to 120 days","Over 120 days"))))</f>
        <v>Over 120 days</v>
      </c>
      <c r="H777" s="0" t="n">
        <f aca="false">VLOOKUP(D777,Rates!$A$4:$B$7,2,FALSE())</f>
        <v>0.05</v>
      </c>
      <c r="I777" s="0" t="n">
        <f aca="false">VLOOKUP(F777,Rates!$D$4:$E$8,2)</f>
        <v>0.85</v>
      </c>
      <c r="J777" s="0" t="n">
        <f aca="false">ROUND(E777*I777,2)</f>
        <v>27662.22</v>
      </c>
      <c r="K777" s="1" t="n">
        <f aca="false">PV(H777/12,F777/30,0,-E777)</f>
        <v>31496.5144461766</v>
      </c>
      <c r="L777" s="0" t="n">
        <f aca="false">ROUND(E777-K777,2)</f>
        <v>1047.28</v>
      </c>
      <c r="M777" s="0" t="n">
        <f aca="false">F777/E777</f>
        <v>0.00725176754151867</v>
      </c>
    </row>
    <row r="778" customFormat="false" ht="12.8" hidden="false" customHeight="false" outlineLevel="0" collapsed="false">
      <c r="A778" s="0" t="s">
        <v>1196</v>
      </c>
      <c r="B778" s="0" t="s">
        <v>303</v>
      </c>
      <c r="C778" s="0" t="s">
        <v>31</v>
      </c>
      <c r="D778" s="0" t="s">
        <v>23</v>
      </c>
      <c r="E778" s="0" t="n">
        <v>13895.08</v>
      </c>
      <c r="F778" s="0" t="n">
        <v>141</v>
      </c>
      <c r="G778" s="0" t="str">
        <f aca="false">IF(F778&lt;=30,"Current",IF(F778&lt;=60,"31 to 60 days",IF(F778&lt;=90,"61 to 90 days",IF(F778&lt;=120,"91 to 120 days","Over 120 days"))))</f>
        <v>Over 120 days</v>
      </c>
      <c r="H778" s="0" t="n">
        <f aca="false">VLOOKUP(D778,Rates!$A$4:$B$7,2,FALSE())</f>
        <v>0.115</v>
      </c>
      <c r="I778" s="0" t="n">
        <f aca="false">VLOOKUP(F778,Rates!$D$4:$E$8,2)</f>
        <v>0.85</v>
      </c>
      <c r="J778" s="0" t="n">
        <f aca="false">ROUND(E778*I778,2)</f>
        <v>11810.82</v>
      </c>
      <c r="K778" s="1" t="n">
        <f aca="false">PV(H778/12,F778/30,0,-E778)</f>
        <v>13285.9569579903</v>
      </c>
      <c r="L778" s="0" t="n">
        <f aca="false">ROUND(E778-K778,2)</f>
        <v>609.12</v>
      </c>
      <c r="M778" s="0" t="n">
        <f aca="false">F778/E778</f>
        <v>0.0101474766608037</v>
      </c>
    </row>
    <row r="779" customFormat="false" ht="12.8" hidden="false" customHeight="false" outlineLevel="0" collapsed="false">
      <c r="A779" s="0" t="s">
        <v>1197</v>
      </c>
      <c r="B779" s="0" t="s">
        <v>1198</v>
      </c>
      <c r="C779" s="0" t="s">
        <v>36</v>
      </c>
      <c r="D779" s="0" t="s">
        <v>16</v>
      </c>
      <c r="E779" s="0" t="n">
        <v>19057.01</v>
      </c>
      <c r="F779" s="0" t="n">
        <v>110</v>
      </c>
      <c r="G779" s="0" t="str">
        <f aca="false">IF(F779&lt;=30,"Current",IF(F779&lt;=60,"31 to 60 days",IF(F779&lt;=90,"61 to 90 days",IF(F779&lt;=120,"91 to 120 days","Over 120 days"))))</f>
        <v>91 to 120 days</v>
      </c>
      <c r="H779" s="0" t="n">
        <f aca="false">VLOOKUP(D779,Rates!$A$4:$B$7,2,FALSE())</f>
        <v>0.085</v>
      </c>
      <c r="I779" s="0" t="n">
        <f aca="false">VLOOKUP(F779,Rates!$D$4:$E$8,2)</f>
        <v>0.5</v>
      </c>
      <c r="J779" s="0" t="n">
        <f aca="false">ROUND(E779*I779,2)</f>
        <v>9528.51</v>
      </c>
      <c r="K779" s="1" t="n">
        <f aca="false">PV(H779/12,F779/30,0,-E779)</f>
        <v>18570.1293994745</v>
      </c>
      <c r="L779" s="0" t="n">
        <f aca="false">ROUND(E779-K779,2)</f>
        <v>486.88</v>
      </c>
      <c r="M779" s="0" t="n">
        <f aca="false">F779/E779</f>
        <v>0.00577215418368359</v>
      </c>
    </row>
    <row r="780" customFormat="false" ht="12.8" hidden="false" customHeight="false" outlineLevel="0" collapsed="false">
      <c r="A780" s="0" t="s">
        <v>1199</v>
      </c>
      <c r="B780" s="0" t="s">
        <v>97</v>
      </c>
      <c r="C780" s="0" t="s">
        <v>42</v>
      </c>
      <c r="D780" s="0" t="s">
        <v>20</v>
      </c>
      <c r="E780" s="0" t="n">
        <v>7499.51</v>
      </c>
      <c r="F780" s="0" t="n">
        <v>193</v>
      </c>
      <c r="G780" s="0" t="str">
        <f aca="false">IF(F780&lt;=30,"Current",IF(F780&lt;=60,"31 to 60 days",IF(F780&lt;=90,"61 to 90 days",IF(F780&lt;=120,"91 to 120 days","Over 120 days"))))</f>
        <v>Over 120 days</v>
      </c>
      <c r="H780" s="0" t="n">
        <f aca="false">VLOOKUP(D780,Rates!$A$4:$B$7,2,FALSE())</f>
        <v>0.05</v>
      </c>
      <c r="I780" s="0" t="n">
        <f aca="false">VLOOKUP(F780,Rates!$D$4:$E$8,2)</f>
        <v>0.85</v>
      </c>
      <c r="J780" s="0" t="n">
        <f aca="false">ROUND(E780*I780,2)</f>
        <v>6374.58</v>
      </c>
      <c r="K780" s="1" t="n">
        <f aca="false">PV(H780/12,F780/30,0,-E780)</f>
        <v>7301.55850924574</v>
      </c>
      <c r="L780" s="0" t="n">
        <f aca="false">ROUND(E780-K780,2)</f>
        <v>197.95</v>
      </c>
      <c r="M780" s="0" t="n">
        <f aca="false">F780/E780</f>
        <v>0.0257350146876263</v>
      </c>
    </row>
    <row r="781" customFormat="false" ht="12.8" hidden="false" customHeight="false" outlineLevel="0" collapsed="false">
      <c r="A781" s="0" t="s">
        <v>1200</v>
      </c>
      <c r="B781" s="0" t="s">
        <v>55</v>
      </c>
      <c r="C781" s="0" t="s">
        <v>26</v>
      </c>
      <c r="D781" s="0" t="s">
        <v>23</v>
      </c>
      <c r="E781" s="0" t="n">
        <v>20326.56</v>
      </c>
      <c r="F781" s="0" t="n">
        <v>307</v>
      </c>
      <c r="G781" s="0" t="str">
        <f aca="false">IF(F781&lt;=30,"Current",IF(F781&lt;=60,"31 to 60 days",IF(F781&lt;=90,"61 to 90 days",IF(F781&lt;=120,"91 to 120 days","Over 120 days"))))</f>
        <v>Over 120 days</v>
      </c>
      <c r="H781" s="0" t="n">
        <f aca="false">VLOOKUP(D781,Rates!$A$4:$B$7,2,FALSE())</f>
        <v>0.115</v>
      </c>
      <c r="I781" s="0" t="n">
        <f aca="false">VLOOKUP(F781,Rates!$D$4:$E$8,2)</f>
        <v>0.85</v>
      </c>
      <c r="J781" s="0" t="n">
        <f aca="false">ROUND(E781*I781,2)</f>
        <v>17277.58</v>
      </c>
      <c r="K781" s="1" t="n">
        <f aca="false">PV(H781/12,F781/30,0,-E781)</f>
        <v>18436.3801766235</v>
      </c>
      <c r="L781" s="0" t="n">
        <f aca="false">ROUND(E781-K781,2)</f>
        <v>1890.18</v>
      </c>
      <c r="M781" s="0" t="n">
        <f aca="false">F781/E781</f>
        <v>0.0151033918183893</v>
      </c>
    </row>
    <row r="782" customFormat="false" ht="12.8" hidden="false" customHeight="false" outlineLevel="0" collapsed="false">
      <c r="A782" s="0" t="s">
        <v>1201</v>
      </c>
      <c r="B782" s="0" t="s">
        <v>33</v>
      </c>
      <c r="C782" s="0" t="s">
        <v>26</v>
      </c>
      <c r="D782" s="0" t="s">
        <v>20</v>
      </c>
      <c r="E782" s="0" t="n">
        <v>4354.15</v>
      </c>
      <c r="F782" s="0" t="n">
        <v>229</v>
      </c>
      <c r="G782" s="0" t="str">
        <f aca="false">IF(F782&lt;=30,"Current",IF(F782&lt;=60,"31 to 60 days",IF(F782&lt;=90,"61 to 90 days",IF(F782&lt;=120,"91 to 120 days","Over 120 days"))))</f>
        <v>Over 120 days</v>
      </c>
      <c r="H782" s="0" t="n">
        <f aca="false">VLOOKUP(D782,Rates!$A$4:$B$7,2,FALSE())</f>
        <v>0.05</v>
      </c>
      <c r="I782" s="0" t="n">
        <f aca="false">VLOOKUP(F782,Rates!$D$4:$E$8,2)</f>
        <v>0.85</v>
      </c>
      <c r="J782" s="0" t="n">
        <f aca="false">ROUND(E782*I782,2)</f>
        <v>3701.03</v>
      </c>
      <c r="K782" s="1" t="n">
        <f aca="false">PV(H782/12,F782/30,0,-E782)</f>
        <v>4218.12170697324</v>
      </c>
      <c r="L782" s="0" t="n">
        <f aca="false">ROUND(E782-K782,2)</f>
        <v>136.03</v>
      </c>
      <c r="M782" s="0" t="n">
        <f aca="false">F782/E782</f>
        <v>0.0525935027502498</v>
      </c>
    </row>
    <row r="783" customFormat="false" ht="12.8" hidden="false" customHeight="false" outlineLevel="0" collapsed="false">
      <c r="A783" s="0" t="s">
        <v>1202</v>
      </c>
      <c r="B783" s="0" t="s">
        <v>1010</v>
      </c>
      <c r="C783" s="0" t="s">
        <v>19</v>
      </c>
      <c r="D783" s="0" t="s">
        <v>49</v>
      </c>
      <c r="E783" s="0" t="n">
        <v>43460.62</v>
      </c>
      <c r="F783" s="0" t="n">
        <v>396</v>
      </c>
      <c r="G783" s="0" t="str">
        <f aca="false">IF(F783&lt;=30,"Current",IF(F783&lt;=60,"31 to 60 days",IF(F783&lt;=90,"61 to 90 days",IF(F783&lt;=120,"91 to 120 days","Over 120 days"))))</f>
        <v>Over 120 days</v>
      </c>
      <c r="H783" s="0" t="n">
        <f aca="false">VLOOKUP(D783,Rates!$A$4:$B$7,2,FALSE())</f>
        <v>0.02</v>
      </c>
      <c r="I783" s="0" t="n">
        <f aca="false">VLOOKUP(F783,Rates!$D$4:$E$8,2)</f>
        <v>0.85</v>
      </c>
      <c r="J783" s="0" t="n">
        <f aca="false">ROUND(E783*I783,2)</f>
        <v>36941.53</v>
      </c>
      <c r="K783" s="1" t="n">
        <f aca="false">PV(H783/12,F783/30,0,-E783)</f>
        <v>42515.7057067673</v>
      </c>
      <c r="L783" s="0" t="n">
        <f aca="false">ROUND(E783-K783,2)</f>
        <v>944.91</v>
      </c>
      <c r="M783" s="0" t="n">
        <f aca="false">F783/E783</f>
        <v>0.00911169697993264</v>
      </c>
    </row>
    <row r="784" customFormat="false" ht="12.8" hidden="false" customHeight="false" outlineLevel="0" collapsed="false">
      <c r="A784" s="0" t="s">
        <v>1203</v>
      </c>
      <c r="B784" s="0" t="s">
        <v>1204</v>
      </c>
      <c r="C784" s="0" t="s">
        <v>31</v>
      </c>
      <c r="D784" s="0" t="s">
        <v>49</v>
      </c>
      <c r="E784" s="0" t="n">
        <v>21417.69</v>
      </c>
      <c r="F784" s="0" t="n">
        <v>10</v>
      </c>
      <c r="G784" s="0" t="str">
        <f aca="false">IF(F784&lt;=30,"Current",IF(F784&lt;=60,"31 to 60 days",IF(F784&lt;=90,"61 to 90 days",IF(F784&lt;=120,"91 to 120 days","Over 120 days"))))</f>
        <v>Current</v>
      </c>
      <c r="H784" s="0" t="n">
        <f aca="false">VLOOKUP(D784,Rates!$A$4:$B$7,2,FALSE())</f>
        <v>0.02</v>
      </c>
      <c r="I784" s="0" t="n">
        <f aca="false">VLOOKUP(F784,Rates!$D$4:$E$8,2)</f>
        <v>0.02</v>
      </c>
      <c r="J784" s="0" t="n">
        <f aca="false">ROUND(E784*I784,2)</f>
        <v>428.35</v>
      </c>
      <c r="K784" s="1" t="n">
        <f aca="false">PV(H784/12,F784/30,0,-E784)</f>
        <v>21405.8044870153</v>
      </c>
      <c r="L784" s="0" t="n">
        <f aca="false">ROUND(E784-K784,2)</f>
        <v>11.89</v>
      </c>
      <c r="M784" s="0" t="n">
        <f aca="false">F784/E784</f>
        <v>0.000466903760396196</v>
      </c>
    </row>
    <row r="785" customFormat="false" ht="12.8" hidden="false" customHeight="false" outlineLevel="0" collapsed="false">
      <c r="A785" s="0" t="s">
        <v>1205</v>
      </c>
      <c r="B785" s="0" t="s">
        <v>51</v>
      </c>
      <c r="C785" s="0" t="s">
        <v>36</v>
      </c>
      <c r="D785" s="0" t="s">
        <v>20</v>
      </c>
      <c r="E785" s="0" t="n">
        <v>11754.57</v>
      </c>
      <c r="F785" s="0" t="n">
        <v>5</v>
      </c>
      <c r="G785" s="0" t="str">
        <f aca="false">IF(F785&lt;=30,"Current",IF(F785&lt;=60,"31 to 60 days",IF(F785&lt;=90,"61 to 90 days",IF(F785&lt;=120,"91 to 120 days","Over 120 days"))))</f>
        <v>Current</v>
      </c>
      <c r="H785" s="0" t="n">
        <f aca="false">VLOOKUP(D785,Rates!$A$4:$B$7,2,FALSE())</f>
        <v>0.05</v>
      </c>
      <c r="I785" s="0" t="n">
        <f aca="false">VLOOKUP(F785,Rates!$D$4:$E$8,2)</f>
        <v>0.02</v>
      </c>
      <c r="J785" s="0" t="n">
        <f aca="false">ROUND(E785*I785,2)</f>
        <v>235.09</v>
      </c>
      <c r="K785" s="1" t="n">
        <f aca="false">PV(H785/12,F785/30,0,-E785)</f>
        <v>11746.4268850299</v>
      </c>
      <c r="L785" s="0" t="n">
        <f aca="false">ROUND(E785-K785,2)</f>
        <v>8.14</v>
      </c>
      <c r="M785" s="0" t="n">
        <f aca="false">F785/E785</f>
        <v>0.000425366474486094</v>
      </c>
    </row>
    <row r="786" customFormat="false" ht="12.8" hidden="false" customHeight="false" outlineLevel="0" collapsed="false">
      <c r="A786" s="0" t="s">
        <v>1206</v>
      </c>
      <c r="B786" s="0" t="s">
        <v>1207</v>
      </c>
      <c r="C786" s="0" t="s">
        <v>36</v>
      </c>
      <c r="D786" s="0" t="s">
        <v>16</v>
      </c>
      <c r="E786" s="0" t="n">
        <v>18923.9</v>
      </c>
      <c r="F786" s="0" t="n">
        <v>235</v>
      </c>
      <c r="G786" s="0" t="str">
        <f aca="false">IF(F786&lt;=30,"Current",IF(F786&lt;=60,"31 to 60 days",IF(F786&lt;=90,"61 to 90 days",IF(F786&lt;=120,"91 to 120 days","Over 120 days"))))</f>
        <v>Over 120 days</v>
      </c>
      <c r="H786" s="0" t="n">
        <f aca="false">VLOOKUP(D786,Rates!$A$4:$B$7,2,FALSE())</f>
        <v>0.085</v>
      </c>
      <c r="I786" s="0" t="n">
        <f aca="false">VLOOKUP(F786,Rates!$D$4:$E$8,2)</f>
        <v>0.85</v>
      </c>
      <c r="J786" s="0" t="n">
        <f aca="false">ROUND(E786*I786,2)</f>
        <v>16085.32</v>
      </c>
      <c r="K786" s="1" t="n">
        <f aca="false">PV(H786/12,F786/30,0,-E786)</f>
        <v>17905.987472422</v>
      </c>
      <c r="L786" s="0" t="n">
        <f aca="false">ROUND(E786-K786,2)</f>
        <v>1017.91</v>
      </c>
      <c r="M786" s="0" t="n">
        <f aca="false">F786/E786</f>
        <v>0.0124181590475536</v>
      </c>
    </row>
    <row r="787" customFormat="false" ht="12.8" hidden="false" customHeight="false" outlineLevel="0" collapsed="false">
      <c r="A787" s="0" t="s">
        <v>1208</v>
      </c>
      <c r="B787" s="0" t="s">
        <v>1209</v>
      </c>
      <c r="C787" s="0" t="s">
        <v>42</v>
      </c>
      <c r="D787" s="0" t="s">
        <v>16</v>
      </c>
      <c r="E787" s="0" t="n">
        <v>23890.46</v>
      </c>
      <c r="F787" s="0" t="n">
        <v>3</v>
      </c>
      <c r="G787" s="0" t="str">
        <f aca="false">IF(F787&lt;=30,"Current",IF(F787&lt;=60,"31 to 60 days",IF(F787&lt;=90,"61 to 90 days",IF(F787&lt;=120,"91 to 120 days","Over 120 days"))))</f>
        <v>Current</v>
      </c>
      <c r="H787" s="0" t="n">
        <f aca="false">VLOOKUP(D787,Rates!$A$4:$B$7,2,FALSE())</f>
        <v>0.085</v>
      </c>
      <c r="I787" s="0" t="n">
        <f aca="false">VLOOKUP(F787,Rates!$D$4:$E$8,2)</f>
        <v>0.02</v>
      </c>
      <c r="J787" s="0" t="n">
        <f aca="false">ROUND(E787*I787,2)</f>
        <v>477.81</v>
      </c>
      <c r="K787" s="1" t="n">
        <f aca="false">PV(H787/12,F787/30,0,-E787)</f>
        <v>23873.6031926157</v>
      </c>
      <c r="L787" s="0" t="n">
        <f aca="false">ROUND(E787-K787,2)</f>
        <v>16.86</v>
      </c>
      <c r="M787" s="0" t="n">
        <f aca="false">F787/E787</f>
        <v>0.000125573136724868</v>
      </c>
    </row>
    <row r="788" customFormat="false" ht="12.8" hidden="false" customHeight="false" outlineLevel="0" collapsed="false">
      <c r="A788" s="0" t="s">
        <v>1210</v>
      </c>
      <c r="B788" s="0" t="s">
        <v>28</v>
      </c>
      <c r="C788" s="0" t="s">
        <v>15</v>
      </c>
      <c r="D788" s="0" t="s">
        <v>20</v>
      </c>
      <c r="E788" s="0" t="n">
        <v>4549.57</v>
      </c>
      <c r="F788" s="0" t="n">
        <v>98</v>
      </c>
      <c r="G788" s="0" t="str">
        <f aca="false">IF(F788&lt;=30,"Current",IF(F788&lt;=60,"31 to 60 days",IF(F788&lt;=90,"61 to 90 days",IF(F788&lt;=120,"91 to 120 days","Over 120 days"))))</f>
        <v>91 to 120 days</v>
      </c>
      <c r="H788" s="0" t="n">
        <f aca="false">VLOOKUP(D788,Rates!$A$4:$B$7,2,FALSE())</f>
        <v>0.05</v>
      </c>
      <c r="I788" s="0" t="n">
        <f aca="false">VLOOKUP(F788,Rates!$D$4:$E$8,2)</f>
        <v>0.5</v>
      </c>
      <c r="J788" s="0" t="n">
        <f aca="false">ROUND(E788*I788,2)</f>
        <v>2274.79</v>
      </c>
      <c r="K788" s="1" t="n">
        <f aca="false">PV(H788/12,F788/30,0,-E788)</f>
        <v>4488.1917387699</v>
      </c>
      <c r="L788" s="0" t="n">
        <f aca="false">ROUND(E788-K788,2)</f>
        <v>61.38</v>
      </c>
      <c r="M788" s="0" t="n">
        <f aca="false">F788/E788</f>
        <v>0.0215404972338045</v>
      </c>
    </row>
    <row r="789" customFormat="false" ht="12.8" hidden="false" customHeight="false" outlineLevel="0" collapsed="false">
      <c r="A789" s="0" t="s">
        <v>1211</v>
      </c>
      <c r="B789" s="0" t="s">
        <v>357</v>
      </c>
      <c r="C789" s="0" t="s">
        <v>19</v>
      </c>
      <c r="D789" s="0" t="s">
        <v>23</v>
      </c>
      <c r="E789" s="0" t="n">
        <v>29850.19</v>
      </c>
      <c r="F789" s="0" t="n">
        <v>297</v>
      </c>
      <c r="G789" s="0" t="str">
        <f aca="false">IF(F789&lt;=30,"Current",IF(F789&lt;=60,"31 to 60 days",IF(F789&lt;=90,"61 to 90 days",IF(F789&lt;=120,"91 to 120 days","Over 120 days"))))</f>
        <v>Over 120 days</v>
      </c>
      <c r="H789" s="0" t="n">
        <f aca="false">VLOOKUP(D789,Rates!$A$4:$B$7,2,FALSE())</f>
        <v>0.115</v>
      </c>
      <c r="I789" s="0" t="n">
        <f aca="false">VLOOKUP(F789,Rates!$D$4:$E$8,2)</f>
        <v>0.85</v>
      </c>
      <c r="J789" s="0" t="n">
        <f aca="false">ROUND(E789*I789,2)</f>
        <v>25372.66</v>
      </c>
      <c r="K789" s="1" t="n">
        <f aca="false">PV(H789/12,F789/30,0,-E789)</f>
        <v>27160.6145815362</v>
      </c>
      <c r="L789" s="0" t="n">
        <f aca="false">ROUND(E789-K789,2)</f>
        <v>2689.58</v>
      </c>
      <c r="M789" s="0" t="n">
        <f aca="false">F789/E789</f>
        <v>0.00994968541238766</v>
      </c>
    </row>
    <row r="790" customFormat="false" ht="12.8" hidden="false" customHeight="false" outlineLevel="0" collapsed="false">
      <c r="A790" s="0" t="s">
        <v>1212</v>
      </c>
      <c r="B790" s="0" t="s">
        <v>1213</v>
      </c>
      <c r="C790" s="0" t="s">
        <v>15</v>
      </c>
      <c r="D790" s="0" t="s">
        <v>49</v>
      </c>
      <c r="E790" s="0" t="n">
        <v>25483.26</v>
      </c>
      <c r="F790" s="0" t="n">
        <v>32</v>
      </c>
      <c r="G790" s="0" t="str">
        <f aca="false">IF(F790&lt;=30,"Current",IF(F790&lt;=60,"31 to 60 days",IF(F790&lt;=90,"61 to 90 days",IF(F790&lt;=120,"91 to 120 days","Over 120 days"))))</f>
        <v>31 to 60 days</v>
      </c>
      <c r="H790" s="0" t="n">
        <f aca="false">VLOOKUP(D790,Rates!$A$4:$B$7,2,FALSE())</f>
        <v>0.02</v>
      </c>
      <c r="I790" s="0" t="n">
        <f aca="false">VLOOKUP(F790,Rates!$D$4:$E$8,2)</f>
        <v>0.1</v>
      </c>
      <c r="J790" s="0" t="n">
        <f aca="false">ROUND(E790*I790,2)</f>
        <v>2548.33</v>
      </c>
      <c r="K790" s="1" t="n">
        <f aca="false">PV(H790/12,F790/30,0,-E790)</f>
        <v>25438.0343167845</v>
      </c>
      <c r="L790" s="0" t="n">
        <f aca="false">ROUND(E790-K790,2)</f>
        <v>45.23</v>
      </c>
      <c r="M790" s="0" t="n">
        <f aca="false">F790/E790</f>
        <v>0.0012557263081725</v>
      </c>
    </row>
    <row r="791" customFormat="false" ht="12.8" hidden="false" customHeight="false" outlineLevel="0" collapsed="false">
      <c r="A791" s="0" t="s">
        <v>1214</v>
      </c>
      <c r="B791" s="0" t="s">
        <v>82</v>
      </c>
      <c r="C791" s="0" t="s">
        <v>36</v>
      </c>
      <c r="D791" s="0" t="s">
        <v>23</v>
      </c>
      <c r="E791" s="0" t="n">
        <v>29237.72</v>
      </c>
      <c r="F791" s="0" t="n">
        <v>327</v>
      </c>
      <c r="G791" s="0" t="str">
        <f aca="false">IF(F791&lt;=30,"Current",IF(F791&lt;=60,"31 to 60 days",IF(F791&lt;=90,"61 to 90 days",IF(F791&lt;=120,"91 to 120 days","Over 120 days"))))</f>
        <v>Over 120 days</v>
      </c>
      <c r="H791" s="0" t="n">
        <f aca="false">VLOOKUP(D791,Rates!$A$4:$B$7,2,FALSE())</f>
        <v>0.115</v>
      </c>
      <c r="I791" s="0" t="n">
        <f aca="false">VLOOKUP(F791,Rates!$D$4:$E$8,2)</f>
        <v>0.85</v>
      </c>
      <c r="J791" s="0" t="n">
        <f aca="false">ROUND(E791*I791,2)</f>
        <v>24852.06</v>
      </c>
      <c r="K791" s="1" t="n">
        <f aca="false">PV(H791/12,F791/30,0,-E791)</f>
        <v>26350.8011217538</v>
      </c>
      <c r="L791" s="0" t="n">
        <f aca="false">ROUND(E791-K791,2)</f>
        <v>2886.92</v>
      </c>
      <c r="M791" s="0" t="n">
        <f aca="false">F791/E791</f>
        <v>0.0111841826243633</v>
      </c>
    </row>
    <row r="792" customFormat="false" ht="12.8" hidden="false" customHeight="false" outlineLevel="0" collapsed="false">
      <c r="A792" s="0" t="s">
        <v>1215</v>
      </c>
      <c r="B792" s="0" t="s">
        <v>97</v>
      </c>
      <c r="C792" s="0" t="s">
        <v>42</v>
      </c>
      <c r="D792" s="0" t="s">
        <v>20</v>
      </c>
      <c r="E792" s="0" t="n">
        <v>16183.55</v>
      </c>
      <c r="F792" s="0" t="n">
        <v>332</v>
      </c>
      <c r="G792" s="0" t="str">
        <f aca="false">IF(F792&lt;=30,"Current",IF(F792&lt;=60,"31 to 60 days",IF(F792&lt;=90,"61 to 90 days",IF(F792&lt;=120,"91 to 120 days","Over 120 days"))))</f>
        <v>Over 120 days</v>
      </c>
      <c r="H792" s="0" t="n">
        <f aca="false">VLOOKUP(D792,Rates!$A$4:$B$7,2,FALSE())</f>
        <v>0.05</v>
      </c>
      <c r="I792" s="0" t="n">
        <f aca="false">VLOOKUP(F792,Rates!$D$4:$E$8,2)</f>
        <v>0.85</v>
      </c>
      <c r="J792" s="0" t="n">
        <f aca="false">ROUND(E792*I792,2)</f>
        <v>13756.02</v>
      </c>
      <c r="K792" s="1" t="n">
        <f aca="false">PV(H792/12,F792/30,0,-E792)</f>
        <v>15455.7326824005</v>
      </c>
      <c r="L792" s="0" t="n">
        <f aca="false">ROUND(E792-K792,2)</f>
        <v>727.82</v>
      </c>
      <c r="M792" s="0" t="n">
        <f aca="false">F792/E792</f>
        <v>0.0205146584031316</v>
      </c>
    </row>
    <row r="793" customFormat="false" ht="12.8" hidden="false" customHeight="false" outlineLevel="0" collapsed="false">
      <c r="A793" s="0" t="s">
        <v>1216</v>
      </c>
      <c r="B793" s="0" t="s">
        <v>53</v>
      </c>
      <c r="C793" s="0" t="s">
        <v>19</v>
      </c>
      <c r="D793" s="0" t="s">
        <v>23</v>
      </c>
      <c r="E793" s="0" t="n">
        <v>10811.36</v>
      </c>
      <c r="F793" s="0" t="n">
        <v>232</v>
      </c>
      <c r="G793" s="0" t="str">
        <f aca="false">IF(F793&lt;=30,"Current",IF(F793&lt;=60,"31 to 60 days",IF(F793&lt;=90,"61 to 90 days",IF(F793&lt;=120,"91 to 120 days","Over 120 days"))))</f>
        <v>Over 120 days</v>
      </c>
      <c r="H793" s="0" t="n">
        <f aca="false">VLOOKUP(D793,Rates!$A$4:$B$7,2,FALSE())</f>
        <v>0.115</v>
      </c>
      <c r="I793" s="0" t="n">
        <f aca="false">VLOOKUP(F793,Rates!$D$4:$E$8,2)</f>
        <v>0.85</v>
      </c>
      <c r="J793" s="0" t="n">
        <f aca="false">ROUND(E793*I793,2)</f>
        <v>9189.66</v>
      </c>
      <c r="K793" s="1" t="n">
        <f aca="false">PV(H793/12,F793/30,0,-E793)</f>
        <v>10042.6315369212</v>
      </c>
      <c r="L793" s="0" t="n">
        <f aca="false">ROUND(E793-K793,2)</f>
        <v>768.73</v>
      </c>
      <c r="M793" s="0" t="n">
        <f aca="false">F793/E793</f>
        <v>0.0214589098873777</v>
      </c>
    </row>
    <row r="794" customFormat="false" ht="12.8" hidden="false" customHeight="false" outlineLevel="0" collapsed="false">
      <c r="A794" s="0" t="s">
        <v>1217</v>
      </c>
      <c r="B794" s="0" t="s">
        <v>1218</v>
      </c>
      <c r="C794" s="0" t="s">
        <v>19</v>
      </c>
      <c r="D794" s="0" t="s">
        <v>49</v>
      </c>
      <c r="E794" s="0" t="n">
        <v>7507.15</v>
      </c>
      <c r="F794" s="0" t="n">
        <v>74</v>
      </c>
      <c r="G794" s="0" t="str">
        <f aca="false">IF(F794&lt;=30,"Current",IF(F794&lt;=60,"31 to 60 days",IF(F794&lt;=90,"61 to 90 days",IF(F794&lt;=120,"91 to 120 days","Over 120 days"))))</f>
        <v>61 to 90 days</v>
      </c>
      <c r="H794" s="0" t="n">
        <f aca="false">VLOOKUP(D794,Rates!$A$4:$B$7,2,FALSE())</f>
        <v>0.02</v>
      </c>
      <c r="I794" s="0" t="n">
        <f aca="false">VLOOKUP(F794,Rates!$D$4:$E$8,2)</f>
        <v>0.25</v>
      </c>
      <c r="J794" s="0" t="n">
        <f aca="false">ROUND(E794*I794,2)</f>
        <v>1876.79</v>
      </c>
      <c r="K794" s="1" t="n">
        <f aca="false">PV(H794/12,F794/30,0,-E794)</f>
        <v>7476.37621047006</v>
      </c>
      <c r="L794" s="0" t="n">
        <f aca="false">ROUND(E794-K794,2)</f>
        <v>30.77</v>
      </c>
      <c r="M794" s="0" t="n">
        <f aca="false">F794/E794</f>
        <v>0.00985726940316898</v>
      </c>
    </row>
    <row r="795" customFormat="false" ht="12.8" hidden="false" customHeight="false" outlineLevel="0" collapsed="false">
      <c r="A795" s="0" t="s">
        <v>1219</v>
      </c>
      <c r="B795" s="0" t="s">
        <v>1220</v>
      </c>
      <c r="C795" s="0" t="s">
        <v>31</v>
      </c>
      <c r="D795" s="0" t="s">
        <v>16</v>
      </c>
      <c r="E795" s="0" t="n">
        <v>18510.81</v>
      </c>
      <c r="F795" s="0" t="n">
        <v>118</v>
      </c>
      <c r="G795" s="0" t="str">
        <f aca="false">IF(F795&lt;=30,"Current",IF(F795&lt;=60,"31 to 60 days",IF(F795&lt;=90,"61 to 90 days",IF(F795&lt;=120,"91 to 120 days","Over 120 days"))))</f>
        <v>91 to 120 days</v>
      </c>
      <c r="H795" s="0" t="n">
        <f aca="false">VLOOKUP(D795,Rates!$A$4:$B$7,2,FALSE())</f>
        <v>0.085</v>
      </c>
      <c r="I795" s="0" t="n">
        <f aca="false">VLOOKUP(F795,Rates!$D$4:$E$8,2)</f>
        <v>0.5</v>
      </c>
      <c r="J795" s="0" t="n">
        <f aca="false">ROUND(E795*I795,2)</f>
        <v>9255.41</v>
      </c>
      <c r="K795" s="1" t="n">
        <f aca="false">PV(H795/12,F795/30,0,-E795)</f>
        <v>18003.9645408265</v>
      </c>
      <c r="L795" s="0" t="n">
        <f aca="false">ROUND(E795-K795,2)</f>
        <v>506.85</v>
      </c>
      <c r="M795" s="0" t="n">
        <f aca="false">F795/E795</f>
        <v>0.00637465351327143</v>
      </c>
    </row>
    <row r="796" customFormat="false" ht="12.8" hidden="false" customHeight="false" outlineLevel="0" collapsed="false">
      <c r="A796" s="0" t="s">
        <v>1221</v>
      </c>
      <c r="B796" s="0" t="s">
        <v>1222</v>
      </c>
      <c r="C796" s="0" t="s">
        <v>19</v>
      </c>
      <c r="D796" s="0" t="s">
        <v>49</v>
      </c>
      <c r="E796" s="0" t="n">
        <v>22854.61</v>
      </c>
      <c r="F796" s="0" t="n">
        <v>364</v>
      </c>
      <c r="G796" s="0" t="str">
        <f aca="false">IF(F796&lt;=30,"Current",IF(F796&lt;=60,"31 to 60 days",IF(F796&lt;=90,"61 to 90 days",IF(F796&lt;=120,"91 to 120 days","Over 120 days"))))</f>
        <v>Over 120 days</v>
      </c>
      <c r="H796" s="0" t="n">
        <f aca="false">VLOOKUP(D796,Rates!$A$4:$B$7,2,FALSE())</f>
        <v>0.02</v>
      </c>
      <c r="I796" s="0" t="n">
        <f aca="false">VLOOKUP(F796,Rates!$D$4:$E$8,2)</f>
        <v>0.85</v>
      </c>
      <c r="J796" s="0" t="n">
        <f aca="false">ROUND(E796*I796,2)</f>
        <v>19426.42</v>
      </c>
      <c r="K796" s="1" t="n">
        <f aca="false">PV(H796/12,F796/30,0,-E796)</f>
        <v>22397.457735453</v>
      </c>
      <c r="L796" s="0" t="n">
        <f aca="false">ROUND(E796-K796,2)</f>
        <v>457.15</v>
      </c>
      <c r="M796" s="0" t="n">
        <f aca="false">F796/E796</f>
        <v>0.0159267648846338</v>
      </c>
    </row>
    <row r="797" customFormat="false" ht="12.8" hidden="false" customHeight="false" outlineLevel="0" collapsed="false">
      <c r="A797" s="0" t="s">
        <v>1223</v>
      </c>
      <c r="B797" s="0" t="s">
        <v>349</v>
      </c>
      <c r="C797" s="0" t="s">
        <v>15</v>
      </c>
      <c r="D797" s="0" t="s">
        <v>49</v>
      </c>
      <c r="E797" s="0" t="n">
        <v>29277.17</v>
      </c>
      <c r="F797" s="0" t="n">
        <v>382</v>
      </c>
      <c r="G797" s="0" t="str">
        <f aca="false">IF(F797&lt;=30,"Current",IF(F797&lt;=60,"31 to 60 days",IF(F797&lt;=90,"61 to 90 days",IF(F797&lt;=120,"91 to 120 days","Over 120 days"))))</f>
        <v>Over 120 days</v>
      </c>
      <c r="H797" s="0" t="n">
        <f aca="false">VLOOKUP(D797,Rates!$A$4:$B$7,2,FALSE())</f>
        <v>0.02</v>
      </c>
      <c r="I797" s="0" t="n">
        <f aca="false">VLOOKUP(F797,Rates!$D$4:$E$8,2)</f>
        <v>0.85</v>
      </c>
      <c r="J797" s="0" t="n">
        <f aca="false">ROUND(E797*I797,2)</f>
        <v>24885.59</v>
      </c>
      <c r="K797" s="1" t="n">
        <f aca="false">PV(H797/12,F797/30,0,-E797)</f>
        <v>28662.896306794</v>
      </c>
      <c r="L797" s="0" t="n">
        <f aca="false">ROUND(E797-K797,2)</f>
        <v>614.27</v>
      </c>
      <c r="M797" s="0" t="n">
        <f aca="false">F797/E797</f>
        <v>0.0130477091877391</v>
      </c>
    </row>
    <row r="798" customFormat="false" ht="12.8" hidden="false" customHeight="false" outlineLevel="0" collapsed="false">
      <c r="A798" s="0" t="s">
        <v>1224</v>
      </c>
      <c r="B798" s="0" t="s">
        <v>1225</v>
      </c>
      <c r="C798" s="0" t="s">
        <v>15</v>
      </c>
      <c r="D798" s="0" t="s">
        <v>49</v>
      </c>
      <c r="E798" s="0" t="n">
        <v>43611.72</v>
      </c>
      <c r="F798" s="0" t="n">
        <v>12</v>
      </c>
      <c r="G798" s="0" t="str">
        <f aca="false">IF(F798&lt;=30,"Current",IF(F798&lt;=60,"31 to 60 days",IF(F798&lt;=90,"61 to 90 days",IF(F798&lt;=120,"91 to 120 days","Over 120 days"))))</f>
        <v>Current</v>
      </c>
      <c r="H798" s="0" t="n">
        <f aca="false">VLOOKUP(D798,Rates!$A$4:$B$7,2,FALSE())</f>
        <v>0.02</v>
      </c>
      <c r="I798" s="0" t="n">
        <f aca="false">VLOOKUP(F798,Rates!$D$4:$E$8,2)</f>
        <v>0.02</v>
      </c>
      <c r="J798" s="0" t="n">
        <f aca="false">ROUND(E798*I798,2)</f>
        <v>872.23</v>
      </c>
      <c r="K798" s="1" t="n">
        <f aca="false">PV(H798/12,F798/30,0,-E798)</f>
        <v>43582.6793950637</v>
      </c>
      <c r="L798" s="0" t="n">
        <f aca="false">ROUND(E798-K798,2)</f>
        <v>29.04</v>
      </c>
      <c r="M798" s="0" t="n">
        <f aca="false">F798/E798</f>
        <v>0.000275155394008766</v>
      </c>
    </row>
    <row r="799" customFormat="false" ht="12.8" hidden="false" customHeight="false" outlineLevel="0" collapsed="false">
      <c r="A799" s="0" t="s">
        <v>1226</v>
      </c>
      <c r="B799" s="0" t="s">
        <v>33</v>
      </c>
      <c r="C799" s="0" t="s">
        <v>26</v>
      </c>
      <c r="D799" s="0" t="s">
        <v>20</v>
      </c>
      <c r="E799" s="0" t="n">
        <v>33134.95</v>
      </c>
      <c r="F799" s="0" t="n">
        <v>381</v>
      </c>
      <c r="G799" s="0" t="str">
        <f aca="false">IF(F799&lt;=30,"Current",IF(F799&lt;=60,"31 to 60 days",IF(F799&lt;=90,"61 to 90 days",IF(F799&lt;=120,"91 to 120 days","Over 120 days"))))</f>
        <v>Over 120 days</v>
      </c>
      <c r="H799" s="0" t="n">
        <f aca="false">VLOOKUP(D799,Rates!$A$4:$B$7,2,FALSE())</f>
        <v>0.05</v>
      </c>
      <c r="I799" s="0" t="n">
        <f aca="false">VLOOKUP(F799,Rates!$D$4:$E$8,2)</f>
        <v>0.85</v>
      </c>
      <c r="J799" s="0" t="n">
        <f aca="false">ROUND(E799*I799,2)</f>
        <v>28164.71</v>
      </c>
      <c r="K799" s="1" t="n">
        <f aca="false">PV(H799/12,F799/30,0,-E799)</f>
        <v>31430.5983343032</v>
      </c>
      <c r="L799" s="0" t="n">
        <f aca="false">ROUND(E799-K799,2)</f>
        <v>1704.35</v>
      </c>
      <c r="M799" s="0" t="n">
        <f aca="false">F799/E799</f>
        <v>0.0114984329235445</v>
      </c>
    </row>
    <row r="800" customFormat="false" ht="12.8" hidden="false" customHeight="false" outlineLevel="0" collapsed="false">
      <c r="A800" s="0" t="s">
        <v>1227</v>
      </c>
      <c r="B800" s="0" t="s">
        <v>1228</v>
      </c>
      <c r="C800" s="0" t="s">
        <v>15</v>
      </c>
      <c r="D800" s="0" t="s">
        <v>49</v>
      </c>
      <c r="E800" s="0" t="n">
        <v>31528.25</v>
      </c>
      <c r="F800" s="0" t="n">
        <v>159</v>
      </c>
      <c r="G800" s="0" t="str">
        <f aca="false">IF(F800&lt;=30,"Current",IF(F800&lt;=60,"31 to 60 days",IF(F800&lt;=90,"61 to 90 days",IF(F800&lt;=120,"91 to 120 days","Over 120 days"))))</f>
        <v>Over 120 days</v>
      </c>
      <c r="H800" s="0" t="n">
        <f aca="false">VLOOKUP(D800,Rates!$A$4:$B$7,2,FALSE())</f>
        <v>0.02</v>
      </c>
      <c r="I800" s="0" t="n">
        <f aca="false">VLOOKUP(F800,Rates!$D$4:$E$8,2)</f>
        <v>0.85</v>
      </c>
      <c r="J800" s="0" t="n">
        <f aca="false">ROUND(E800*I800,2)</f>
        <v>26799.01</v>
      </c>
      <c r="K800" s="1" t="n">
        <f aca="false">PV(H800/12,F800/30,0,-E800)</f>
        <v>31251.2066716512</v>
      </c>
      <c r="L800" s="0" t="n">
        <f aca="false">ROUND(E800-K800,2)</f>
        <v>277.04</v>
      </c>
      <c r="M800" s="0" t="n">
        <f aca="false">F800/E800</f>
        <v>0.00504309627080476</v>
      </c>
    </row>
    <row r="801" customFormat="false" ht="12.8" hidden="false" customHeight="false" outlineLevel="0" collapsed="false">
      <c r="A801" s="0" t="s">
        <v>1229</v>
      </c>
      <c r="B801" s="0" t="s">
        <v>1230</v>
      </c>
      <c r="C801" s="0" t="s">
        <v>26</v>
      </c>
      <c r="D801" s="0" t="s">
        <v>16</v>
      </c>
      <c r="E801" s="0" t="n">
        <v>0</v>
      </c>
      <c r="F801" s="0" t="n">
        <v>140</v>
      </c>
      <c r="G801" s="0" t="str">
        <f aca="false">IF(F801&lt;=30,"Current",IF(F801&lt;=60,"31 to 60 days",IF(F801&lt;=90,"61 to 90 days",IF(F801&lt;=120,"91 to 120 days","Over 120 days"))))</f>
        <v>Over 120 days</v>
      </c>
      <c r="H801" s="0" t="n">
        <f aca="false">VLOOKUP(D801,Rates!$A$4:$B$7,2,FALSE())</f>
        <v>0.085</v>
      </c>
      <c r="I801" s="0" t="n">
        <f aca="false">VLOOKUP(F801,Rates!$D$4:$E$8,2)</f>
        <v>0.85</v>
      </c>
      <c r="J801" s="0" t="n">
        <f aca="false">ROUND(E801*I801,2)</f>
        <v>0</v>
      </c>
      <c r="K801" s="1" t="n">
        <f aca="false">PV(H801/12,F801/30,0,-E801)</f>
        <v>-0</v>
      </c>
      <c r="L801" s="0" t="n">
        <f aca="false">ROUND(E801-K801,2)</f>
        <v>0</v>
      </c>
      <c r="M801" s="0" t="e">
        <f aca="false">F801/E801</f>
        <v>#DIV/0!</v>
      </c>
    </row>
    <row r="802" customFormat="false" ht="12.8" hidden="false" customHeight="false" outlineLevel="0" collapsed="false">
      <c r="A802" s="0" t="s">
        <v>1231</v>
      </c>
      <c r="B802" s="0" t="s">
        <v>1232</v>
      </c>
      <c r="C802" s="0" t="s">
        <v>36</v>
      </c>
      <c r="D802" s="0" t="s">
        <v>16</v>
      </c>
      <c r="E802" s="0" t="n">
        <v>24711.11</v>
      </c>
      <c r="F802" s="0" t="n">
        <v>52</v>
      </c>
      <c r="G802" s="0" t="str">
        <f aca="false">IF(F802&lt;=30,"Current",IF(F802&lt;=60,"31 to 60 days",IF(F802&lt;=90,"61 to 90 days",IF(F802&lt;=120,"91 to 120 days","Over 120 days"))))</f>
        <v>31 to 60 days</v>
      </c>
      <c r="H802" s="0" t="n">
        <f aca="false">VLOOKUP(D802,Rates!$A$4:$B$7,2,FALSE())</f>
        <v>0.085</v>
      </c>
      <c r="I802" s="0" t="n">
        <f aca="false">VLOOKUP(F802,Rates!$D$4:$E$8,2)</f>
        <v>0.1</v>
      </c>
      <c r="J802" s="0" t="n">
        <f aca="false">ROUND(E802*I802,2)</f>
        <v>2471.11</v>
      </c>
      <c r="K802" s="1" t="n">
        <f aca="false">PV(H802/12,F802/30,0,-E802)</f>
        <v>24410.6238649459</v>
      </c>
      <c r="L802" s="0" t="n">
        <f aca="false">ROUND(E802-K802,2)</f>
        <v>300.49</v>
      </c>
      <c r="M802" s="0" t="n">
        <f aca="false">F802/E802</f>
        <v>0.00210431664138114</v>
      </c>
    </row>
    <row r="803" customFormat="false" ht="12.8" hidden="false" customHeight="false" outlineLevel="0" collapsed="false">
      <c r="A803" s="0" t="s">
        <v>1233</v>
      </c>
      <c r="B803" s="0" t="s">
        <v>194</v>
      </c>
      <c r="C803" s="0" t="s">
        <v>15</v>
      </c>
      <c r="D803" s="0" t="s">
        <v>23</v>
      </c>
      <c r="E803" s="0" t="n">
        <v>10589.04</v>
      </c>
      <c r="F803" s="0" t="n">
        <v>342</v>
      </c>
      <c r="G803" s="0" t="str">
        <f aca="false">IF(F803&lt;=30,"Current",IF(F803&lt;=60,"31 to 60 days",IF(F803&lt;=90,"61 to 90 days",IF(F803&lt;=120,"91 to 120 days","Over 120 days"))))</f>
        <v>Over 120 days</v>
      </c>
      <c r="H803" s="0" t="n">
        <f aca="false">VLOOKUP(D803,Rates!$A$4:$B$7,2,FALSE())</f>
        <v>0.115</v>
      </c>
      <c r="I803" s="0" t="n">
        <f aca="false">VLOOKUP(F803,Rates!$D$4:$E$8,2)</f>
        <v>0.85</v>
      </c>
      <c r="J803" s="0" t="n">
        <f aca="false">ROUND(E803*I803,2)</f>
        <v>9000.68</v>
      </c>
      <c r="K803" s="1" t="n">
        <f aca="false">PV(H803/12,F803/30,0,-E803)</f>
        <v>9498.079999537</v>
      </c>
      <c r="L803" s="0" t="n">
        <f aca="false">ROUND(E803-K803,2)</f>
        <v>1090.96</v>
      </c>
      <c r="M803" s="0" t="n">
        <f aca="false">F803/E803</f>
        <v>0.0322975453865506</v>
      </c>
    </row>
    <row r="804" customFormat="false" ht="12.8" hidden="false" customHeight="false" outlineLevel="0" collapsed="false">
      <c r="A804" s="0" t="s">
        <v>1234</v>
      </c>
      <c r="B804" s="0" t="s">
        <v>97</v>
      </c>
      <c r="C804" s="0" t="s">
        <v>42</v>
      </c>
      <c r="D804" s="0" t="s">
        <v>20</v>
      </c>
      <c r="E804" s="0" t="n">
        <v>24476.99</v>
      </c>
      <c r="F804" s="0" t="n">
        <v>299</v>
      </c>
      <c r="G804" s="0" t="str">
        <f aca="false">IF(F804&lt;=30,"Current",IF(F804&lt;=60,"31 to 60 days",IF(F804&lt;=90,"61 to 90 days",IF(F804&lt;=120,"91 to 120 days","Over 120 days"))))</f>
        <v>Over 120 days</v>
      </c>
      <c r="H804" s="0" t="n">
        <f aca="false">VLOOKUP(D804,Rates!$A$4:$B$7,2,FALSE())</f>
        <v>0.05</v>
      </c>
      <c r="I804" s="0" t="n">
        <f aca="false">VLOOKUP(F804,Rates!$D$4:$E$8,2)</f>
        <v>0.85</v>
      </c>
      <c r="J804" s="0" t="n">
        <f aca="false">ROUND(E804*I804,2)</f>
        <v>20805.44</v>
      </c>
      <c r="K804" s="1" t="n">
        <f aca="false">PV(H804/12,F804/30,0,-E804)</f>
        <v>23483.3577969433</v>
      </c>
      <c r="L804" s="0" t="n">
        <f aca="false">ROUND(E804-K804,2)</f>
        <v>993.63</v>
      </c>
      <c r="M804" s="0" t="n">
        <f aca="false">F804/E804</f>
        <v>0.0122155542817969</v>
      </c>
    </row>
    <row r="805" customFormat="false" ht="12.8" hidden="false" customHeight="false" outlineLevel="0" collapsed="false">
      <c r="A805" s="0" t="s">
        <v>1235</v>
      </c>
      <c r="B805" s="0" t="s">
        <v>1236</v>
      </c>
      <c r="C805" s="0" t="s">
        <v>19</v>
      </c>
      <c r="D805" s="0" t="s">
        <v>49</v>
      </c>
      <c r="E805" s="0" t="n">
        <v>21123.93</v>
      </c>
      <c r="F805" s="0" t="n">
        <v>23</v>
      </c>
      <c r="G805" s="0" t="str">
        <f aca="false">IF(F805&lt;=30,"Current",IF(F805&lt;=60,"31 to 60 days",IF(F805&lt;=90,"61 to 90 days",IF(F805&lt;=120,"91 to 120 days","Over 120 days"))))</f>
        <v>Current</v>
      </c>
      <c r="H805" s="0" t="n">
        <f aca="false">VLOOKUP(D805,Rates!$A$4:$B$7,2,FALSE())</f>
        <v>0.02</v>
      </c>
      <c r="I805" s="0" t="n">
        <f aca="false">VLOOKUP(F805,Rates!$D$4:$E$8,2)</f>
        <v>0.02</v>
      </c>
      <c r="J805" s="0" t="n">
        <f aca="false">ROUND(E805*I805,2)</f>
        <v>422.48</v>
      </c>
      <c r="K805" s="1" t="n">
        <f aca="false">PV(H805/12,F805/30,0,-E805)</f>
        <v>21096.9779884473</v>
      </c>
      <c r="L805" s="0" t="n">
        <f aca="false">ROUND(E805-K805,2)</f>
        <v>26.95</v>
      </c>
      <c r="M805" s="0" t="n">
        <f aca="false">F805/E805</f>
        <v>0.00108881254577155</v>
      </c>
    </row>
    <row r="806" customFormat="false" ht="12.8" hidden="false" customHeight="false" outlineLevel="0" collapsed="false">
      <c r="A806" s="0" t="s">
        <v>1237</v>
      </c>
      <c r="B806" s="0" t="s">
        <v>84</v>
      </c>
      <c r="C806" s="0" t="s">
        <v>26</v>
      </c>
      <c r="D806" s="0" t="s">
        <v>23</v>
      </c>
      <c r="E806" s="0" t="n">
        <v>20150.3</v>
      </c>
      <c r="F806" s="0" t="n">
        <v>121</v>
      </c>
      <c r="G806" s="0" t="str">
        <f aca="false">IF(F806&lt;=30,"Current",IF(F806&lt;=60,"31 to 60 days",IF(F806&lt;=90,"61 to 90 days",IF(F806&lt;=120,"91 to 120 days","Over 120 days"))))</f>
        <v>Over 120 days</v>
      </c>
      <c r="H806" s="0" t="n">
        <f aca="false">VLOOKUP(D806,Rates!$A$4:$B$7,2,FALSE())</f>
        <v>0.115</v>
      </c>
      <c r="I806" s="0" t="n">
        <f aca="false">VLOOKUP(F806,Rates!$D$4:$E$8,2)</f>
        <v>0.85</v>
      </c>
      <c r="J806" s="0" t="n">
        <f aca="false">ROUND(E806*I806,2)</f>
        <v>17127.76</v>
      </c>
      <c r="K806" s="1" t="n">
        <f aca="false">PV(H806/12,F806/30,0,-E806)</f>
        <v>19389.8636104467</v>
      </c>
      <c r="L806" s="0" t="n">
        <f aca="false">ROUND(E806-K806,2)</f>
        <v>760.44</v>
      </c>
      <c r="M806" s="0" t="n">
        <f aca="false">F806/E806</f>
        <v>0.00600487337657504</v>
      </c>
    </row>
    <row r="807" customFormat="false" ht="12.8" hidden="false" customHeight="false" outlineLevel="0" collapsed="false">
      <c r="A807" s="0" t="s">
        <v>1238</v>
      </c>
      <c r="B807" s="0" t="s">
        <v>1239</v>
      </c>
      <c r="C807" s="0" t="s">
        <v>31</v>
      </c>
      <c r="D807" s="0" t="s">
        <v>49</v>
      </c>
      <c r="E807" s="0" t="n">
        <v>2104.26</v>
      </c>
      <c r="F807" s="0" t="n">
        <v>152</v>
      </c>
      <c r="G807" s="0" t="str">
        <f aca="false">IF(F807&lt;=30,"Current",IF(F807&lt;=60,"31 to 60 days",IF(F807&lt;=90,"61 to 90 days",IF(F807&lt;=120,"91 to 120 days","Over 120 days"))))</f>
        <v>Over 120 days</v>
      </c>
      <c r="H807" s="0" t="n">
        <f aca="false">VLOOKUP(D807,Rates!$A$4:$B$7,2,FALSE())</f>
        <v>0.02</v>
      </c>
      <c r="I807" s="0" t="n">
        <f aca="false">VLOOKUP(F807,Rates!$D$4:$E$8,2)</f>
        <v>0.85</v>
      </c>
      <c r="J807" s="0" t="n">
        <f aca="false">ROUND(E807*I807,2)</f>
        <v>1788.62</v>
      </c>
      <c r="K807" s="1" t="n">
        <f aca="false">PV(H807/12,F807/30,0,-E807)</f>
        <v>2086.58017555168</v>
      </c>
      <c r="L807" s="0" t="n">
        <f aca="false">ROUND(E807-K807,2)</f>
        <v>17.68</v>
      </c>
      <c r="M807" s="0" t="n">
        <f aca="false">F807/E807</f>
        <v>0.0722344197009875</v>
      </c>
    </row>
    <row r="808" customFormat="false" ht="12.8" hidden="false" customHeight="false" outlineLevel="0" collapsed="false">
      <c r="A808" s="0" t="s">
        <v>1240</v>
      </c>
      <c r="B808" s="0" t="s">
        <v>1241</v>
      </c>
      <c r="C808" s="0" t="s">
        <v>31</v>
      </c>
      <c r="D808" s="0" t="s">
        <v>49</v>
      </c>
      <c r="E808" s="0" t="n">
        <v>22146.52</v>
      </c>
      <c r="F808" s="0" t="n">
        <v>81</v>
      </c>
      <c r="G808" s="0" t="str">
        <f aca="false">IF(F808&lt;=30,"Current",IF(F808&lt;=60,"31 to 60 days",IF(F808&lt;=90,"61 to 90 days",IF(F808&lt;=120,"91 to 120 days","Over 120 days"))))</f>
        <v>61 to 90 days</v>
      </c>
      <c r="H808" s="0" t="n">
        <f aca="false">VLOOKUP(D808,Rates!$A$4:$B$7,2,FALSE())</f>
        <v>0.02</v>
      </c>
      <c r="I808" s="0" t="n">
        <f aca="false">VLOOKUP(F808,Rates!$D$4:$E$8,2)</f>
        <v>0.25</v>
      </c>
      <c r="J808" s="0" t="n">
        <f aca="false">ROUND(E808*I808,2)</f>
        <v>5536.63</v>
      </c>
      <c r="K808" s="1" t="n">
        <f aca="false">PV(H808/12,F808/30,0,-E808)</f>
        <v>22047.1671425164</v>
      </c>
      <c r="L808" s="0" t="n">
        <f aca="false">ROUND(E808-K808,2)</f>
        <v>99.35</v>
      </c>
      <c r="M808" s="0" t="n">
        <f aca="false">F808/E808</f>
        <v>0.00365745950153794</v>
      </c>
    </row>
    <row r="809" customFormat="false" ht="12.8" hidden="false" customHeight="false" outlineLevel="0" collapsed="false">
      <c r="A809" s="0" t="s">
        <v>1242</v>
      </c>
      <c r="B809" s="0" t="s">
        <v>150</v>
      </c>
      <c r="C809" s="0" t="s">
        <v>31</v>
      </c>
      <c r="D809" s="0" t="s">
        <v>23</v>
      </c>
      <c r="E809" s="0" t="n">
        <v>35510.44</v>
      </c>
      <c r="F809" s="0" t="n">
        <v>164</v>
      </c>
      <c r="G809" s="0" t="str">
        <f aca="false">IF(F809&lt;=30,"Current",IF(F809&lt;=60,"31 to 60 days",IF(F809&lt;=90,"61 to 90 days",IF(F809&lt;=120,"91 to 120 days","Over 120 days"))))</f>
        <v>Over 120 days</v>
      </c>
      <c r="H809" s="0" t="n">
        <f aca="false">VLOOKUP(D809,Rates!$A$4:$B$7,2,FALSE())</f>
        <v>0.115</v>
      </c>
      <c r="I809" s="0" t="n">
        <f aca="false">VLOOKUP(F809,Rates!$D$4:$E$8,2)</f>
        <v>0.85</v>
      </c>
      <c r="J809" s="0" t="n">
        <f aca="false">ROUND(E809*I809,2)</f>
        <v>30183.87</v>
      </c>
      <c r="K809" s="1" t="n">
        <f aca="false">PV(H809/12,F809/30,0,-E809)</f>
        <v>33706.3850440455</v>
      </c>
      <c r="L809" s="0" t="n">
        <f aca="false">ROUND(E809-K809,2)</f>
        <v>1804.05</v>
      </c>
      <c r="M809" s="0" t="n">
        <f aca="false">F809/E809</f>
        <v>0.00461836012169942</v>
      </c>
    </row>
    <row r="810" customFormat="false" ht="12.8" hidden="false" customHeight="false" outlineLevel="0" collapsed="false">
      <c r="A810" s="0" t="s">
        <v>1243</v>
      </c>
      <c r="B810" s="0" t="s">
        <v>1244</v>
      </c>
      <c r="C810" s="0" t="s">
        <v>19</v>
      </c>
      <c r="D810" s="0" t="s">
        <v>49</v>
      </c>
      <c r="E810" s="0" t="n">
        <v>32563.22</v>
      </c>
      <c r="F810" s="0" t="n">
        <v>113</v>
      </c>
      <c r="G810" s="0" t="str">
        <f aca="false">IF(F810&lt;=30,"Current",IF(F810&lt;=60,"31 to 60 days",IF(F810&lt;=90,"61 to 90 days",IF(F810&lt;=120,"91 to 120 days","Over 120 days"))))</f>
        <v>91 to 120 days</v>
      </c>
      <c r="H810" s="0" t="n">
        <f aca="false">VLOOKUP(D810,Rates!$A$4:$B$7,2,FALSE())</f>
        <v>0.02</v>
      </c>
      <c r="I810" s="0" t="n">
        <f aca="false">VLOOKUP(F810,Rates!$D$4:$E$8,2)</f>
        <v>0.5</v>
      </c>
      <c r="J810" s="0" t="n">
        <f aca="false">ROUND(E810*I810,2)</f>
        <v>16281.61</v>
      </c>
      <c r="K810" s="1" t="n">
        <f aca="false">PV(H810/12,F810/30,0,-E810)</f>
        <v>32359.6047671276</v>
      </c>
      <c r="L810" s="0" t="n">
        <f aca="false">ROUND(E810-K810,2)</f>
        <v>203.62</v>
      </c>
      <c r="M810" s="0" t="n">
        <f aca="false">F810/E810</f>
        <v>0.00347017279003735</v>
      </c>
    </row>
    <row r="811" customFormat="false" ht="12.8" hidden="false" customHeight="false" outlineLevel="0" collapsed="false">
      <c r="A811" s="0" t="s">
        <v>1245</v>
      </c>
      <c r="B811" s="0" t="s">
        <v>28</v>
      </c>
      <c r="C811" s="0" t="s">
        <v>15</v>
      </c>
      <c r="D811" s="0" t="s">
        <v>20</v>
      </c>
      <c r="E811" s="0" t="n">
        <v>6850.3</v>
      </c>
      <c r="F811" s="0" t="n">
        <v>379</v>
      </c>
      <c r="G811" s="0" t="str">
        <f aca="false">IF(F811&lt;=30,"Current",IF(F811&lt;=60,"31 to 60 days",IF(F811&lt;=90,"61 to 90 days",IF(F811&lt;=120,"91 to 120 days","Over 120 days"))))</f>
        <v>Over 120 days</v>
      </c>
      <c r="H811" s="0" t="n">
        <f aca="false">VLOOKUP(D811,Rates!$A$4:$B$7,2,FALSE())</f>
        <v>0.05</v>
      </c>
      <c r="I811" s="0" t="n">
        <f aca="false">VLOOKUP(F811,Rates!$D$4:$E$8,2)</f>
        <v>0.85</v>
      </c>
      <c r="J811" s="0" t="n">
        <f aca="false">ROUND(E811*I811,2)</f>
        <v>5822.76</v>
      </c>
      <c r="K811" s="1" t="n">
        <f aca="false">PV(H811/12,F811/30,0,-E811)</f>
        <v>6499.74482685529</v>
      </c>
      <c r="L811" s="0" t="n">
        <f aca="false">ROUND(E811-K811,2)</f>
        <v>350.56</v>
      </c>
      <c r="M811" s="0" t="n">
        <f aca="false">F811/E811</f>
        <v>0.0553260441148563</v>
      </c>
    </row>
    <row r="812" customFormat="false" ht="12.8" hidden="false" customHeight="false" outlineLevel="0" collapsed="false">
      <c r="A812" s="0" t="s">
        <v>1246</v>
      </c>
      <c r="B812" s="0" t="s">
        <v>97</v>
      </c>
      <c r="C812" s="0" t="s">
        <v>42</v>
      </c>
      <c r="D812" s="0" t="s">
        <v>20</v>
      </c>
      <c r="E812" s="0" t="n">
        <v>26284.26</v>
      </c>
      <c r="F812" s="0" t="n">
        <v>290</v>
      </c>
      <c r="G812" s="0" t="str">
        <f aca="false">IF(F812&lt;=30,"Current",IF(F812&lt;=60,"31 to 60 days",IF(F812&lt;=90,"61 to 90 days",IF(F812&lt;=120,"91 to 120 days","Over 120 days"))))</f>
        <v>Over 120 days</v>
      </c>
      <c r="H812" s="0" t="n">
        <f aca="false">VLOOKUP(D812,Rates!$A$4:$B$7,2,FALSE())</f>
        <v>0.05</v>
      </c>
      <c r="I812" s="0" t="n">
        <f aca="false">VLOOKUP(F812,Rates!$D$4:$E$8,2)</f>
        <v>0.85</v>
      </c>
      <c r="J812" s="0" t="n">
        <f aca="false">ROUND(E812*I812,2)</f>
        <v>22341.62</v>
      </c>
      <c r="K812" s="1" t="n">
        <f aca="false">PV(H812/12,F812/30,0,-E812)</f>
        <v>25248.7382160819</v>
      </c>
      <c r="L812" s="0" t="n">
        <f aca="false">ROUND(E812-K812,2)</f>
        <v>1035.52</v>
      </c>
      <c r="M812" s="0" t="n">
        <f aca="false">F812/E812</f>
        <v>0.0110332191204926</v>
      </c>
    </row>
    <row r="813" customFormat="false" ht="12.8" hidden="false" customHeight="false" outlineLevel="0" collapsed="false">
      <c r="A813" s="0" t="s">
        <v>1247</v>
      </c>
      <c r="B813" s="0" t="s">
        <v>1248</v>
      </c>
      <c r="C813" s="0" t="s">
        <v>42</v>
      </c>
      <c r="D813" s="0" t="s">
        <v>49</v>
      </c>
      <c r="E813" s="0" t="n">
        <v>31182.08</v>
      </c>
      <c r="F813" s="0" t="n">
        <v>308</v>
      </c>
      <c r="G813" s="0" t="str">
        <f aca="false">IF(F813&lt;=30,"Current",IF(F813&lt;=60,"31 to 60 days",IF(F813&lt;=90,"61 to 90 days",IF(F813&lt;=120,"91 to 120 days","Over 120 days"))))</f>
        <v>Over 120 days</v>
      </c>
      <c r="H813" s="0" t="n">
        <f aca="false">VLOOKUP(D813,Rates!$A$4:$B$7,2,FALSE())</f>
        <v>0.02</v>
      </c>
      <c r="I813" s="0" t="n">
        <f aca="false">VLOOKUP(F813,Rates!$D$4:$E$8,2)</f>
        <v>0.85</v>
      </c>
      <c r="J813" s="0" t="n">
        <f aca="false">ROUND(E813*I813,2)</f>
        <v>26504.77</v>
      </c>
      <c r="K813" s="1" t="n">
        <f aca="false">PV(H813/12,F813/30,0,-E813)</f>
        <v>30653.4955490939</v>
      </c>
      <c r="L813" s="0" t="n">
        <f aca="false">ROUND(E813-K813,2)</f>
        <v>528.58</v>
      </c>
      <c r="M813" s="0" t="n">
        <f aca="false">F813/E813</f>
        <v>0.00987746808423299</v>
      </c>
    </row>
    <row r="814" customFormat="false" ht="12.8" hidden="false" customHeight="false" outlineLevel="0" collapsed="false">
      <c r="A814" s="0" t="s">
        <v>1249</v>
      </c>
      <c r="B814" s="0" t="s">
        <v>1250</v>
      </c>
      <c r="C814" s="0" t="s">
        <v>15</v>
      </c>
      <c r="D814" s="0" t="s">
        <v>16</v>
      </c>
      <c r="E814" s="0" t="n">
        <v>33119.32</v>
      </c>
      <c r="F814" s="0" t="n">
        <v>163</v>
      </c>
      <c r="G814" s="0" t="str">
        <f aca="false">IF(F814&lt;=30,"Current",IF(F814&lt;=60,"31 to 60 days",IF(F814&lt;=90,"61 to 90 days",IF(F814&lt;=120,"91 to 120 days","Over 120 days"))))</f>
        <v>Over 120 days</v>
      </c>
      <c r="H814" s="0" t="n">
        <f aca="false">VLOOKUP(D814,Rates!$A$4:$B$7,2,FALSE())</f>
        <v>0.085</v>
      </c>
      <c r="I814" s="0" t="n">
        <f aca="false">VLOOKUP(F814,Rates!$D$4:$E$8,2)</f>
        <v>0.85</v>
      </c>
      <c r="J814" s="0" t="n">
        <f aca="false">ROUND(E814*I814,2)</f>
        <v>28151.42</v>
      </c>
      <c r="K814" s="1" t="n">
        <f aca="false">PV(H814/12,F814/30,0,-E814)</f>
        <v>31873.2261428248</v>
      </c>
      <c r="L814" s="0" t="n">
        <f aca="false">ROUND(E814-K814,2)</f>
        <v>1246.09</v>
      </c>
      <c r="M814" s="0" t="n">
        <f aca="false">F814/E814</f>
        <v>0.00492159863185597</v>
      </c>
    </row>
    <row r="815" customFormat="false" ht="12.8" hidden="false" customHeight="false" outlineLevel="0" collapsed="false">
      <c r="A815" s="0" t="s">
        <v>1251</v>
      </c>
      <c r="B815" s="0" t="s">
        <v>1252</v>
      </c>
      <c r="C815" s="0" t="s">
        <v>36</v>
      </c>
      <c r="D815" s="0" t="s">
        <v>16</v>
      </c>
      <c r="E815" s="0" t="n">
        <v>40515.62</v>
      </c>
      <c r="F815" s="0" t="n">
        <v>82</v>
      </c>
      <c r="G815" s="0" t="str">
        <f aca="false">IF(F815&lt;=30,"Current",IF(F815&lt;=60,"31 to 60 days",IF(F815&lt;=90,"61 to 90 days",IF(F815&lt;=120,"91 to 120 days","Over 120 days"))))</f>
        <v>61 to 90 days</v>
      </c>
      <c r="H815" s="0" t="n">
        <f aca="false">VLOOKUP(D815,Rates!$A$4:$B$7,2,FALSE())</f>
        <v>0.085</v>
      </c>
      <c r="I815" s="0" t="n">
        <f aca="false">VLOOKUP(F815,Rates!$D$4:$E$8,2)</f>
        <v>0.25</v>
      </c>
      <c r="J815" s="0" t="n">
        <f aca="false">ROUND(E815*I815,2)</f>
        <v>10128.91</v>
      </c>
      <c r="K815" s="1" t="n">
        <f aca="false">PV(H815/12,F815/30,0,-E815)</f>
        <v>39741.4497035622</v>
      </c>
      <c r="L815" s="0" t="n">
        <f aca="false">ROUND(E815-K815,2)</f>
        <v>774.17</v>
      </c>
      <c r="M815" s="0" t="n">
        <f aca="false">F815/E815</f>
        <v>0.00202391077811471</v>
      </c>
    </row>
    <row r="816" customFormat="false" ht="12.8" hidden="false" customHeight="false" outlineLevel="0" collapsed="false">
      <c r="A816" s="0" t="s">
        <v>1253</v>
      </c>
      <c r="B816" s="0" t="s">
        <v>1254</v>
      </c>
      <c r="C816" s="0" t="s">
        <v>42</v>
      </c>
      <c r="D816" s="0" t="s">
        <v>16</v>
      </c>
      <c r="E816" s="0" t="n">
        <v>21255.79</v>
      </c>
      <c r="F816" s="0" t="n">
        <v>10</v>
      </c>
      <c r="G816" s="0" t="str">
        <f aca="false">IF(F816&lt;=30,"Current",IF(F816&lt;=60,"31 to 60 days",IF(F816&lt;=90,"61 to 90 days",IF(F816&lt;=120,"91 to 120 days","Over 120 days"))))</f>
        <v>Current</v>
      </c>
      <c r="H816" s="0" t="n">
        <f aca="false">VLOOKUP(D816,Rates!$A$4:$B$7,2,FALSE())</f>
        <v>0.085</v>
      </c>
      <c r="I816" s="0" t="n">
        <f aca="false">VLOOKUP(F816,Rates!$D$4:$E$8,2)</f>
        <v>0.02</v>
      </c>
      <c r="J816" s="0" t="n">
        <f aca="false">ROUND(E816*I816,2)</f>
        <v>425.12</v>
      </c>
      <c r="K816" s="1" t="n">
        <f aca="false">PV(H816/12,F816/30,0,-E816)</f>
        <v>21205.838415544</v>
      </c>
      <c r="L816" s="0" t="n">
        <f aca="false">ROUND(E816-K816,2)</f>
        <v>49.95</v>
      </c>
      <c r="M816" s="0" t="n">
        <f aca="false">F816/E816</f>
        <v>0.000470460048767889</v>
      </c>
    </row>
    <row r="817" customFormat="false" ht="12.8" hidden="false" customHeight="false" outlineLevel="0" collapsed="false">
      <c r="A817" s="0" t="s">
        <v>1255</v>
      </c>
      <c r="B817" s="0" t="s">
        <v>28</v>
      </c>
      <c r="C817" s="0" t="s">
        <v>15</v>
      </c>
      <c r="D817" s="0" t="s">
        <v>20</v>
      </c>
      <c r="E817" s="0" t="n">
        <v>30981.79</v>
      </c>
      <c r="F817" s="0" t="n">
        <v>71</v>
      </c>
      <c r="G817" s="0" t="str">
        <f aca="false">IF(F817&lt;=30,"Current",IF(F817&lt;=60,"31 to 60 days",IF(F817&lt;=90,"61 to 90 days",IF(F817&lt;=120,"91 to 120 days","Over 120 days"))))</f>
        <v>61 to 90 days</v>
      </c>
      <c r="H817" s="0" t="n">
        <f aca="false">VLOOKUP(D817,Rates!$A$4:$B$7,2,FALSE())</f>
        <v>0.05</v>
      </c>
      <c r="I817" s="0" t="n">
        <f aca="false">VLOOKUP(F817,Rates!$D$4:$E$8,2)</f>
        <v>0.25</v>
      </c>
      <c r="J817" s="0" t="n">
        <f aca="false">ROUND(E817*I817,2)</f>
        <v>7745.45</v>
      </c>
      <c r="K817" s="1" t="n">
        <f aca="false">PV(H817/12,F817/30,0,-E817)</f>
        <v>30678.4050500614</v>
      </c>
      <c r="L817" s="0" t="n">
        <f aca="false">ROUND(E817-K817,2)</f>
        <v>303.38</v>
      </c>
      <c r="M817" s="0" t="n">
        <f aca="false">F817/E817</f>
        <v>0.00229166875122451</v>
      </c>
    </row>
    <row r="818" customFormat="false" ht="12.8" hidden="false" customHeight="false" outlineLevel="0" collapsed="false">
      <c r="A818" s="0" t="s">
        <v>1256</v>
      </c>
      <c r="B818" s="0" t="s">
        <v>33</v>
      </c>
      <c r="C818" s="0" t="s">
        <v>26</v>
      </c>
      <c r="D818" s="0" t="s">
        <v>20</v>
      </c>
      <c r="E818" s="0" t="n">
        <v>8954.72</v>
      </c>
      <c r="F818" s="0" t="n">
        <v>112</v>
      </c>
      <c r="G818" s="0" t="str">
        <f aca="false">IF(F818&lt;=30,"Current",IF(F818&lt;=60,"31 to 60 days",IF(F818&lt;=90,"61 to 90 days",IF(F818&lt;=120,"91 to 120 days","Over 120 days"))))</f>
        <v>91 to 120 days</v>
      </c>
      <c r="H818" s="0" t="n">
        <f aca="false">VLOOKUP(D818,Rates!$A$4:$B$7,2,FALSE())</f>
        <v>0.05</v>
      </c>
      <c r="I818" s="0" t="n">
        <f aca="false">VLOOKUP(F818,Rates!$D$4:$E$8,2)</f>
        <v>0.5</v>
      </c>
      <c r="J818" s="0" t="n">
        <f aca="false">ROUND(E818*I818,2)</f>
        <v>4477.36</v>
      </c>
      <c r="K818" s="1" t="n">
        <f aca="false">PV(H818/12,F818/30,0,-E818)</f>
        <v>8816.78710360506</v>
      </c>
      <c r="L818" s="0" t="n">
        <f aca="false">ROUND(E818-K818,2)</f>
        <v>137.93</v>
      </c>
      <c r="M818" s="0" t="n">
        <f aca="false">F818/E818</f>
        <v>0.0125073704147087</v>
      </c>
    </row>
    <row r="819" customFormat="false" ht="12.8" hidden="false" customHeight="false" outlineLevel="0" collapsed="false">
      <c r="A819" s="0" t="s">
        <v>1257</v>
      </c>
      <c r="B819" s="0" t="s">
        <v>1258</v>
      </c>
      <c r="C819" s="0" t="s">
        <v>36</v>
      </c>
      <c r="D819" s="0" t="s">
        <v>49</v>
      </c>
      <c r="E819" s="0" t="n">
        <v>23051.04</v>
      </c>
      <c r="F819" s="0" t="n">
        <v>156</v>
      </c>
      <c r="G819" s="0" t="str">
        <f aca="false">IF(F819&lt;=30,"Current",IF(F819&lt;=60,"31 to 60 days",IF(F819&lt;=90,"61 to 90 days",IF(F819&lt;=120,"91 to 120 days","Over 120 days"))))</f>
        <v>Over 120 days</v>
      </c>
      <c r="H819" s="0" t="n">
        <f aca="false">VLOOKUP(D819,Rates!$A$4:$B$7,2,FALSE())</f>
        <v>0.02</v>
      </c>
      <c r="I819" s="0" t="n">
        <f aca="false">VLOOKUP(F819,Rates!$D$4:$E$8,2)</f>
        <v>0.85</v>
      </c>
      <c r="J819" s="0" t="n">
        <f aca="false">ROUND(E819*I819,2)</f>
        <v>19593.38</v>
      </c>
      <c r="K819" s="1" t="n">
        <f aca="false">PV(H819/12,F819/30,0,-E819)</f>
        <v>22852.2923797125</v>
      </c>
      <c r="L819" s="0" t="n">
        <f aca="false">ROUND(E819-K819,2)</f>
        <v>198.75</v>
      </c>
      <c r="M819" s="0" t="n">
        <f aca="false">F819/E819</f>
        <v>0.00676759052953793</v>
      </c>
    </row>
    <row r="820" customFormat="false" ht="12.8" hidden="false" customHeight="false" outlineLevel="0" collapsed="false">
      <c r="A820" s="0" t="s">
        <v>1259</v>
      </c>
      <c r="B820" s="0" t="s">
        <v>1260</v>
      </c>
      <c r="C820" s="0" t="s">
        <v>26</v>
      </c>
      <c r="D820" s="0" t="s">
        <v>49</v>
      </c>
      <c r="E820" s="0" t="n">
        <v>26262.06</v>
      </c>
      <c r="F820" s="0" t="n">
        <v>28</v>
      </c>
      <c r="G820" s="0" t="str">
        <f aca="false">IF(F820&lt;=30,"Current",IF(F820&lt;=60,"31 to 60 days",IF(F820&lt;=90,"61 to 90 days",IF(F820&lt;=120,"91 to 120 days","Over 120 days"))))</f>
        <v>Current</v>
      </c>
      <c r="H820" s="0" t="n">
        <f aca="false">VLOOKUP(D820,Rates!$A$4:$B$7,2,FALSE())</f>
        <v>0.02</v>
      </c>
      <c r="I820" s="0" t="n">
        <f aca="false">VLOOKUP(F820,Rates!$D$4:$E$8,2)</f>
        <v>0.02</v>
      </c>
      <c r="J820" s="0" t="n">
        <f aca="false">ROUND(E820*I820,2)</f>
        <v>525.24</v>
      </c>
      <c r="K820" s="1" t="n">
        <f aca="false">PV(H820/12,F820/30,0,-E820)</f>
        <v>26221.2736168459</v>
      </c>
      <c r="L820" s="0" t="n">
        <f aca="false">ROUND(E820-K820,2)</f>
        <v>40.79</v>
      </c>
      <c r="M820" s="0" t="n">
        <f aca="false">F820/E820</f>
        <v>0.00106617683456667</v>
      </c>
    </row>
    <row r="821" customFormat="false" ht="12.8" hidden="false" customHeight="false" outlineLevel="0" collapsed="false">
      <c r="A821" s="0" t="s">
        <v>1261</v>
      </c>
      <c r="B821" s="0" t="s">
        <v>550</v>
      </c>
      <c r="C821" s="0" t="s">
        <v>36</v>
      </c>
      <c r="D821" s="0" t="s">
        <v>23</v>
      </c>
      <c r="E821" s="0" t="n">
        <v>43127.41</v>
      </c>
      <c r="F821" s="0" t="n">
        <v>111</v>
      </c>
      <c r="G821" s="0" t="str">
        <f aca="false">IF(F821&lt;=30,"Current",IF(F821&lt;=60,"31 to 60 days",IF(F821&lt;=90,"61 to 90 days",IF(F821&lt;=120,"91 to 120 days","Over 120 days"))))</f>
        <v>91 to 120 days</v>
      </c>
      <c r="H821" s="0" t="n">
        <f aca="false">VLOOKUP(D821,Rates!$A$4:$B$7,2,FALSE())</f>
        <v>0.115</v>
      </c>
      <c r="I821" s="0" t="n">
        <f aca="false">VLOOKUP(F821,Rates!$D$4:$E$8,2)</f>
        <v>0.5</v>
      </c>
      <c r="J821" s="0" t="n">
        <f aca="false">ROUND(E821*I821,2)</f>
        <v>21563.71</v>
      </c>
      <c r="K821" s="1" t="n">
        <f aca="false">PV(H821/12,F821/30,0,-E821)</f>
        <v>41632.0062006762</v>
      </c>
      <c r="L821" s="0" t="n">
        <f aca="false">ROUND(E821-K821,2)</f>
        <v>1495.4</v>
      </c>
      <c r="M821" s="0" t="n">
        <f aca="false">F821/E821</f>
        <v>0.00257376921081048</v>
      </c>
    </row>
    <row r="822" customFormat="false" ht="12.8" hidden="false" customHeight="false" outlineLevel="0" collapsed="false">
      <c r="A822" s="0" t="s">
        <v>1262</v>
      </c>
      <c r="B822" s="0" t="s">
        <v>1263</v>
      </c>
      <c r="C822" s="0" t="s">
        <v>19</v>
      </c>
      <c r="D822" s="0" t="s">
        <v>49</v>
      </c>
      <c r="E822" s="0" t="n">
        <v>3758.8</v>
      </c>
      <c r="F822" s="0" t="n">
        <v>281</v>
      </c>
      <c r="G822" s="0" t="str">
        <f aca="false">IF(F822&lt;=30,"Current",IF(F822&lt;=60,"31 to 60 days",IF(F822&lt;=90,"61 to 90 days",IF(F822&lt;=120,"91 to 120 days","Over 120 days"))))</f>
        <v>Over 120 days</v>
      </c>
      <c r="H822" s="0" t="n">
        <f aca="false">VLOOKUP(D822,Rates!$A$4:$B$7,2,FALSE())</f>
        <v>0.02</v>
      </c>
      <c r="I822" s="0" t="n">
        <f aca="false">VLOOKUP(F822,Rates!$D$4:$E$8,2)</f>
        <v>0.85</v>
      </c>
      <c r="J822" s="0" t="n">
        <f aca="false">ROUND(E822*I822,2)</f>
        <v>3194.98</v>
      </c>
      <c r="K822" s="1" t="n">
        <f aca="false">PV(H822/12,F822/30,0,-E822)</f>
        <v>3700.62469260511</v>
      </c>
      <c r="L822" s="0" t="n">
        <f aca="false">ROUND(E822-K822,2)</f>
        <v>58.18</v>
      </c>
      <c r="M822" s="0" t="n">
        <f aca="false">F822/E822</f>
        <v>0.0747579014579121</v>
      </c>
    </row>
    <row r="823" customFormat="false" ht="12.8" hidden="false" customHeight="false" outlineLevel="0" collapsed="false">
      <c r="A823" s="0" t="s">
        <v>1264</v>
      </c>
      <c r="B823" s="0" t="s">
        <v>303</v>
      </c>
      <c r="C823" s="0" t="s">
        <v>31</v>
      </c>
      <c r="D823" s="0" t="s">
        <v>23</v>
      </c>
      <c r="E823" s="0" t="n">
        <v>1089.05</v>
      </c>
      <c r="F823" s="0" t="n">
        <v>170</v>
      </c>
      <c r="G823" s="0" t="str">
        <f aca="false">IF(F823&lt;=30,"Current",IF(F823&lt;=60,"31 to 60 days",IF(F823&lt;=90,"61 to 90 days",IF(F823&lt;=120,"91 to 120 days","Over 120 days"))))</f>
        <v>Over 120 days</v>
      </c>
      <c r="H823" s="0" t="n">
        <f aca="false">VLOOKUP(D823,Rates!$A$4:$B$7,2,FALSE())</f>
        <v>0.115</v>
      </c>
      <c r="I823" s="0" t="n">
        <f aca="false">VLOOKUP(F823,Rates!$D$4:$E$8,2)</f>
        <v>0.85</v>
      </c>
      <c r="J823" s="0" t="n">
        <f aca="false">ROUND(E823*I823,2)</f>
        <v>925.69</v>
      </c>
      <c r="K823" s="1" t="n">
        <f aca="false">PV(H823/12,F823/30,0,-E823)</f>
        <v>1031.75245027755</v>
      </c>
      <c r="L823" s="0" t="n">
        <f aca="false">ROUND(E823-K823,2)</f>
        <v>57.3</v>
      </c>
      <c r="M823" s="0" t="n">
        <f aca="false">F823/E823</f>
        <v>0.156099352646802</v>
      </c>
    </row>
    <row r="824" customFormat="false" ht="12.8" hidden="false" customHeight="false" outlineLevel="0" collapsed="false">
      <c r="A824" s="0" t="s">
        <v>1265</v>
      </c>
      <c r="B824" s="0" t="s">
        <v>18</v>
      </c>
      <c r="C824" s="0" t="s">
        <v>19</v>
      </c>
      <c r="D824" s="0" t="s">
        <v>20</v>
      </c>
      <c r="E824" s="0" t="n">
        <v>34127.76</v>
      </c>
      <c r="F824" s="0" t="n">
        <v>164</v>
      </c>
      <c r="G824" s="0" t="str">
        <f aca="false">IF(F824&lt;=30,"Current",IF(F824&lt;=60,"31 to 60 days",IF(F824&lt;=90,"61 to 90 days",IF(F824&lt;=120,"91 to 120 days","Over 120 days"))))</f>
        <v>Over 120 days</v>
      </c>
      <c r="H824" s="0" t="n">
        <f aca="false">VLOOKUP(D824,Rates!$A$4:$B$7,2,FALSE())</f>
        <v>0.05</v>
      </c>
      <c r="I824" s="0" t="n">
        <f aca="false">VLOOKUP(F824,Rates!$D$4:$E$8,2)</f>
        <v>0.85</v>
      </c>
      <c r="J824" s="0" t="n">
        <f aca="false">ROUND(E824*I824,2)</f>
        <v>29008.6</v>
      </c>
      <c r="K824" s="1" t="n">
        <f aca="false">PV(H824/12,F824/30,0,-E824)</f>
        <v>33360.77050432</v>
      </c>
      <c r="L824" s="0" t="n">
        <f aca="false">ROUND(E824-K824,2)</f>
        <v>766.99</v>
      </c>
      <c r="M824" s="0" t="n">
        <f aca="false">F824/E824</f>
        <v>0.00480547214349843</v>
      </c>
    </row>
    <row r="825" customFormat="false" ht="12.8" hidden="false" customHeight="false" outlineLevel="0" collapsed="false">
      <c r="A825" s="0" t="s">
        <v>1266</v>
      </c>
      <c r="B825" s="0" t="s">
        <v>682</v>
      </c>
      <c r="C825" s="0" t="s">
        <v>19</v>
      </c>
      <c r="D825" s="0" t="s">
        <v>23</v>
      </c>
      <c r="E825" s="0" t="n">
        <v>2086.11</v>
      </c>
      <c r="F825" s="0" t="n">
        <v>371</v>
      </c>
      <c r="G825" s="0" t="str">
        <f aca="false">IF(F825&lt;=30,"Current",IF(F825&lt;=60,"31 to 60 days",IF(F825&lt;=90,"61 to 90 days",IF(F825&lt;=120,"91 to 120 days","Over 120 days"))))</f>
        <v>Over 120 days</v>
      </c>
      <c r="H825" s="0" t="n">
        <f aca="false">VLOOKUP(D825,Rates!$A$4:$B$7,2,FALSE())</f>
        <v>0.115</v>
      </c>
      <c r="I825" s="0" t="n">
        <f aca="false">VLOOKUP(F825,Rates!$D$4:$E$8,2)</f>
        <v>0.85</v>
      </c>
      <c r="J825" s="0" t="n">
        <f aca="false">ROUND(E825*I825,2)</f>
        <v>1773.19</v>
      </c>
      <c r="K825" s="1" t="n">
        <f aca="false">PV(H825/12,F825/30,0,-E825)</f>
        <v>1854.01113973986</v>
      </c>
      <c r="L825" s="0" t="n">
        <f aca="false">ROUND(E825-K825,2)</f>
        <v>232.1</v>
      </c>
      <c r="M825" s="0" t="n">
        <f aca="false">F825/E825</f>
        <v>0.1778429708884</v>
      </c>
    </row>
    <row r="826" customFormat="false" ht="12.8" hidden="false" customHeight="false" outlineLevel="0" collapsed="false">
      <c r="A826" s="0" t="s">
        <v>1267</v>
      </c>
      <c r="B826" s="0" t="s">
        <v>33</v>
      </c>
      <c r="C826" s="0" t="s">
        <v>26</v>
      </c>
      <c r="D826" s="0" t="s">
        <v>20</v>
      </c>
      <c r="E826" s="0" t="n">
        <v>35211.66</v>
      </c>
      <c r="F826" s="0" t="n">
        <v>253</v>
      </c>
      <c r="G826" s="0" t="str">
        <f aca="false">IF(F826&lt;=30,"Current",IF(F826&lt;=60,"31 to 60 days",IF(F826&lt;=90,"61 to 90 days",IF(F826&lt;=120,"91 to 120 days","Over 120 days"))))</f>
        <v>Over 120 days</v>
      </c>
      <c r="H826" s="0" t="n">
        <f aca="false">VLOOKUP(D826,Rates!$A$4:$B$7,2,FALSE())</f>
        <v>0.05</v>
      </c>
      <c r="I826" s="0" t="n">
        <f aca="false">VLOOKUP(F826,Rates!$D$4:$E$8,2)</f>
        <v>0.85</v>
      </c>
      <c r="J826" s="0" t="n">
        <f aca="false">ROUND(E826*I826,2)</f>
        <v>29929.91</v>
      </c>
      <c r="K826" s="1" t="n">
        <f aca="false">PV(H826/12,F826/30,0,-E826)</f>
        <v>33998.3295377257</v>
      </c>
      <c r="L826" s="0" t="n">
        <f aca="false">ROUND(E826-K826,2)</f>
        <v>1213.33</v>
      </c>
      <c r="M826" s="0" t="n">
        <f aca="false">F826/E826</f>
        <v>0.00718511992902351</v>
      </c>
    </row>
    <row r="827" customFormat="false" ht="12.8" hidden="false" customHeight="false" outlineLevel="0" collapsed="false">
      <c r="A827" s="0" t="s">
        <v>1268</v>
      </c>
      <c r="B827" s="0" t="s">
        <v>1269</v>
      </c>
      <c r="C827" s="0" t="s">
        <v>26</v>
      </c>
      <c r="D827" s="0" t="s">
        <v>49</v>
      </c>
      <c r="E827" s="0" t="n">
        <v>15312.95</v>
      </c>
      <c r="F827" s="0" t="n">
        <v>258</v>
      </c>
      <c r="G827" s="0" t="str">
        <f aca="false">IF(F827&lt;=30,"Current",IF(F827&lt;=60,"31 to 60 days",IF(F827&lt;=90,"61 to 90 days",IF(F827&lt;=120,"91 to 120 days","Over 120 days"))))</f>
        <v>Over 120 days</v>
      </c>
      <c r="H827" s="0" t="n">
        <f aca="false">VLOOKUP(D827,Rates!$A$4:$B$7,2,FALSE())</f>
        <v>0.02</v>
      </c>
      <c r="I827" s="0" t="n">
        <f aca="false">VLOOKUP(F827,Rates!$D$4:$E$8,2)</f>
        <v>0.85</v>
      </c>
      <c r="J827" s="0" t="n">
        <f aca="false">ROUND(E827*I827,2)</f>
        <v>13016.01</v>
      </c>
      <c r="K827" s="1" t="n">
        <f aca="false">PV(H827/12,F827/30,0,-E827)</f>
        <v>15095.209977824</v>
      </c>
      <c r="L827" s="0" t="n">
        <f aca="false">ROUND(E827-K827,2)</f>
        <v>217.74</v>
      </c>
      <c r="M827" s="0" t="n">
        <f aca="false">F827/E827</f>
        <v>0.0168484844527018</v>
      </c>
    </row>
    <row r="828" customFormat="false" ht="12.8" hidden="false" customHeight="false" outlineLevel="0" collapsed="false">
      <c r="A828" s="0" t="s">
        <v>1270</v>
      </c>
      <c r="B828" s="0" t="s">
        <v>1271</v>
      </c>
      <c r="C828" s="0" t="s">
        <v>31</v>
      </c>
      <c r="D828" s="0" t="s">
        <v>16</v>
      </c>
      <c r="E828" s="0" t="n">
        <v>36863.25</v>
      </c>
      <c r="F828" s="0" t="n">
        <v>202</v>
      </c>
      <c r="G828" s="0" t="str">
        <f aca="false">IF(F828&lt;=30,"Current",IF(F828&lt;=60,"31 to 60 days",IF(F828&lt;=90,"61 to 90 days",IF(F828&lt;=120,"91 to 120 days","Over 120 days"))))</f>
        <v>Over 120 days</v>
      </c>
      <c r="H828" s="0" t="n">
        <f aca="false">VLOOKUP(D828,Rates!$A$4:$B$7,2,FALSE())</f>
        <v>0.085</v>
      </c>
      <c r="I828" s="0" t="n">
        <f aca="false">VLOOKUP(F828,Rates!$D$4:$E$8,2)</f>
        <v>0.85</v>
      </c>
      <c r="J828" s="0" t="n">
        <f aca="false">ROUND(E828*I828,2)</f>
        <v>31333.76</v>
      </c>
      <c r="K828" s="1" t="n">
        <f aca="false">PV(H828/12,F828/30,0,-E828)</f>
        <v>35152.256051545</v>
      </c>
      <c r="L828" s="0" t="n">
        <f aca="false">ROUND(E828-K828,2)</f>
        <v>1710.99</v>
      </c>
      <c r="M828" s="0" t="n">
        <f aca="false">F828/E828</f>
        <v>0.00547971217947414</v>
      </c>
    </row>
    <row r="829" customFormat="false" ht="12.8" hidden="false" customHeight="false" outlineLevel="0" collapsed="false">
      <c r="A829" s="0" t="s">
        <v>1272</v>
      </c>
      <c r="B829" s="0" t="s">
        <v>1273</v>
      </c>
      <c r="C829" s="0" t="s">
        <v>31</v>
      </c>
      <c r="D829" s="0" t="s">
        <v>16</v>
      </c>
      <c r="E829" s="0" t="n">
        <v>35611.17</v>
      </c>
      <c r="F829" s="0" t="n">
        <v>22</v>
      </c>
      <c r="G829" s="0" t="str">
        <f aca="false">IF(F829&lt;=30,"Current",IF(F829&lt;=60,"31 to 60 days",IF(F829&lt;=90,"61 to 90 days",IF(F829&lt;=120,"91 to 120 days","Over 120 days"))))</f>
        <v>Current</v>
      </c>
      <c r="H829" s="0" t="n">
        <f aca="false">VLOOKUP(D829,Rates!$A$4:$B$7,2,FALSE())</f>
        <v>0.085</v>
      </c>
      <c r="I829" s="0" t="n">
        <f aca="false">VLOOKUP(F829,Rates!$D$4:$E$8,2)</f>
        <v>0.02</v>
      </c>
      <c r="J829" s="0" t="n">
        <f aca="false">ROUND(E829*I829,2)</f>
        <v>712.22</v>
      </c>
      <c r="K829" s="1" t="n">
        <f aca="false">PV(H829/12,F829/30,0,-E829)</f>
        <v>35427.318048474</v>
      </c>
      <c r="L829" s="0" t="n">
        <f aca="false">ROUND(E829-K829,2)</f>
        <v>183.85</v>
      </c>
      <c r="M829" s="0" t="n">
        <f aca="false">F829/E829</f>
        <v>0.000617783689780482</v>
      </c>
    </row>
    <row r="830" customFormat="false" ht="12.8" hidden="false" customHeight="false" outlineLevel="0" collapsed="false">
      <c r="A830" s="0" t="s">
        <v>1274</v>
      </c>
      <c r="B830" s="0" t="s">
        <v>375</v>
      </c>
      <c r="C830" s="0" t="s">
        <v>42</v>
      </c>
      <c r="D830" s="0" t="s">
        <v>23</v>
      </c>
      <c r="E830" s="0" t="n">
        <v>33278.81</v>
      </c>
      <c r="F830" s="0" t="n">
        <v>129</v>
      </c>
      <c r="G830" s="0" t="str">
        <f aca="false">IF(F830&lt;=30,"Current",IF(F830&lt;=60,"31 to 60 days",IF(F830&lt;=90,"61 to 90 days",IF(F830&lt;=120,"91 to 120 days","Over 120 days"))))</f>
        <v>Over 120 days</v>
      </c>
      <c r="H830" s="0" t="n">
        <f aca="false">VLOOKUP(D830,Rates!$A$4:$B$7,2,FALSE())</f>
        <v>0.115</v>
      </c>
      <c r="I830" s="0" t="n">
        <f aca="false">VLOOKUP(F830,Rates!$D$4:$E$8,2)</f>
        <v>0.85</v>
      </c>
      <c r="J830" s="0" t="n">
        <f aca="false">ROUND(E830*I830,2)</f>
        <v>28286.99</v>
      </c>
      <c r="K830" s="1" t="n">
        <f aca="false">PV(H830/12,F830/30,0,-E830)</f>
        <v>31941.5838176787</v>
      </c>
      <c r="L830" s="0" t="n">
        <f aca="false">ROUND(E830-K830,2)</f>
        <v>1337.23</v>
      </c>
      <c r="M830" s="0" t="n">
        <f aca="false">F830/E830</f>
        <v>0.00387634053020526</v>
      </c>
    </row>
    <row r="831" customFormat="false" ht="12.8" hidden="false" customHeight="false" outlineLevel="0" collapsed="false">
      <c r="A831" s="0" t="s">
        <v>1275</v>
      </c>
      <c r="B831" s="0" t="s">
        <v>932</v>
      </c>
      <c r="C831" s="0" t="s">
        <v>19</v>
      </c>
      <c r="D831" s="0" t="s">
        <v>49</v>
      </c>
      <c r="E831" s="0" t="n">
        <v>37096.26</v>
      </c>
      <c r="F831" s="0" t="n">
        <v>295</v>
      </c>
      <c r="G831" s="0" t="str">
        <f aca="false">IF(F831&lt;=30,"Current",IF(F831&lt;=60,"31 to 60 days",IF(F831&lt;=90,"61 to 90 days",IF(F831&lt;=120,"91 to 120 days","Over 120 days"))))</f>
        <v>Over 120 days</v>
      </c>
      <c r="H831" s="0" t="n">
        <f aca="false">VLOOKUP(D831,Rates!$A$4:$B$7,2,FALSE())</f>
        <v>0.02</v>
      </c>
      <c r="I831" s="0" t="n">
        <f aca="false">VLOOKUP(F831,Rates!$D$4:$E$8,2)</f>
        <v>0.85</v>
      </c>
      <c r="J831" s="0" t="n">
        <f aca="false">ROUND(E831*I831,2)</f>
        <v>31531.82</v>
      </c>
      <c r="K831" s="1" t="n">
        <f aca="false">PV(H831/12,F831/30,0,-E831)</f>
        <v>36493.746212656</v>
      </c>
      <c r="L831" s="0" t="n">
        <f aca="false">ROUND(E831-K831,2)</f>
        <v>602.51</v>
      </c>
      <c r="M831" s="0" t="n">
        <f aca="false">F831/E831</f>
        <v>0.00795228413861667</v>
      </c>
    </row>
    <row r="832" customFormat="false" ht="12.8" hidden="false" customHeight="false" outlineLevel="0" collapsed="false">
      <c r="A832" s="0" t="s">
        <v>1276</v>
      </c>
      <c r="B832" s="0" t="s">
        <v>33</v>
      </c>
      <c r="C832" s="0" t="s">
        <v>26</v>
      </c>
      <c r="D832" s="0" t="s">
        <v>20</v>
      </c>
      <c r="E832" s="0" t="n">
        <v>30691</v>
      </c>
      <c r="F832" s="0" t="n">
        <v>8</v>
      </c>
      <c r="G832" s="0" t="str">
        <f aca="false">IF(F832&lt;=30,"Current",IF(F832&lt;=60,"31 to 60 days",IF(F832&lt;=90,"61 to 90 days",IF(F832&lt;=120,"91 to 120 days","Over 120 days"))))</f>
        <v>Current</v>
      </c>
      <c r="H832" s="0" t="n">
        <f aca="false">VLOOKUP(D832,Rates!$A$4:$B$7,2,FALSE())</f>
        <v>0.05</v>
      </c>
      <c r="I832" s="0" t="n">
        <f aca="false">VLOOKUP(F832,Rates!$D$4:$E$8,2)</f>
        <v>0.02</v>
      </c>
      <c r="J832" s="0" t="n">
        <f aca="false">ROUND(E832*I832,2)</f>
        <v>613.82</v>
      </c>
      <c r="K832" s="1" t="n">
        <f aca="false">PV(H832/12,F832/30,0,-E832)</f>
        <v>30656.9885955938</v>
      </c>
      <c r="L832" s="0" t="n">
        <f aca="false">ROUND(E832-K832,2)</f>
        <v>34.01</v>
      </c>
      <c r="M832" s="0" t="n">
        <f aca="false">F832/E832</f>
        <v>0.000260662735003747</v>
      </c>
    </row>
    <row r="833" customFormat="false" ht="12.8" hidden="false" customHeight="false" outlineLevel="0" collapsed="false">
      <c r="A833" s="0" t="s">
        <v>1277</v>
      </c>
      <c r="B833" s="0" t="s">
        <v>1278</v>
      </c>
      <c r="C833" s="0" t="s">
        <v>42</v>
      </c>
      <c r="D833" s="0" t="s">
        <v>49</v>
      </c>
      <c r="E833" s="0" t="n">
        <v>5910.11</v>
      </c>
      <c r="F833" s="0" t="n">
        <v>378</v>
      </c>
      <c r="G833" s="0" t="str">
        <f aca="false">IF(F833&lt;=30,"Current",IF(F833&lt;=60,"31 to 60 days",IF(F833&lt;=90,"61 to 90 days",IF(F833&lt;=120,"91 to 120 days","Over 120 days"))))</f>
        <v>Over 120 days</v>
      </c>
      <c r="H833" s="0" t="n">
        <f aca="false">VLOOKUP(D833,Rates!$A$4:$B$7,2,FALSE())</f>
        <v>0.02</v>
      </c>
      <c r="I833" s="0" t="n">
        <f aca="false">VLOOKUP(F833,Rates!$D$4:$E$8,2)</f>
        <v>0.85</v>
      </c>
      <c r="J833" s="0" t="n">
        <f aca="false">ROUND(E833*I833,2)</f>
        <v>5023.59</v>
      </c>
      <c r="K833" s="1" t="n">
        <f aca="false">PV(H833/12,F833/30,0,-E833)</f>
        <v>5787.39296079203</v>
      </c>
      <c r="L833" s="0" t="n">
        <f aca="false">ROUND(E833-K833,2)</f>
        <v>122.72</v>
      </c>
      <c r="M833" s="0" t="n">
        <f aca="false">F833/E833</f>
        <v>0.0639582004395857</v>
      </c>
    </row>
    <row r="834" customFormat="false" ht="12.8" hidden="false" customHeight="false" outlineLevel="0" collapsed="false">
      <c r="A834" s="0" t="s">
        <v>1279</v>
      </c>
      <c r="B834" s="0" t="s">
        <v>534</v>
      </c>
      <c r="C834" s="0" t="s">
        <v>26</v>
      </c>
      <c r="D834" s="0" t="s">
        <v>23</v>
      </c>
      <c r="E834" s="0" t="n">
        <v>29945.79</v>
      </c>
      <c r="F834" s="0" t="n">
        <v>319</v>
      </c>
      <c r="G834" s="0" t="str">
        <f aca="false">IF(F834&lt;=30,"Current",IF(F834&lt;=60,"31 to 60 days",IF(F834&lt;=90,"61 to 90 days",IF(F834&lt;=120,"91 to 120 days","Over 120 days"))))</f>
        <v>Over 120 days</v>
      </c>
      <c r="H834" s="0" t="n">
        <f aca="false">VLOOKUP(D834,Rates!$A$4:$B$7,2,FALSE())</f>
        <v>0.115</v>
      </c>
      <c r="I834" s="0" t="n">
        <f aca="false">VLOOKUP(F834,Rates!$D$4:$E$8,2)</f>
        <v>0.85</v>
      </c>
      <c r="J834" s="0" t="n">
        <f aca="false">ROUND(E834*I834,2)</f>
        <v>25453.92</v>
      </c>
      <c r="K834" s="1" t="n">
        <f aca="false">PV(H834/12,F834/30,0,-E834)</f>
        <v>27057.687371271</v>
      </c>
      <c r="L834" s="0" t="n">
        <f aca="false">ROUND(E834-K834,2)</f>
        <v>2888.1</v>
      </c>
      <c r="M834" s="0" t="n">
        <f aca="false">F834/E834</f>
        <v>0.0106525825500012</v>
      </c>
    </row>
    <row r="835" customFormat="false" ht="12.8" hidden="false" customHeight="false" outlineLevel="0" collapsed="false">
      <c r="A835" s="0" t="s">
        <v>1280</v>
      </c>
      <c r="B835" s="0" t="s">
        <v>30</v>
      </c>
      <c r="C835" s="0" t="s">
        <v>31</v>
      </c>
      <c r="D835" s="0" t="s">
        <v>20</v>
      </c>
      <c r="E835" s="0" t="n">
        <v>42779.61</v>
      </c>
      <c r="F835" s="0" t="n">
        <v>193</v>
      </c>
      <c r="G835" s="0" t="str">
        <f aca="false">IF(F835&lt;=30,"Current",IF(F835&lt;=60,"31 to 60 days",IF(F835&lt;=90,"61 to 90 days",IF(F835&lt;=120,"91 to 120 days","Over 120 days"))))</f>
        <v>Over 120 days</v>
      </c>
      <c r="H835" s="0" t="n">
        <f aca="false">VLOOKUP(D835,Rates!$A$4:$B$7,2,FALSE())</f>
        <v>0.05</v>
      </c>
      <c r="I835" s="0" t="n">
        <f aca="false">VLOOKUP(F835,Rates!$D$4:$E$8,2)</f>
        <v>0.85</v>
      </c>
      <c r="J835" s="0" t="n">
        <f aca="false">ROUND(E835*I835,2)</f>
        <v>36362.67</v>
      </c>
      <c r="K835" s="1" t="n">
        <f aca="false">PV(H835/12,F835/30,0,-E835)</f>
        <v>41650.4312172014</v>
      </c>
      <c r="L835" s="0" t="n">
        <f aca="false">ROUND(E835-K835,2)</f>
        <v>1129.18</v>
      </c>
      <c r="M835" s="0" t="n">
        <f aca="false">F835/E835</f>
        <v>0.0045114950790809</v>
      </c>
    </row>
    <row r="836" customFormat="false" ht="12.8" hidden="false" customHeight="false" outlineLevel="0" collapsed="false">
      <c r="A836" s="0" t="s">
        <v>1281</v>
      </c>
      <c r="B836" s="0" t="s">
        <v>28</v>
      </c>
      <c r="C836" s="0" t="s">
        <v>15</v>
      </c>
      <c r="D836" s="0" t="s">
        <v>20</v>
      </c>
      <c r="E836" s="0" t="n">
        <v>13212.84</v>
      </c>
      <c r="F836" s="0" t="n">
        <v>150</v>
      </c>
      <c r="G836" s="0" t="str">
        <f aca="false">IF(F836&lt;=30,"Current",IF(F836&lt;=60,"31 to 60 days",IF(F836&lt;=90,"61 to 90 days",IF(F836&lt;=120,"91 to 120 days","Over 120 days"))))</f>
        <v>Over 120 days</v>
      </c>
      <c r="H836" s="0" t="n">
        <f aca="false">VLOOKUP(D836,Rates!$A$4:$B$7,2,FALSE())</f>
        <v>0.05</v>
      </c>
      <c r="I836" s="0" t="n">
        <f aca="false">VLOOKUP(F836,Rates!$D$4:$E$8,2)</f>
        <v>0.85</v>
      </c>
      <c r="J836" s="0" t="n">
        <f aca="false">ROUND(E836*I836,2)</f>
        <v>11230.91</v>
      </c>
      <c r="K836" s="1" t="n">
        <f aca="false">PV(H836/12,F836/30,0,-E836)</f>
        <v>12940.9801677981</v>
      </c>
      <c r="L836" s="0" t="n">
        <f aca="false">ROUND(E836-K836,2)</f>
        <v>271.86</v>
      </c>
      <c r="M836" s="0" t="n">
        <f aca="false">F836/E836</f>
        <v>0.0113525933864332</v>
      </c>
    </row>
    <row r="837" customFormat="false" ht="12.8" hidden="false" customHeight="false" outlineLevel="0" collapsed="false">
      <c r="A837" s="0" t="s">
        <v>1282</v>
      </c>
      <c r="B837" s="0" t="s">
        <v>1192</v>
      </c>
      <c r="C837" s="0" t="s">
        <v>19</v>
      </c>
      <c r="D837" s="0" t="s">
        <v>16</v>
      </c>
      <c r="E837" s="0" t="n">
        <v>8496.9</v>
      </c>
      <c r="F837" s="0" t="n">
        <v>11</v>
      </c>
      <c r="G837" s="0" t="str">
        <f aca="false">IF(F837&lt;=30,"Current",IF(F837&lt;=60,"31 to 60 days",IF(F837&lt;=90,"61 to 90 days",IF(F837&lt;=120,"91 to 120 days","Over 120 days"))))</f>
        <v>Current</v>
      </c>
      <c r="H837" s="0" t="n">
        <f aca="false">VLOOKUP(D837,Rates!$A$4:$B$7,2,FALSE())</f>
        <v>0.085</v>
      </c>
      <c r="I837" s="0" t="n">
        <f aca="false">VLOOKUP(F837,Rates!$D$4:$E$8,2)</f>
        <v>0.02</v>
      </c>
      <c r="J837" s="0" t="n">
        <f aca="false">ROUND(E837*I837,2)</f>
        <v>169.94</v>
      </c>
      <c r="K837" s="1" t="n">
        <f aca="false">PV(H837/12,F837/30,0,-E837)</f>
        <v>8474.93788603147</v>
      </c>
      <c r="L837" s="0" t="n">
        <f aca="false">ROUND(E837-K837,2)</f>
        <v>21.96</v>
      </c>
      <c r="M837" s="0" t="n">
        <f aca="false">F837/E837</f>
        <v>0.00129458979157104</v>
      </c>
    </row>
    <row r="838" customFormat="false" ht="12.8" hidden="false" customHeight="false" outlineLevel="0" collapsed="false">
      <c r="A838" s="0" t="s">
        <v>1283</v>
      </c>
      <c r="B838" s="0" t="s">
        <v>51</v>
      </c>
      <c r="C838" s="0" t="s">
        <v>36</v>
      </c>
      <c r="D838" s="0" t="s">
        <v>20</v>
      </c>
      <c r="E838" s="0" t="n">
        <v>10271.7</v>
      </c>
      <c r="F838" s="0" t="n">
        <v>280</v>
      </c>
      <c r="G838" s="0" t="str">
        <f aca="false">IF(F838&lt;=30,"Current",IF(F838&lt;=60,"31 to 60 days",IF(F838&lt;=90,"61 to 90 days",IF(F838&lt;=120,"91 to 120 days","Over 120 days"))))</f>
        <v>Over 120 days</v>
      </c>
      <c r="H838" s="0" t="n">
        <f aca="false">VLOOKUP(D838,Rates!$A$4:$B$7,2,FALSE())</f>
        <v>0.05</v>
      </c>
      <c r="I838" s="0" t="n">
        <f aca="false">VLOOKUP(F838,Rates!$D$4:$E$8,2)</f>
        <v>0.85</v>
      </c>
      <c r="J838" s="0" t="n">
        <f aca="false">ROUND(E838*I838,2)</f>
        <v>8730.95</v>
      </c>
      <c r="K838" s="1" t="n">
        <f aca="false">PV(H838/12,F838/30,0,-E838)</f>
        <v>9880.71073776099</v>
      </c>
      <c r="L838" s="0" t="n">
        <f aca="false">ROUND(E838-K838,2)</f>
        <v>390.99</v>
      </c>
      <c r="M838" s="0" t="n">
        <f aca="false">F838/E838</f>
        <v>0.027259363104452</v>
      </c>
    </row>
    <row r="839" customFormat="false" ht="12.8" hidden="false" customHeight="false" outlineLevel="0" collapsed="false">
      <c r="A839" s="0" t="s">
        <v>1284</v>
      </c>
      <c r="B839" s="0" t="s">
        <v>1134</v>
      </c>
      <c r="C839" s="0" t="s">
        <v>15</v>
      </c>
      <c r="D839" s="0" t="s">
        <v>49</v>
      </c>
      <c r="E839" s="0" t="n">
        <v>15680.37</v>
      </c>
      <c r="F839" s="0" t="n">
        <v>0</v>
      </c>
      <c r="G839" s="0" t="str">
        <f aca="false">IF(F839&lt;=30,"Current",IF(F839&lt;=60,"31 to 60 days",IF(F839&lt;=90,"61 to 90 days",IF(F839&lt;=120,"91 to 120 days","Over 120 days"))))</f>
        <v>Current</v>
      </c>
      <c r="H839" s="0" t="n">
        <f aca="false">VLOOKUP(D839,Rates!$A$4:$B$7,2,FALSE())</f>
        <v>0.02</v>
      </c>
      <c r="I839" s="0" t="n">
        <f aca="false">VLOOKUP(F839,Rates!$D$4:$E$8,2)</f>
        <v>0.02</v>
      </c>
      <c r="J839" s="0" t="n">
        <f aca="false">ROUND(E839*I839,2)</f>
        <v>313.61</v>
      </c>
      <c r="K839" s="1" t="n">
        <f aca="false">PV(H839/12,F839/30,0,-E839)</f>
        <v>15680.37</v>
      </c>
      <c r="L839" s="0" t="n">
        <f aca="false">ROUND(E839-K839,2)</f>
        <v>0</v>
      </c>
      <c r="M839" s="0" t="n">
        <f aca="false">F839/E839</f>
        <v>0</v>
      </c>
    </row>
    <row r="840" customFormat="false" ht="12.8" hidden="false" customHeight="false" outlineLevel="0" collapsed="false">
      <c r="A840" s="0" t="s">
        <v>1285</v>
      </c>
      <c r="B840" s="0" t="s">
        <v>326</v>
      </c>
      <c r="C840" s="0" t="s">
        <v>42</v>
      </c>
      <c r="D840" s="0" t="s">
        <v>23</v>
      </c>
      <c r="E840" s="0" t="n">
        <v>32374.45</v>
      </c>
      <c r="F840" s="0" t="n">
        <v>370</v>
      </c>
      <c r="G840" s="0" t="str">
        <f aca="false">IF(F840&lt;=30,"Current",IF(F840&lt;=60,"31 to 60 days",IF(F840&lt;=90,"61 to 90 days",IF(F840&lt;=120,"91 to 120 days","Over 120 days"))))</f>
        <v>Over 120 days</v>
      </c>
      <c r="H840" s="0" t="n">
        <f aca="false">VLOOKUP(D840,Rates!$A$4:$B$7,2,FALSE())</f>
        <v>0.115</v>
      </c>
      <c r="I840" s="0" t="n">
        <f aca="false">VLOOKUP(F840,Rates!$D$4:$E$8,2)</f>
        <v>0.85</v>
      </c>
      <c r="J840" s="0" t="n">
        <f aca="false">ROUND(E840*I840,2)</f>
        <v>27518.28</v>
      </c>
      <c r="K840" s="1" t="n">
        <f aca="false">PV(H840/12,F840/30,0,-E840)</f>
        <v>28781.6445766651</v>
      </c>
      <c r="L840" s="0" t="n">
        <f aca="false">ROUND(E840-K840,2)</f>
        <v>3592.81</v>
      </c>
      <c r="M840" s="0" t="n">
        <f aca="false">F840/E840</f>
        <v>0.0114287655852069</v>
      </c>
    </row>
    <row r="841" customFormat="false" ht="12.8" hidden="false" customHeight="false" outlineLevel="0" collapsed="false">
      <c r="A841" s="0" t="s">
        <v>1286</v>
      </c>
      <c r="B841" s="0" t="s">
        <v>1142</v>
      </c>
      <c r="C841" s="0" t="s">
        <v>19</v>
      </c>
      <c r="D841" s="0" t="s">
        <v>49</v>
      </c>
      <c r="E841" s="0" t="n">
        <v>30186.18</v>
      </c>
      <c r="F841" s="0" t="n">
        <v>253</v>
      </c>
      <c r="G841" s="0" t="str">
        <f aca="false">IF(F841&lt;=30,"Current",IF(F841&lt;=60,"31 to 60 days",IF(F841&lt;=90,"61 to 90 days",IF(F841&lt;=120,"91 to 120 days","Over 120 days"))))</f>
        <v>Over 120 days</v>
      </c>
      <c r="H841" s="0" t="n">
        <f aca="false">VLOOKUP(D841,Rates!$A$4:$B$7,2,FALSE())</f>
        <v>0.02</v>
      </c>
      <c r="I841" s="0" t="n">
        <f aca="false">VLOOKUP(F841,Rates!$D$4:$E$8,2)</f>
        <v>0.85</v>
      </c>
      <c r="J841" s="0" t="n">
        <f aca="false">ROUND(E841*I841,2)</f>
        <v>25658.25</v>
      </c>
      <c r="K841" s="1" t="n">
        <f aca="false">PV(H841/12,F841/30,0,-E841)</f>
        <v>29765.2125690714</v>
      </c>
      <c r="L841" s="0" t="n">
        <f aca="false">ROUND(E841-K841,2)</f>
        <v>420.97</v>
      </c>
      <c r="M841" s="0" t="n">
        <f aca="false">F841/E841</f>
        <v>0.00838131886843582</v>
      </c>
    </row>
    <row r="842" customFormat="false" ht="12.8" hidden="false" customHeight="false" outlineLevel="0" collapsed="false">
      <c r="A842" s="0" t="s">
        <v>1287</v>
      </c>
      <c r="B842" s="0" t="s">
        <v>38</v>
      </c>
      <c r="C842" s="0" t="s">
        <v>15</v>
      </c>
      <c r="D842" s="0" t="s">
        <v>23</v>
      </c>
      <c r="E842" s="0" t="n">
        <v>7593.66</v>
      </c>
      <c r="F842" s="0" t="n">
        <v>49</v>
      </c>
      <c r="G842" s="0" t="str">
        <f aca="false">IF(F842&lt;=30,"Current",IF(F842&lt;=60,"31 to 60 days",IF(F842&lt;=90,"61 to 90 days",IF(F842&lt;=120,"91 to 120 days","Over 120 days"))))</f>
        <v>31 to 60 days</v>
      </c>
      <c r="H842" s="0" t="n">
        <f aca="false">VLOOKUP(D842,Rates!$A$4:$B$7,2,FALSE())</f>
        <v>0.115</v>
      </c>
      <c r="I842" s="0" t="n">
        <f aca="false">VLOOKUP(F842,Rates!$D$4:$E$8,2)</f>
        <v>0.1</v>
      </c>
      <c r="J842" s="0" t="n">
        <f aca="false">ROUND(E842*I842,2)</f>
        <v>759.37</v>
      </c>
      <c r="K842" s="1" t="n">
        <f aca="false">PV(H842/12,F842/30,0,-E842)</f>
        <v>7476.28071691389</v>
      </c>
      <c r="L842" s="0" t="n">
        <f aca="false">ROUND(E842-K842,2)</f>
        <v>117.38</v>
      </c>
      <c r="M842" s="0" t="n">
        <f aca="false">F842/E842</f>
        <v>0.00645275137417267</v>
      </c>
    </row>
    <row r="843" customFormat="false" ht="12.8" hidden="false" customHeight="false" outlineLevel="0" collapsed="false">
      <c r="A843" s="0" t="s">
        <v>1288</v>
      </c>
      <c r="B843" s="0" t="s">
        <v>1289</v>
      </c>
      <c r="C843" s="0" t="s">
        <v>31</v>
      </c>
      <c r="D843" s="0" t="s">
        <v>49</v>
      </c>
      <c r="E843" s="0" t="n">
        <v>27380.13</v>
      </c>
      <c r="F843" s="0" t="n">
        <v>250</v>
      </c>
      <c r="G843" s="0" t="str">
        <f aca="false">IF(F843&lt;=30,"Current",IF(F843&lt;=60,"31 to 60 days",IF(F843&lt;=90,"61 to 90 days",IF(F843&lt;=120,"91 to 120 days","Over 120 days"))))</f>
        <v>Over 120 days</v>
      </c>
      <c r="H843" s="0" t="n">
        <f aca="false">VLOOKUP(D843,Rates!$A$4:$B$7,2,FALSE())</f>
        <v>0.02</v>
      </c>
      <c r="I843" s="0" t="n">
        <f aca="false">VLOOKUP(F843,Rates!$D$4:$E$8,2)</f>
        <v>0.85</v>
      </c>
      <c r="J843" s="0" t="n">
        <f aca="false">ROUND(E843*I843,2)</f>
        <v>23273.11</v>
      </c>
      <c r="K843" s="1" t="n">
        <f aca="false">PV(H843/12,F843/30,0,-E843)</f>
        <v>27002.7912470505</v>
      </c>
      <c r="L843" s="0" t="n">
        <f aca="false">ROUND(E843-K843,2)</f>
        <v>377.34</v>
      </c>
      <c r="M843" s="0" t="n">
        <f aca="false">F843/E843</f>
        <v>0.00913070902146922</v>
      </c>
    </row>
    <row r="844" customFormat="false" ht="12.8" hidden="false" customHeight="false" outlineLevel="0" collapsed="false">
      <c r="A844" s="0" t="s">
        <v>1290</v>
      </c>
      <c r="B844" s="0" t="s">
        <v>1291</v>
      </c>
      <c r="C844" s="0" t="s">
        <v>42</v>
      </c>
      <c r="D844" s="0" t="s">
        <v>49</v>
      </c>
      <c r="E844" s="0" t="n">
        <v>25116.17</v>
      </c>
      <c r="F844" s="0" t="n">
        <v>357</v>
      </c>
      <c r="G844" s="0" t="str">
        <f aca="false">IF(F844&lt;=30,"Current",IF(F844&lt;=60,"31 to 60 days",IF(F844&lt;=90,"61 to 90 days",IF(F844&lt;=120,"91 to 120 days","Over 120 days"))))</f>
        <v>Over 120 days</v>
      </c>
      <c r="H844" s="0" t="n">
        <f aca="false">VLOOKUP(D844,Rates!$A$4:$B$7,2,FALSE())</f>
        <v>0.02</v>
      </c>
      <c r="I844" s="0" t="n">
        <f aca="false">VLOOKUP(F844,Rates!$D$4:$E$8,2)</f>
        <v>0.85</v>
      </c>
      <c r="J844" s="0" t="n">
        <f aca="false">ROUND(E844*I844,2)</f>
        <v>21348.74</v>
      </c>
      <c r="K844" s="1" t="n">
        <f aca="false">PV(H844/12,F844/30,0,-E844)</f>
        <v>24623.346508133</v>
      </c>
      <c r="L844" s="0" t="n">
        <f aca="false">ROUND(E844-K844,2)</f>
        <v>492.82</v>
      </c>
      <c r="M844" s="0" t="n">
        <f aca="false">F844/E844</f>
        <v>0.0142139506142855</v>
      </c>
    </row>
    <row r="845" customFormat="false" ht="12.8" hidden="false" customHeight="false" outlineLevel="0" collapsed="false">
      <c r="A845" s="0" t="s">
        <v>1292</v>
      </c>
      <c r="B845" s="0" t="s">
        <v>51</v>
      </c>
      <c r="C845" s="0" t="s">
        <v>36</v>
      </c>
      <c r="D845" s="0" t="s">
        <v>20</v>
      </c>
      <c r="E845" s="0" t="n">
        <v>19100.57</v>
      </c>
      <c r="F845" s="0" t="n">
        <v>190</v>
      </c>
      <c r="G845" s="0" t="str">
        <f aca="false">IF(F845&lt;=30,"Current",IF(F845&lt;=60,"31 to 60 days",IF(F845&lt;=90,"61 to 90 days",IF(F845&lt;=120,"91 to 120 days","Over 120 days"))))</f>
        <v>Over 120 days</v>
      </c>
      <c r="H845" s="0" t="n">
        <f aca="false">VLOOKUP(D845,Rates!$A$4:$B$7,2,FALSE())</f>
        <v>0.05</v>
      </c>
      <c r="I845" s="0" t="n">
        <f aca="false">VLOOKUP(F845,Rates!$D$4:$E$8,2)</f>
        <v>0.85</v>
      </c>
      <c r="J845" s="0" t="n">
        <f aca="false">ROUND(E845*I845,2)</f>
        <v>16235.48</v>
      </c>
      <c r="K845" s="1" t="n">
        <f aca="false">PV(H845/12,F845/30,0,-E845)</f>
        <v>18604.1395659178</v>
      </c>
      <c r="L845" s="0" t="n">
        <f aca="false">ROUND(E845-K845,2)</f>
        <v>496.43</v>
      </c>
      <c r="M845" s="0" t="n">
        <f aca="false">F845/E845</f>
        <v>0.0099473471210545</v>
      </c>
    </row>
    <row r="846" customFormat="false" ht="12.8" hidden="false" customHeight="false" outlineLevel="0" collapsed="false">
      <c r="A846" s="0" t="s">
        <v>1293</v>
      </c>
      <c r="B846" s="0" t="s">
        <v>1062</v>
      </c>
      <c r="C846" s="0" t="s">
        <v>19</v>
      </c>
      <c r="D846" s="0" t="s">
        <v>16</v>
      </c>
      <c r="E846" s="0" t="n">
        <v>21680.64</v>
      </c>
      <c r="F846" s="0" t="n">
        <v>85</v>
      </c>
      <c r="G846" s="0" t="str">
        <f aca="false">IF(F846&lt;=30,"Current",IF(F846&lt;=60,"31 to 60 days",IF(F846&lt;=90,"61 to 90 days",IF(F846&lt;=120,"91 to 120 days","Over 120 days"))))</f>
        <v>61 to 90 days</v>
      </c>
      <c r="H846" s="0" t="n">
        <f aca="false">VLOOKUP(D846,Rates!$A$4:$B$7,2,FALSE())</f>
        <v>0.085</v>
      </c>
      <c r="I846" s="0" t="n">
        <f aca="false">VLOOKUP(F846,Rates!$D$4:$E$8,2)</f>
        <v>0.25</v>
      </c>
      <c r="J846" s="0" t="n">
        <f aca="false">ROUND(E846*I846,2)</f>
        <v>5420.16</v>
      </c>
      <c r="K846" s="1" t="n">
        <f aca="false">PV(H846/12,F846/30,0,-E846)</f>
        <v>21251.3622115723</v>
      </c>
      <c r="L846" s="0" t="n">
        <f aca="false">ROUND(E846-K846,2)</f>
        <v>429.28</v>
      </c>
      <c r="M846" s="0" t="n">
        <f aca="false">F846/E846</f>
        <v>0.00392054847089385</v>
      </c>
    </row>
    <row r="847" customFormat="false" ht="12.8" hidden="false" customHeight="false" outlineLevel="0" collapsed="false">
      <c r="A847" s="0" t="s">
        <v>1294</v>
      </c>
      <c r="B847" s="0" t="s">
        <v>1295</v>
      </c>
      <c r="C847" s="0" t="s">
        <v>26</v>
      </c>
      <c r="D847" s="0" t="s">
        <v>49</v>
      </c>
      <c r="E847" s="0" t="n">
        <v>24829.67</v>
      </c>
      <c r="F847" s="0" t="n">
        <v>280</v>
      </c>
      <c r="G847" s="0" t="str">
        <f aca="false">IF(F847&lt;=30,"Current",IF(F847&lt;=60,"31 to 60 days",IF(F847&lt;=90,"61 to 90 days",IF(F847&lt;=120,"91 to 120 days","Over 120 days"))))</f>
        <v>Over 120 days</v>
      </c>
      <c r="H847" s="0" t="n">
        <f aca="false">VLOOKUP(D847,Rates!$A$4:$B$7,2,FALSE())</f>
        <v>0.02</v>
      </c>
      <c r="I847" s="0" t="n">
        <f aca="false">VLOOKUP(F847,Rates!$D$4:$E$8,2)</f>
        <v>0.85</v>
      </c>
      <c r="J847" s="0" t="n">
        <f aca="false">ROUND(E847*I847,2)</f>
        <v>21105.22</v>
      </c>
      <c r="K847" s="1" t="n">
        <f aca="false">PV(H847/12,F847/30,0,-E847)</f>
        <v>24446.735804486</v>
      </c>
      <c r="L847" s="0" t="n">
        <f aca="false">ROUND(E847-K847,2)</f>
        <v>382.93</v>
      </c>
      <c r="M847" s="0" t="n">
        <f aca="false">F847/E847</f>
        <v>0.0112768313070613</v>
      </c>
    </row>
    <row r="848" customFormat="false" ht="12.8" hidden="false" customHeight="false" outlineLevel="0" collapsed="false">
      <c r="A848" s="0" t="s">
        <v>1296</v>
      </c>
      <c r="B848" s="0" t="s">
        <v>1297</v>
      </c>
      <c r="C848" s="0" t="s">
        <v>15</v>
      </c>
      <c r="D848" s="0" t="s">
        <v>49</v>
      </c>
      <c r="E848" s="0" t="n">
        <v>0</v>
      </c>
      <c r="F848" s="0" t="n">
        <v>397</v>
      </c>
      <c r="G848" s="0" t="str">
        <f aca="false">IF(F848&lt;=30,"Current",IF(F848&lt;=60,"31 to 60 days",IF(F848&lt;=90,"61 to 90 days",IF(F848&lt;=120,"91 to 120 days","Over 120 days"))))</f>
        <v>Over 120 days</v>
      </c>
      <c r="H848" s="0" t="n">
        <f aca="false">VLOOKUP(D848,Rates!$A$4:$B$7,2,FALSE())</f>
        <v>0.02</v>
      </c>
      <c r="I848" s="0" t="n">
        <f aca="false">VLOOKUP(F848,Rates!$D$4:$E$8,2)</f>
        <v>0.85</v>
      </c>
      <c r="J848" s="0" t="n">
        <f aca="false">ROUND(E848*I848,2)</f>
        <v>0</v>
      </c>
      <c r="K848" s="1" t="n">
        <f aca="false">PV(H848/12,F848/30,0,-E848)</f>
        <v>-0</v>
      </c>
      <c r="L848" s="0" t="n">
        <f aca="false">ROUND(E848-K848,2)</f>
        <v>0</v>
      </c>
      <c r="M848" s="0" t="e">
        <f aca="false">F848/E848</f>
        <v>#DIV/0!</v>
      </c>
    </row>
    <row r="849" customFormat="false" ht="12.8" hidden="false" customHeight="false" outlineLevel="0" collapsed="false">
      <c r="A849" s="0" t="s">
        <v>1298</v>
      </c>
      <c r="B849" s="0" t="s">
        <v>1299</v>
      </c>
      <c r="C849" s="0" t="s">
        <v>19</v>
      </c>
      <c r="D849" s="0" t="s">
        <v>16</v>
      </c>
      <c r="E849" s="0" t="n">
        <v>37456.83</v>
      </c>
      <c r="F849" s="0" t="n">
        <v>66</v>
      </c>
      <c r="G849" s="0" t="str">
        <f aca="false">IF(F849&lt;=30,"Current",IF(F849&lt;=60,"31 to 60 days",IF(F849&lt;=90,"61 to 90 days",IF(F849&lt;=120,"91 to 120 days","Over 120 days"))))</f>
        <v>61 to 90 days</v>
      </c>
      <c r="H849" s="0" t="n">
        <f aca="false">VLOOKUP(D849,Rates!$A$4:$B$7,2,FALSE())</f>
        <v>0.085</v>
      </c>
      <c r="I849" s="0" t="n">
        <f aca="false">VLOOKUP(F849,Rates!$D$4:$E$8,2)</f>
        <v>0.25</v>
      </c>
      <c r="J849" s="0" t="n">
        <f aca="false">ROUND(E849*I849,2)</f>
        <v>9364.21</v>
      </c>
      <c r="K849" s="1" t="n">
        <f aca="false">PV(H849/12,F849/30,0,-E849)</f>
        <v>36879.6780220364</v>
      </c>
      <c r="L849" s="0" t="n">
        <f aca="false">ROUND(E849-K849,2)</f>
        <v>577.15</v>
      </c>
      <c r="M849" s="0" t="n">
        <f aca="false">F849/E849</f>
        <v>0.00176202844714836</v>
      </c>
    </row>
    <row r="850" customFormat="false" ht="12.8" hidden="false" customHeight="false" outlineLevel="0" collapsed="false">
      <c r="A850" s="0" t="s">
        <v>1300</v>
      </c>
      <c r="B850" s="0" t="s">
        <v>1301</v>
      </c>
      <c r="C850" s="0" t="s">
        <v>26</v>
      </c>
      <c r="D850" s="0" t="s">
        <v>16</v>
      </c>
      <c r="E850" s="0" t="n">
        <v>3969.04</v>
      </c>
      <c r="F850" s="0" t="n">
        <v>355</v>
      </c>
      <c r="G850" s="0" t="str">
        <f aca="false">IF(F850&lt;=30,"Current",IF(F850&lt;=60,"31 to 60 days",IF(F850&lt;=90,"61 to 90 days",IF(F850&lt;=120,"91 to 120 days","Over 120 days"))))</f>
        <v>Over 120 days</v>
      </c>
      <c r="H850" s="0" t="n">
        <f aca="false">VLOOKUP(D850,Rates!$A$4:$B$7,2,FALSE())</f>
        <v>0.085</v>
      </c>
      <c r="I850" s="0" t="n">
        <f aca="false">VLOOKUP(F850,Rates!$D$4:$E$8,2)</f>
        <v>0.85</v>
      </c>
      <c r="J850" s="0" t="n">
        <f aca="false">ROUND(E850*I850,2)</f>
        <v>3373.68</v>
      </c>
      <c r="K850" s="1" t="n">
        <f aca="false">PV(H850/12,F850/30,0,-E850)</f>
        <v>3650.99697271564</v>
      </c>
      <c r="L850" s="0" t="n">
        <f aca="false">ROUND(E850-K850,2)</f>
        <v>318.04</v>
      </c>
      <c r="M850" s="0" t="n">
        <f aca="false">F850/E850</f>
        <v>0.0894422832725294</v>
      </c>
    </row>
    <row r="851" customFormat="false" ht="12.8" hidden="false" customHeight="false" outlineLevel="0" collapsed="false">
      <c r="A851" s="0" t="s">
        <v>1302</v>
      </c>
      <c r="B851" s="0" t="s">
        <v>138</v>
      </c>
      <c r="C851" s="0" t="s">
        <v>15</v>
      </c>
      <c r="D851" s="0" t="s">
        <v>23</v>
      </c>
      <c r="E851" s="0" t="n">
        <v>5756.25</v>
      </c>
      <c r="F851" s="0" t="n">
        <v>237</v>
      </c>
      <c r="G851" s="0" t="str">
        <f aca="false">IF(F851&lt;=30,"Current",IF(F851&lt;=60,"31 to 60 days",IF(F851&lt;=90,"61 to 90 days",IF(F851&lt;=120,"91 to 120 days","Over 120 days"))))</f>
        <v>Over 120 days</v>
      </c>
      <c r="H851" s="0" t="n">
        <f aca="false">VLOOKUP(D851,Rates!$A$4:$B$7,2,FALSE())</f>
        <v>0.115</v>
      </c>
      <c r="I851" s="0" t="n">
        <f aca="false">VLOOKUP(F851,Rates!$D$4:$E$8,2)</f>
        <v>0.85</v>
      </c>
      <c r="J851" s="0" t="n">
        <f aca="false">ROUND(E851*I851,2)</f>
        <v>4892.81</v>
      </c>
      <c r="K851" s="1" t="n">
        <f aca="false">PV(H851/12,F851/30,0,-E851)</f>
        <v>5338.46605252985</v>
      </c>
      <c r="L851" s="0" t="n">
        <f aca="false">ROUND(E851-K851,2)</f>
        <v>417.78</v>
      </c>
      <c r="M851" s="0" t="n">
        <f aca="false">F851/E851</f>
        <v>0.0411726384364821</v>
      </c>
    </row>
    <row r="852" customFormat="false" ht="12.8" hidden="false" customHeight="false" outlineLevel="0" collapsed="false">
      <c r="A852" s="0" t="s">
        <v>1303</v>
      </c>
      <c r="B852" s="0" t="s">
        <v>51</v>
      </c>
      <c r="C852" s="0" t="s">
        <v>36</v>
      </c>
      <c r="D852" s="0" t="s">
        <v>20</v>
      </c>
      <c r="E852" s="0" t="n">
        <v>16007.91</v>
      </c>
      <c r="F852" s="0" t="n">
        <v>41</v>
      </c>
      <c r="G852" s="0" t="str">
        <f aca="false">IF(F852&lt;=30,"Current",IF(F852&lt;=60,"31 to 60 days",IF(F852&lt;=90,"61 to 90 days",IF(F852&lt;=120,"91 to 120 days","Over 120 days"))))</f>
        <v>31 to 60 days</v>
      </c>
      <c r="H852" s="0" t="n">
        <f aca="false">VLOOKUP(D852,Rates!$A$4:$B$7,2,FALSE())</f>
        <v>0.05</v>
      </c>
      <c r="I852" s="0" t="n">
        <f aca="false">VLOOKUP(F852,Rates!$D$4:$E$8,2)</f>
        <v>0.1</v>
      </c>
      <c r="J852" s="0" t="n">
        <f aca="false">ROUND(E852*I852,2)</f>
        <v>1600.79</v>
      </c>
      <c r="K852" s="1" t="n">
        <f aca="false">PV(H852/12,F852/30,0,-E852)</f>
        <v>15917.2012042353</v>
      </c>
      <c r="L852" s="0" t="n">
        <f aca="false">ROUND(E852-K852,2)</f>
        <v>90.71</v>
      </c>
      <c r="M852" s="0" t="n">
        <f aca="false">F852/E852</f>
        <v>0.00256123379004505</v>
      </c>
    </row>
    <row r="853" customFormat="false" ht="12.8" hidden="false" customHeight="false" outlineLevel="0" collapsed="false">
      <c r="A853" s="0" t="s">
        <v>1304</v>
      </c>
      <c r="B853" s="0" t="s">
        <v>30</v>
      </c>
      <c r="C853" s="0" t="s">
        <v>31</v>
      </c>
      <c r="D853" s="0" t="s">
        <v>20</v>
      </c>
      <c r="E853" s="0" t="n">
        <v>14884.2</v>
      </c>
      <c r="F853" s="0" t="n">
        <v>42</v>
      </c>
      <c r="G853" s="0" t="str">
        <f aca="false">IF(F853&lt;=30,"Current",IF(F853&lt;=60,"31 to 60 days",IF(F853&lt;=90,"61 to 90 days",IF(F853&lt;=120,"91 to 120 days","Over 120 days"))))</f>
        <v>31 to 60 days</v>
      </c>
      <c r="H853" s="0" t="n">
        <f aca="false">VLOOKUP(D853,Rates!$A$4:$B$7,2,FALSE())</f>
        <v>0.05</v>
      </c>
      <c r="I853" s="0" t="n">
        <f aca="false">VLOOKUP(F853,Rates!$D$4:$E$8,2)</f>
        <v>0.1</v>
      </c>
      <c r="J853" s="0" t="n">
        <f aca="false">ROUND(E853*I853,2)</f>
        <v>1488.42</v>
      </c>
      <c r="K853" s="1" t="n">
        <f aca="false">PV(H853/12,F853/30,0,-E853)</f>
        <v>14797.8075818309</v>
      </c>
      <c r="L853" s="0" t="n">
        <f aca="false">ROUND(E853-K853,2)</f>
        <v>86.39</v>
      </c>
      <c r="M853" s="0" t="n">
        <f aca="false">F853/E853</f>
        <v>0.00282178417382191</v>
      </c>
    </row>
    <row r="854" customFormat="false" ht="12.8" hidden="false" customHeight="false" outlineLevel="0" collapsed="false">
      <c r="A854" s="0" t="s">
        <v>1305</v>
      </c>
      <c r="B854" s="0" t="s">
        <v>51</v>
      </c>
      <c r="C854" s="0" t="s">
        <v>36</v>
      </c>
      <c r="D854" s="0" t="s">
        <v>20</v>
      </c>
      <c r="E854" s="0" t="n">
        <v>29044.76</v>
      </c>
      <c r="F854" s="0" t="n">
        <v>88</v>
      </c>
      <c r="G854" s="0" t="str">
        <f aca="false">IF(F854&lt;=30,"Current",IF(F854&lt;=60,"31 to 60 days",IF(F854&lt;=90,"61 to 90 days",IF(F854&lt;=120,"91 to 120 days","Over 120 days"))))</f>
        <v>61 to 90 days</v>
      </c>
      <c r="H854" s="0" t="n">
        <f aca="false">VLOOKUP(D854,Rates!$A$4:$B$7,2,FALSE())</f>
        <v>0.05</v>
      </c>
      <c r="I854" s="0" t="n">
        <f aca="false">VLOOKUP(F854,Rates!$D$4:$E$8,2)</f>
        <v>0.25</v>
      </c>
      <c r="J854" s="0" t="n">
        <f aca="false">ROUND(E854*I854,2)</f>
        <v>7261.19</v>
      </c>
      <c r="K854" s="1" t="n">
        <f aca="false">PV(H854/12,F854/30,0,-E854)</f>
        <v>28692.6576378356</v>
      </c>
      <c r="L854" s="0" t="n">
        <f aca="false">ROUND(E854-K854,2)</f>
        <v>352.1</v>
      </c>
      <c r="M854" s="0" t="n">
        <f aca="false">F854/E854</f>
        <v>0.0030298064091423</v>
      </c>
    </row>
    <row r="855" customFormat="false" ht="12.8" hidden="false" customHeight="false" outlineLevel="0" collapsed="false">
      <c r="A855" s="0" t="s">
        <v>1306</v>
      </c>
      <c r="B855" s="0" t="s">
        <v>1307</v>
      </c>
      <c r="C855" s="0" t="s">
        <v>19</v>
      </c>
      <c r="D855" s="0" t="s">
        <v>16</v>
      </c>
      <c r="E855" s="0" t="n">
        <v>35833.59</v>
      </c>
      <c r="F855" s="0" t="n">
        <v>171</v>
      </c>
      <c r="G855" s="0" t="str">
        <f aca="false">IF(F855&lt;=30,"Current",IF(F855&lt;=60,"31 to 60 days",IF(F855&lt;=90,"61 to 90 days",IF(F855&lt;=120,"91 to 120 days","Over 120 days"))))</f>
        <v>Over 120 days</v>
      </c>
      <c r="H855" s="0" t="n">
        <f aca="false">VLOOKUP(D855,Rates!$A$4:$B$7,2,FALSE())</f>
        <v>0.085</v>
      </c>
      <c r="I855" s="0" t="n">
        <f aca="false">VLOOKUP(F855,Rates!$D$4:$E$8,2)</f>
        <v>0.85</v>
      </c>
      <c r="J855" s="0" t="n">
        <f aca="false">ROUND(E855*I855,2)</f>
        <v>30458.55</v>
      </c>
      <c r="K855" s="1" t="n">
        <f aca="false">PV(H855/12,F855/30,0,-E855)</f>
        <v>34420.5250462308</v>
      </c>
      <c r="L855" s="0" t="n">
        <f aca="false">ROUND(E855-K855,2)</f>
        <v>1413.06</v>
      </c>
      <c r="M855" s="0" t="n">
        <f aca="false">F855/E855</f>
        <v>0.00477205884199713</v>
      </c>
    </row>
    <row r="856" customFormat="false" ht="12.8" hidden="false" customHeight="false" outlineLevel="0" collapsed="false">
      <c r="A856" s="0" t="s">
        <v>1308</v>
      </c>
      <c r="B856" s="0" t="s">
        <v>534</v>
      </c>
      <c r="C856" s="0" t="s">
        <v>26</v>
      </c>
      <c r="D856" s="0" t="s">
        <v>23</v>
      </c>
      <c r="E856" s="0" t="n">
        <v>35269.19</v>
      </c>
      <c r="F856" s="0" t="n">
        <v>251</v>
      </c>
      <c r="G856" s="0" t="str">
        <f aca="false">IF(F856&lt;=30,"Current",IF(F856&lt;=60,"31 to 60 days",IF(F856&lt;=90,"61 to 90 days",IF(F856&lt;=120,"91 to 120 days","Over 120 days"))))</f>
        <v>Over 120 days</v>
      </c>
      <c r="H856" s="0" t="n">
        <f aca="false">VLOOKUP(D856,Rates!$A$4:$B$7,2,FALSE())</f>
        <v>0.115</v>
      </c>
      <c r="I856" s="0" t="n">
        <f aca="false">VLOOKUP(F856,Rates!$D$4:$E$8,2)</f>
        <v>0.85</v>
      </c>
      <c r="J856" s="0" t="n">
        <f aca="false">ROUND(E856*I856,2)</f>
        <v>29978.81</v>
      </c>
      <c r="K856" s="1" t="n">
        <f aca="false">PV(H856/12,F856/30,0,-E856)</f>
        <v>32564.117244479</v>
      </c>
      <c r="L856" s="0" t="n">
        <f aca="false">ROUND(E856-K856,2)</f>
        <v>2705.07</v>
      </c>
      <c r="M856" s="0" t="n">
        <f aca="false">F856/E856</f>
        <v>0.0071166930683693</v>
      </c>
    </row>
    <row r="857" customFormat="false" ht="12.8" hidden="false" customHeight="false" outlineLevel="0" collapsed="false">
      <c r="A857" s="0" t="s">
        <v>1309</v>
      </c>
      <c r="B857" s="0" t="s">
        <v>1310</v>
      </c>
      <c r="C857" s="0" t="s">
        <v>42</v>
      </c>
      <c r="D857" s="0" t="s">
        <v>49</v>
      </c>
      <c r="E857" s="0" t="n">
        <v>44608.96</v>
      </c>
      <c r="F857" s="0" t="n">
        <v>364</v>
      </c>
      <c r="G857" s="0" t="str">
        <f aca="false">IF(F857&lt;=30,"Current",IF(F857&lt;=60,"31 to 60 days",IF(F857&lt;=90,"61 to 90 days",IF(F857&lt;=120,"91 to 120 days","Over 120 days"))))</f>
        <v>Over 120 days</v>
      </c>
      <c r="H857" s="0" t="n">
        <f aca="false">VLOOKUP(D857,Rates!$A$4:$B$7,2,FALSE())</f>
        <v>0.02</v>
      </c>
      <c r="I857" s="0" t="n">
        <f aca="false">VLOOKUP(F857,Rates!$D$4:$E$8,2)</f>
        <v>0.85</v>
      </c>
      <c r="J857" s="0" t="n">
        <f aca="false">ROUND(E857*I857,2)</f>
        <v>37917.62</v>
      </c>
      <c r="K857" s="1" t="n">
        <f aca="false">PV(H857/12,F857/30,0,-E857)</f>
        <v>43716.663562516</v>
      </c>
      <c r="L857" s="0" t="n">
        <f aca="false">ROUND(E857-K857,2)</f>
        <v>892.3</v>
      </c>
      <c r="M857" s="0" t="n">
        <f aca="false">F857/E857</f>
        <v>0.00815979570023601</v>
      </c>
    </row>
    <row r="858" customFormat="false" ht="12.8" hidden="false" customHeight="false" outlineLevel="0" collapsed="false">
      <c r="A858" s="0" t="s">
        <v>1311</v>
      </c>
      <c r="B858" s="0" t="s">
        <v>150</v>
      </c>
      <c r="C858" s="0" t="s">
        <v>31</v>
      </c>
      <c r="D858" s="0" t="s">
        <v>23</v>
      </c>
      <c r="E858" s="0" t="n">
        <v>40204.12</v>
      </c>
      <c r="F858" s="0" t="n">
        <v>309</v>
      </c>
      <c r="G858" s="0" t="str">
        <f aca="false">IF(F858&lt;=30,"Current",IF(F858&lt;=60,"31 to 60 days",IF(F858&lt;=90,"61 to 90 days",IF(F858&lt;=120,"91 to 120 days","Over 120 days"))))</f>
        <v>Over 120 days</v>
      </c>
      <c r="H858" s="0" t="n">
        <f aca="false">VLOOKUP(D858,Rates!$A$4:$B$7,2,FALSE())</f>
        <v>0.115</v>
      </c>
      <c r="I858" s="0" t="n">
        <f aca="false">VLOOKUP(F858,Rates!$D$4:$E$8,2)</f>
        <v>0.85</v>
      </c>
      <c r="J858" s="0" t="n">
        <f aca="false">ROUND(E858*I858,2)</f>
        <v>34173.5</v>
      </c>
      <c r="K858" s="1" t="n">
        <f aca="false">PV(H858/12,F858/30,0,-E858)</f>
        <v>36442.3340346955</v>
      </c>
      <c r="L858" s="0" t="n">
        <f aca="false">ROUND(E858-K858,2)</f>
        <v>3761.79</v>
      </c>
      <c r="M858" s="0" t="n">
        <f aca="false">F858/E858</f>
        <v>0.00768577946737797</v>
      </c>
    </row>
    <row r="859" customFormat="false" ht="12.8" hidden="false" customHeight="false" outlineLevel="0" collapsed="false">
      <c r="A859" s="0" t="s">
        <v>1312</v>
      </c>
      <c r="B859" s="0" t="s">
        <v>1313</v>
      </c>
      <c r="C859" s="0" t="s">
        <v>15</v>
      </c>
      <c r="D859" s="0" t="s">
        <v>16</v>
      </c>
      <c r="E859" s="0" t="n">
        <v>6191</v>
      </c>
      <c r="F859" s="0" t="n">
        <v>346</v>
      </c>
      <c r="G859" s="0" t="str">
        <f aca="false">IF(F859&lt;=30,"Current",IF(F859&lt;=60,"31 to 60 days",IF(F859&lt;=90,"61 to 90 days",IF(F859&lt;=120,"91 to 120 days","Over 120 days"))))</f>
        <v>Over 120 days</v>
      </c>
      <c r="H859" s="0" t="n">
        <f aca="false">VLOOKUP(D859,Rates!$A$4:$B$7,2,FALSE())</f>
        <v>0.085</v>
      </c>
      <c r="I859" s="0" t="n">
        <f aca="false">VLOOKUP(F859,Rates!$D$4:$E$8,2)</f>
        <v>0.85</v>
      </c>
      <c r="J859" s="0" t="n">
        <f aca="false">ROUND(E859*I859,2)</f>
        <v>5262.35</v>
      </c>
      <c r="K859" s="1" t="n">
        <f aca="false">PV(H859/12,F859/30,0,-E859)</f>
        <v>5706.98096116386</v>
      </c>
      <c r="L859" s="0" t="n">
        <f aca="false">ROUND(E859-K859,2)</f>
        <v>484.02</v>
      </c>
      <c r="M859" s="0" t="n">
        <f aca="false">F859/E859</f>
        <v>0.0558875787433371</v>
      </c>
    </row>
    <row r="860" customFormat="false" ht="12.8" hidden="false" customHeight="false" outlineLevel="0" collapsed="false">
      <c r="A860" s="0" t="s">
        <v>1314</v>
      </c>
      <c r="B860" s="0" t="s">
        <v>51</v>
      </c>
      <c r="C860" s="0" t="s">
        <v>36</v>
      </c>
      <c r="D860" s="0" t="s">
        <v>20</v>
      </c>
      <c r="E860" s="0" t="n">
        <v>43669.01</v>
      </c>
      <c r="F860" s="0" t="n">
        <v>256</v>
      </c>
      <c r="G860" s="0" t="str">
        <f aca="false">IF(F860&lt;=30,"Current",IF(F860&lt;=60,"31 to 60 days",IF(F860&lt;=90,"61 to 90 days",IF(F860&lt;=120,"91 to 120 days","Over 120 days"))))</f>
        <v>Over 120 days</v>
      </c>
      <c r="H860" s="0" t="n">
        <f aca="false">VLOOKUP(D860,Rates!$A$4:$B$7,2,FALSE())</f>
        <v>0.05</v>
      </c>
      <c r="I860" s="0" t="n">
        <f aca="false">VLOOKUP(F860,Rates!$D$4:$E$8,2)</f>
        <v>0.85</v>
      </c>
      <c r="J860" s="0" t="n">
        <f aca="false">ROUND(E860*I860,2)</f>
        <v>37118.66</v>
      </c>
      <c r="K860" s="1" t="n">
        <f aca="false">PV(H860/12,F860/30,0,-E860)</f>
        <v>42146.7261750235</v>
      </c>
      <c r="L860" s="0" t="n">
        <f aca="false">ROUND(E860-K860,2)</f>
        <v>1522.28</v>
      </c>
      <c r="M860" s="0" t="n">
        <f aca="false">F860/E860</f>
        <v>0.00586228082569309</v>
      </c>
    </row>
    <row r="861" customFormat="false" ht="12.8" hidden="false" customHeight="false" outlineLevel="0" collapsed="false">
      <c r="A861" s="0" t="s">
        <v>1315</v>
      </c>
      <c r="B861" s="0" t="s">
        <v>1316</v>
      </c>
      <c r="C861" s="0" t="s">
        <v>19</v>
      </c>
      <c r="D861" s="0" t="s">
        <v>16</v>
      </c>
      <c r="E861" s="0" t="n">
        <v>17152.74</v>
      </c>
      <c r="F861" s="0" t="n">
        <v>304</v>
      </c>
      <c r="G861" s="0" t="str">
        <f aca="false">IF(F861&lt;=30,"Current",IF(F861&lt;=60,"31 to 60 days",IF(F861&lt;=90,"61 to 90 days",IF(F861&lt;=120,"91 to 120 days","Over 120 days"))))</f>
        <v>Over 120 days</v>
      </c>
      <c r="H861" s="0" t="n">
        <f aca="false">VLOOKUP(D861,Rates!$A$4:$B$7,2,FALSE())</f>
        <v>0.085</v>
      </c>
      <c r="I861" s="0" t="n">
        <f aca="false">VLOOKUP(F861,Rates!$D$4:$E$8,2)</f>
        <v>0.85</v>
      </c>
      <c r="J861" s="0" t="n">
        <f aca="false">ROUND(E861*I861,2)</f>
        <v>14579.83</v>
      </c>
      <c r="K861" s="1" t="n">
        <f aca="false">PV(H861/12,F861/30,0,-E861)</f>
        <v>15968.7417168042</v>
      </c>
      <c r="L861" s="0" t="n">
        <f aca="false">ROUND(E861-K861,2)</f>
        <v>1184</v>
      </c>
      <c r="M861" s="0" t="n">
        <f aca="false">F861/E861</f>
        <v>0.0177231159569841</v>
      </c>
    </row>
    <row r="862" customFormat="false" ht="12.8" hidden="false" customHeight="false" outlineLevel="0" collapsed="false">
      <c r="A862" s="0" t="s">
        <v>1317</v>
      </c>
      <c r="B862" s="0" t="s">
        <v>1318</v>
      </c>
      <c r="C862" s="0" t="s">
        <v>31</v>
      </c>
      <c r="D862" s="0" t="s">
        <v>49</v>
      </c>
      <c r="E862" s="0" t="n">
        <v>32120.92</v>
      </c>
      <c r="F862" s="0" t="n">
        <v>81</v>
      </c>
      <c r="G862" s="0" t="str">
        <f aca="false">IF(F862&lt;=30,"Current",IF(F862&lt;=60,"31 to 60 days",IF(F862&lt;=90,"61 to 90 days",IF(F862&lt;=120,"91 to 120 days","Over 120 days"))))</f>
        <v>61 to 90 days</v>
      </c>
      <c r="H862" s="0" t="n">
        <f aca="false">VLOOKUP(D862,Rates!$A$4:$B$7,2,FALSE())</f>
        <v>0.02</v>
      </c>
      <c r="I862" s="0" t="n">
        <f aca="false">VLOOKUP(F862,Rates!$D$4:$E$8,2)</f>
        <v>0.25</v>
      </c>
      <c r="J862" s="0" t="n">
        <f aca="false">ROUND(E862*I862,2)</f>
        <v>8030.23</v>
      </c>
      <c r="K862" s="1" t="n">
        <f aca="false">PV(H862/12,F862/30,0,-E862)</f>
        <v>31976.8203768085</v>
      </c>
      <c r="L862" s="0" t="n">
        <f aca="false">ROUND(E862-K862,2)</f>
        <v>144.1</v>
      </c>
      <c r="M862" s="0" t="n">
        <f aca="false">F862/E862</f>
        <v>0.00252172104659518</v>
      </c>
    </row>
    <row r="863" customFormat="false" ht="12.8" hidden="false" customHeight="false" outlineLevel="0" collapsed="false">
      <c r="A863" s="0" t="s">
        <v>1319</v>
      </c>
      <c r="B863" s="0" t="s">
        <v>1320</v>
      </c>
      <c r="C863" s="0" t="s">
        <v>42</v>
      </c>
      <c r="D863" s="0" t="s">
        <v>49</v>
      </c>
      <c r="E863" s="0" t="n">
        <v>42356.86</v>
      </c>
      <c r="F863" s="0" t="n">
        <v>148</v>
      </c>
      <c r="G863" s="0" t="str">
        <f aca="false">IF(F863&lt;=30,"Current",IF(F863&lt;=60,"31 to 60 days",IF(F863&lt;=90,"61 to 90 days",IF(F863&lt;=120,"91 to 120 days","Over 120 days"))))</f>
        <v>Over 120 days</v>
      </c>
      <c r="H863" s="0" t="n">
        <f aca="false">VLOOKUP(D863,Rates!$A$4:$B$7,2,FALSE())</f>
        <v>0.02</v>
      </c>
      <c r="I863" s="0" t="n">
        <f aca="false">VLOOKUP(F863,Rates!$D$4:$E$8,2)</f>
        <v>0.85</v>
      </c>
      <c r="J863" s="0" t="n">
        <f aca="false">ROUND(E863*I863,2)</f>
        <v>36003.33</v>
      </c>
      <c r="K863" s="1" t="n">
        <f aca="false">PV(H863/12,F863/30,0,-E863)</f>
        <v>42010.3078628391</v>
      </c>
      <c r="L863" s="0" t="n">
        <f aca="false">ROUND(E863-K863,2)</f>
        <v>346.55</v>
      </c>
      <c r="M863" s="0" t="n">
        <f aca="false">F863/E863</f>
        <v>0.00349412114117996</v>
      </c>
    </row>
    <row r="864" customFormat="false" ht="12.8" hidden="false" customHeight="false" outlineLevel="0" collapsed="false">
      <c r="A864" s="0" t="s">
        <v>1321</v>
      </c>
      <c r="B864" s="0" t="s">
        <v>205</v>
      </c>
      <c r="C864" s="0" t="s">
        <v>42</v>
      </c>
      <c r="D864" s="0" t="s">
        <v>23</v>
      </c>
      <c r="E864" s="0" t="n">
        <v>6381.07</v>
      </c>
      <c r="F864" s="0" t="n">
        <v>352</v>
      </c>
      <c r="G864" s="0" t="str">
        <f aca="false">IF(F864&lt;=30,"Current",IF(F864&lt;=60,"31 to 60 days",IF(F864&lt;=90,"61 to 90 days",IF(F864&lt;=120,"91 to 120 days","Over 120 days"))))</f>
        <v>Over 120 days</v>
      </c>
      <c r="H864" s="0" t="n">
        <f aca="false">VLOOKUP(D864,Rates!$A$4:$B$7,2,FALSE())</f>
        <v>0.115</v>
      </c>
      <c r="I864" s="0" t="n">
        <f aca="false">VLOOKUP(F864,Rates!$D$4:$E$8,2)</f>
        <v>0.85</v>
      </c>
      <c r="J864" s="0" t="n">
        <f aca="false">ROUND(E864*I864,2)</f>
        <v>5423.91</v>
      </c>
      <c r="K864" s="1" t="n">
        <f aca="false">PV(H864/12,F864/30,0,-E864)</f>
        <v>5705.47778908191</v>
      </c>
      <c r="L864" s="0" t="n">
        <f aca="false">ROUND(E864-K864,2)</f>
        <v>675.59</v>
      </c>
      <c r="M864" s="0" t="n">
        <f aca="false">F864/E864</f>
        <v>0.0551631622909637</v>
      </c>
    </row>
    <row r="865" customFormat="false" ht="12.8" hidden="false" customHeight="false" outlineLevel="0" collapsed="false">
      <c r="A865" s="0" t="s">
        <v>1322</v>
      </c>
      <c r="B865" s="0" t="s">
        <v>1323</v>
      </c>
      <c r="C865" s="0" t="s">
        <v>15</v>
      </c>
      <c r="D865" s="0" t="s">
        <v>16</v>
      </c>
      <c r="E865" s="0" t="n">
        <v>41740.69</v>
      </c>
      <c r="F865" s="0" t="n">
        <v>366</v>
      </c>
      <c r="G865" s="0" t="str">
        <f aca="false">IF(F865&lt;=30,"Current",IF(F865&lt;=60,"31 to 60 days",IF(F865&lt;=90,"61 to 90 days",IF(F865&lt;=120,"91 to 120 days","Over 120 days"))))</f>
        <v>Over 120 days</v>
      </c>
      <c r="H865" s="0" t="n">
        <f aca="false">VLOOKUP(D865,Rates!$A$4:$B$7,2,FALSE())</f>
        <v>0.085</v>
      </c>
      <c r="I865" s="0" t="n">
        <f aca="false">VLOOKUP(F865,Rates!$D$4:$E$8,2)</f>
        <v>0.85</v>
      </c>
      <c r="J865" s="0" t="n">
        <f aca="false">ROUND(E865*I865,2)</f>
        <v>35479.59</v>
      </c>
      <c r="K865" s="1" t="n">
        <f aca="false">PV(H865/12,F865/30,0,-E865)</f>
        <v>38296.7251433478</v>
      </c>
      <c r="L865" s="0" t="n">
        <f aca="false">ROUND(E865-K865,2)</f>
        <v>3443.96</v>
      </c>
      <c r="M865" s="0" t="n">
        <f aca="false">F865/E865</f>
        <v>0.0087684223715516</v>
      </c>
    </row>
    <row r="866" customFormat="false" ht="12.8" hidden="false" customHeight="false" outlineLevel="0" collapsed="false">
      <c r="A866" s="0" t="s">
        <v>1324</v>
      </c>
      <c r="B866" s="0" t="s">
        <v>1325</v>
      </c>
      <c r="C866" s="0" t="s">
        <v>15</v>
      </c>
      <c r="D866" s="0" t="s">
        <v>49</v>
      </c>
      <c r="E866" s="0" t="n">
        <v>7385.32</v>
      </c>
      <c r="F866" s="0" t="n">
        <v>362</v>
      </c>
      <c r="G866" s="0" t="str">
        <f aca="false">IF(F866&lt;=30,"Current",IF(F866&lt;=60,"31 to 60 days",IF(F866&lt;=90,"61 to 90 days",IF(F866&lt;=120,"91 to 120 days","Over 120 days"))))</f>
        <v>Over 120 days</v>
      </c>
      <c r="H866" s="0" t="n">
        <f aca="false">VLOOKUP(D866,Rates!$A$4:$B$7,2,FALSE())</f>
        <v>0.02</v>
      </c>
      <c r="I866" s="0" t="n">
        <f aca="false">VLOOKUP(F866,Rates!$D$4:$E$8,2)</f>
        <v>0.85</v>
      </c>
      <c r="J866" s="0" t="n">
        <f aca="false">ROUND(E866*I866,2)</f>
        <v>6277.52</v>
      </c>
      <c r="K866" s="1" t="n">
        <f aca="false">PV(H866/12,F866/30,0,-E866)</f>
        <v>7238.39774286072</v>
      </c>
      <c r="L866" s="0" t="n">
        <f aca="false">ROUND(E866-K866,2)</f>
        <v>146.92</v>
      </c>
      <c r="M866" s="0" t="n">
        <f aca="false">F866/E866</f>
        <v>0.0490161563750792</v>
      </c>
    </row>
    <row r="867" customFormat="false" ht="12.8" hidden="false" customHeight="false" outlineLevel="0" collapsed="false">
      <c r="A867" s="0" t="s">
        <v>1326</v>
      </c>
      <c r="B867" s="0" t="s">
        <v>28</v>
      </c>
      <c r="C867" s="0" t="s">
        <v>15</v>
      </c>
      <c r="D867" s="0" t="s">
        <v>20</v>
      </c>
      <c r="E867" s="0" t="n">
        <v>20518.38</v>
      </c>
      <c r="F867" s="0" t="n">
        <v>301</v>
      </c>
      <c r="G867" s="0" t="str">
        <f aca="false">IF(F867&lt;=30,"Current",IF(F867&lt;=60,"31 to 60 days",IF(F867&lt;=90,"61 to 90 days",IF(F867&lt;=120,"91 to 120 days","Over 120 days"))))</f>
        <v>Over 120 days</v>
      </c>
      <c r="H867" s="0" t="n">
        <f aca="false">VLOOKUP(D867,Rates!$A$4:$B$7,2,FALSE())</f>
        <v>0.05</v>
      </c>
      <c r="I867" s="0" t="n">
        <f aca="false">VLOOKUP(F867,Rates!$D$4:$E$8,2)</f>
        <v>0.85</v>
      </c>
      <c r="J867" s="0" t="n">
        <f aca="false">ROUND(E867*I867,2)</f>
        <v>17440.62</v>
      </c>
      <c r="K867" s="1" t="n">
        <f aca="false">PV(H867/12,F867/30,0,-E867)</f>
        <v>19679.9896949369</v>
      </c>
      <c r="L867" s="0" t="n">
        <f aca="false">ROUND(E867-K867,2)</f>
        <v>838.39</v>
      </c>
      <c r="M867" s="0" t="n">
        <f aca="false">F867/E867</f>
        <v>0.0146697741244679</v>
      </c>
    </row>
    <row r="868" customFormat="false" ht="12.8" hidden="false" customHeight="false" outlineLevel="0" collapsed="false">
      <c r="A868" s="0" t="s">
        <v>1327</v>
      </c>
      <c r="B868" s="0" t="s">
        <v>1328</v>
      </c>
      <c r="C868" s="0" t="s">
        <v>19</v>
      </c>
      <c r="D868" s="0" t="s">
        <v>16</v>
      </c>
      <c r="E868" s="0" t="n">
        <v>16959.15</v>
      </c>
      <c r="F868" s="0" t="n">
        <v>154</v>
      </c>
      <c r="G868" s="0" t="str">
        <f aca="false">IF(F868&lt;=30,"Current",IF(F868&lt;=60,"31 to 60 days",IF(F868&lt;=90,"61 to 90 days",IF(F868&lt;=120,"91 to 120 days","Over 120 days"))))</f>
        <v>Over 120 days</v>
      </c>
      <c r="H868" s="0" t="n">
        <f aca="false">VLOOKUP(D868,Rates!$A$4:$B$7,2,FALSE())</f>
        <v>0.085</v>
      </c>
      <c r="I868" s="0" t="n">
        <f aca="false">VLOOKUP(F868,Rates!$D$4:$E$8,2)</f>
        <v>0.85</v>
      </c>
      <c r="J868" s="0" t="n">
        <f aca="false">ROUND(E868*I868,2)</f>
        <v>14415.28</v>
      </c>
      <c r="K868" s="1" t="n">
        <f aca="false">PV(H868/12,F868/30,0,-E868)</f>
        <v>16355.6691475487</v>
      </c>
      <c r="L868" s="0" t="n">
        <f aca="false">ROUND(E868-K868,2)</f>
        <v>603.48</v>
      </c>
      <c r="M868" s="0" t="n">
        <f aca="false">F868/E868</f>
        <v>0.00908064378226503</v>
      </c>
    </row>
    <row r="869" customFormat="false" ht="12.8" hidden="false" customHeight="false" outlineLevel="0" collapsed="false">
      <c r="A869" s="0" t="s">
        <v>1329</v>
      </c>
      <c r="B869" s="0" t="s">
        <v>28</v>
      </c>
      <c r="C869" s="0" t="s">
        <v>15</v>
      </c>
      <c r="D869" s="0" t="s">
        <v>20</v>
      </c>
      <c r="E869" s="0" t="n">
        <v>12203.45</v>
      </c>
      <c r="F869" s="0" t="n">
        <v>205</v>
      </c>
      <c r="G869" s="0" t="str">
        <f aca="false">IF(F869&lt;=30,"Current",IF(F869&lt;=60,"31 to 60 days",IF(F869&lt;=90,"61 to 90 days",IF(F869&lt;=120,"91 to 120 days","Over 120 days"))))</f>
        <v>Over 120 days</v>
      </c>
      <c r="H869" s="0" t="n">
        <f aca="false">VLOOKUP(D869,Rates!$A$4:$B$7,2,FALSE())</f>
        <v>0.05</v>
      </c>
      <c r="I869" s="0" t="n">
        <f aca="false">VLOOKUP(F869,Rates!$D$4:$E$8,2)</f>
        <v>0.85</v>
      </c>
      <c r="J869" s="0" t="n">
        <f aca="false">ROUND(E869*I869,2)</f>
        <v>10372.93</v>
      </c>
      <c r="K869" s="1" t="n">
        <f aca="false">PV(H869/12,F869/30,0,-E869)</f>
        <v>11861.5921426048</v>
      </c>
      <c r="L869" s="0" t="n">
        <f aca="false">ROUND(E869-K869,2)</f>
        <v>341.86</v>
      </c>
      <c r="M869" s="0" t="n">
        <f aca="false">F869/E869</f>
        <v>0.0167985282850342</v>
      </c>
    </row>
    <row r="870" customFormat="false" ht="12.8" hidden="false" customHeight="false" outlineLevel="0" collapsed="false">
      <c r="A870" s="0" t="s">
        <v>1330</v>
      </c>
      <c r="B870" s="0" t="s">
        <v>1331</v>
      </c>
      <c r="C870" s="0" t="s">
        <v>19</v>
      </c>
      <c r="D870" s="0" t="s">
        <v>16</v>
      </c>
      <c r="E870" s="0" t="n">
        <v>37844.89</v>
      </c>
      <c r="F870" s="0" t="n">
        <v>371</v>
      </c>
      <c r="G870" s="0" t="str">
        <f aca="false">IF(F870&lt;=30,"Current",IF(F870&lt;=60,"31 to 60 days",IF(F870&lt;=90,"61 to 90 days",IF(F870&lt;=120,"91 to 120 days","Over 120 days"))))</f>
        <v>Over 120 days</v>
      </c>
      <c r="H870" s="0" t="n">
        <f aca="false">VLOOKUP(D870,Rates!$A$4:$B$7,2,FALSE())</f>
        <v>0.085</v>
      </c>
      <c r="I870" s="0" t="n">
        <f aca="false">VLOOKUP(F870,Rates!$D$4:$E$8,2)</f>
        <v>0.85</v>
      </c>
      <c r="J870" s="0" t="n">
        <f aca="false">ROUND(E870*I870,2)</f>
        <v>32168.16</v>
      </c>
      <c r="K870" s="1" t="n">
        <f aca="false">PV(H870/12,F870/30,0,-E870)</f>
        <v>34681.5388865848</v>
      </c>
      <c r="L870" s="0" t="n">
        <f aca="false">ROUND(E870-K870,2)</f>
        <v>3163.35</v>
      </c>
      <c r="M870" s="0" t="n">
        <f aca="false">F870/E870</f>
        <v>0.00980317289863968</v>
      </c>
    </row>
    <row r="871" customFormat="false" ht="12.8" hidden="false" customHeight="false" outlineLevel="0" collapsed="false">
      <c r="A871" s="0" t="s">
        <v>1332</v>
      </c>
      <c r="B871" s="0" t="s">
        <v>30</v>
      </c>
      <c r="C871" s="0" t="s">
        <v>31</v>
      </c>
      <c r="D871" s="0" t="s">
        <v>20</v>
      </c>
      <c r="E871" s="0" t="n">
        <v>36217.52</v>
      </c>
      <c r="F871" s="0" t="n">
        <v>125</v>
      </c>
      <c r="G871" s="0" t="str">
        <f aca="false">IF(F871&lt;=30,"Current",IF(F871&lt;=60,"31 to 60 days",IF(F871&lt;=90,"61 to 90 days",IF(F871&lt;=120,"91 to 120 days","Over 120 days"))))</f>
        <v>Over 120 days</v>
      </c>
      <c r="H871" s="0" t="n">
        <f aca="false">VLOOKUP(D871,Rates!$A$4:$B$7,2,FALSE())</f>
        <v>0.05</v>
      </c>
      <c r="I871" s="0" t="n">
        <f aca="false">VLOOKUP(F871,Rates!$D$4:$E$8,2)</f>
        <v>0.85</v>
      </c>
      <c r="J871" s="0" t="n">
        <f aca="false">ROUND(E871*I871,2)</f>
        <v>30784.89</v>
      </c>
      <c r="K871" s="1" t="n">
        <f aca="false">PV(H871/12,F871/30,0,-E871)</f>
        <v>35595.4541527681</v>
      </c>
      <c r="L871" s="0" t="n">
        <f aca="false">ROUND(E871-K871,2)</f>
        <v>622.07</v>
      </c>
      <c r="M871" s="0" t="n">
        <f aca="false">F871/E871</f>
        <v>0.00345136828805506</v>
      </c>
    </row>
    <row r="872" customFormat="false" ht="12.8" hidden="false" customHeight="false" outlineLevel="0" collapsed="false">
      <c r="A872" s="0" t="s">
        <v>1333</v>
      </c>
      <c r="B872" s="0" t="s">
        <v>97</v>
      </c>
      <c r="C872" s="0" t="s">
        <v>42</v>
      </c>
      <c r="D872" s="0" t="s">
        <v>20</v>
      </c>
      <c r="E872" s="0" t="n">
        <v>29575.45</v>
      </c>
      <c r="F872" s="0" t="n">
        <v>95</v>
      </c>
      <c r="G872" s="0" t="str">
        <f aca="false">IF(F872&lt;=30,"Current",IF(F872&lt;=60,"31 to 60 days",IF(F872&lt;=90,"61 to 90 days",IF(F872&lt;=120,"91 to 120 days","Over 120 days"))))</f>
        <v>91 to 120 days</v>
      </c>
      <c r="H872" s="0" t="n">
        <f aca="false">VLOOKUP(D872,Rates!$A$4:$B$7,2,FALSE())</f>
        <v>0.05</v>
      </c>
      <c r="I872" s="0" t="n">
        <f aca="false">VLOOKUP(F872,Rates!$D$4:$E$8,2)</f>
        <v>0.5</v>
      </c>
      <c r="J872" s="0" t="n">
        <f aca="false">ROUND(E872*I872,2)</f>
        <v>14787.73</v>
      </c>
      <c r="K872" s="1" t="n">
        <f aca="false">PV(H872/12,F872/30,0,-E872)</f>
        <v>29188.5816427058</v>
      </c>
      <c r="L872" s="0" t="n">
        <f aca="false">ROUND(E872-K872,2)</f>
        <v>386.87</v>
      </c>
      <c r="M872" s="0" t="n">
        <f aca="false">F872/E872</f>
        <v>0.0032121235687031</v>
      </c>
    </row>
    <row r="873" customFormat="false" ht="12.8" hidden="false" customHeight="false" outlineLevel="0" collapsed="false">
      <c r="A873" s="0" t="s">
        <v>1334</v>
      </c>
      <c r="B873" s="0" t="s">
        <v>33</v>
      </c>
      <c r="C873" s="0" t="s">
        <v>26</v>
      </c>
      <c r="D873" s="0" t="s">
        <v>20</v>
      </c>
      <c r="E873" s="0" t="n">
        <v>16436.01</v>
      </c>
      <c r="F873" s="0" t="n">
        <v>245</v>
      </c>
      <c r="G873" s="0" t="str">
        <f aca="false">IF(F873&lt;=30,"Current",IF(F873&lt;=60,"31 to 60 days",IF(F873&lt;=90,"61 to 90 days",IF(F873&lt;=120,"91 to 120 days","Over 120 days"))))</f>
        <v>Over 120 days</v>
      </c>
      <c r="H873" s="0" t="n">
        <f aca="false">VLOOKUP(D873,Rates!$A$4:$B$7,2,FALSE())</f>
        <v>0.05</v>
      </c>
      <c r="I873" s="0" t="n">
        <f aca="false">VLOOKUP(F873,Rates!$D$4:$E$8,2)</f>
        <v>0.85</v>
      </c>
      <c r="J873" s="0" t="n">
        <f aca="false">ROUND(E873*I873,2)</f>
        <v>13970.61</v>
      </c>
      <c r="K873" s="1" t="n">
        <f aca="false">PV(H873/12,F873/30,0,-E873)</f>
        <v>15887.2607367697</v>
      </c>
      <c r="L873" s="0" t="n">
        <f aca="false">ROUND(E873-K873,2)</f>
        <v>548.75</v>
      </c>
      <c r="M873" s="0" t="n">
        <f aca="false">F873/E873</f>
        <v>0.0149062941675017</v>
      </c>
    </row>
    <row r="874" customFormat="false" ht="12.8" hidden="false" customHeight="false" outlineLevel="0" collapsed="false">
      <c r="A874" s="0" t="s">
        <v>1335</v>
      </c>
      <c r="B874" s="0" t="s">
        <v>97</v>
      </c>
      <c r="C874" s="0" t="s">
        <v>42</v>
      </c>
      <c r="D874" s="0" t="s">
        <v>20</v>
      </c>
      <c r="E874" s="0" t="n">
        <v>39013.17</v>
      </c>
      <c r="F874" s="0" t="n">
        <v>167</v>
      </c>
      <c r="G874" s="0" t="str">
        <f aca="false">IF(F874&lt;=30,"Current",IF(F874&lt;=60,"31 to 60 days",IF(F874&lt;=90,"61 to 90 days",IF(F874&lt;=120,"91 to 120 days","Over 120 days"))))</f>
        <v>Over 120 days</v>
      </c>
      <c r="H874" s="0" t="n">
        <f aca="false">VLOOKUP(D874,Rates!$A$4:$B$7,2,FALSE())</f>
        <v>0.05</v>
      </c>
      <c r="I874" s="0" t="n">
        <f aca="false">VLOOKUP(F874,Rates!$D$4:$E$8,2)</f>
        <v>0.85</v>
      </c>
      <c r="J874" s="0" t="n">
        <f aca="false">ROUND(E874*I874,2)</f>
        <v>33161.19</v>
      </c>
      <c r="K874" s="1" t="n">
        <f aca="false">PV(H874/12,F874/30,0,-E874)</f>
        <v>38120.5316310173</v>
      </c>
      <c r="L874" s="0" t="n">
        <f aca="false">ROUND(E874-K874,2)</f>
        <v>892.64</v>
      </c>
      <c r="M874" s="0" t="n">
        <f aca="false">F874/E874</f>
        <v>0.00428060575441575</v>
      </c>
    </row>
    <row r="875" customFormat="false" ht="12.8" hidden="false" customHeight="false" outlineLevel="0" collapsed="false">
      <c r="A875" s="0" t="s">
        <v>1336</v>
      </c>
      <c r="B875" s="0" t="s">
        <v>480</v>
      </c>
      <c r="C875" s="0" t="s">
        <v>36</v>
      </c>
      <c r="D875" s="0" t="s">
        <v>23</v>
      </c>
      <c r="E875" s="0" t="n">
        <v>1368.5</v>
      </c>
      <c r="F875" s="0" t="n">
        <v>167</v>
      </c>
      <c r="G875" s="0" t="str">
        <f aca="false">IF(F875&lt;=30,"Current",IF(F875&lt;=60,"31 to 60 days",IF(F875&lt;=90,"61 to 90 days",IF(F875&lt;=120,"91 to 120 days","Over 120 days"))))</f>
        <v>Over 120 days</v>
      </c>
      <c r="H875" s="0" t="n">
        <f aca="false">VLOOKUP(D875,Rates!$A$4:$B$7,2,FALSE())</f>
        <v>0.115</v>
      </c>
      <c r="I875" s="0" t="n">
        <f aca="false">VLOOKUP(F875,Rates!$D$4:$E$8,2)</f>
        <v>0.85</v>
      </c>
      <c r="J875" s="0" t="n">
        <f aca="false">ROUND(E875*I875,2)</f>
        <v>1163.23</v>
      </c>
      <c r="K875" s="1" t="n">
        <f aca="false">PV(H875/12,F875/30,0,-E875)</f>
        <v>1297.73706430704</v>
      </c>
      <c r="L875" s="0" t="n">
        <f aca="false">ROUND(E875-K875,2)</f>
        <v>70.76</v>
      </c>
      <c r="M875" s="0" t="n">
        <f aca="false">F875/E875</f>
        <v>0.122031421264158</v>
      </c>
    </row>
    <row r="876" customFormat="false" ht="12.8" hidden="false" customHeight="false" outlineLevel="0" collapsed="false">
      <c r="A876" s="0" t="s">
        <v>1337</v>
      </c>
      <c r="B876" s="0" t="s">
        <v>97</v>
      </c>
      <c r="C876" s="0" t="s">
        <v>42</v>
      </c>
      <c r="D876" s="0" t="s">
        <v>20</v>
      </c>
      <c r="E876" s="0" t="n">
        <v>28622.71</v>
      </c>
      <c r="F876" s="0" t="n">
        <v>233</v>
      </c>
      <c r="G876" s="0" t="str">
        <f aca="false">IF(F876&lt;=30,"Current",IF(F876&lt;=60,"31 to 60 days",IF(F876&lt;=90,"61 to 90 days",IF(F876&lt;=120,"91 to 120 days","Over 120 days"))))</f>
        <v>Over 120 days</v>
      </c>
      <c r="H876" s="0" t="n">
        <f aca="false">VLOOKUP(D876,Rates!$A$4:$B$7,2,FALSE())</f>
        <v>0.05</v>
      </c>
      <c r="I876" s="0" t="n">
        <f aca="false">VLOOKUP(F876,Rates!$D$4:$E$8,2)</f>
        <v>0.85</v>
      </c>
      <c r="J876" s="0" t="n">
        <f aca="false">ROUND(E876*I876,2)</f>
        <v>24329.3</v>
      </c>
      <c r="K876" s="1" t="n">
        <f aca="false">PV(H876/12,F876/30,0,-E876)</f>
        <v>27713.1375309158</v>
      </c>
      <c r="L876" s="0" t="n">
        <f aca="false">ROUND(E876-K876,2)</f>
        <v>909.57</v>
      </c>
      <c r="M876" s="0" t="n">
        <f aca="false">F876/E876</f>
        <v>0.00814038922240417</v>
      </c>
    </row>
    <row r="877" customFormat="false" ht="12.8" hidden="false" customHeight="false" outlineLevel="0" collapsed="false">
      <c r="A877" s="0" t="s">
        <v>1338</v>
      </c>
      <c r="B877" s="0" t="s">
        <v>97</v>
      </c>
      <c r="C877" s="0" t="s">
        <v>42</v>
      </c>
      <c r="D877" s="0" t="s">
        <v>20</v>
      </c>
      <c r="E877" s="0" t="n">
        <v>10694.18</v>
      </c>
      <c r="F877" s="0" t="n">
        <v>235</v>
      </c>
      <c r="G877" s="0" t="str">
        <f aca="false">IF(F877&lt;=30,"Current",IF(F877&lt;=60,"31 to 60 days",IF(F877&lt;=90,"61 to 90 days",IF(F877&lt;=120,"91 to 120 days","Over 120 days"))))</f>
        <v>Over 120 days</v>
      </c>
      <c r="H877" s="0" t="n">
        <f aca="false">VLOOKUP(D877,Rates!$A$4:$B$7,2,FALSE())</f>
        <v>0.05</v>
      </c>
      <c r="I877" s="0" t="n">
        <f aca="false">VLOOKUP(F877,Rates!$D$4:$E$8,2)</f>
        <v>0.85</v>
      </c>
      <c r="J877" s="0" t="n">
        <f aca="false">ROUND(E877*I877,2)</f>
        <v>9090.05</v>
      </c>
      <c r="K877" s="1" t="n">
        <f aca="false">PV(H877/12,F877/30,0,-E877)</f>
        <v>10351.4705190603</v>
      </c>
      <c r="L877" s="0" t="n">
        <f aca="false">ROUND(E877-K877,2)</f>
        <v>342.71</v>
      </c>
      <c r="M877" s="0" t="n">
        <f aca="false">F877/E877</f>
        <v>0.0219745693451952</v>
      </c>
    </row>
    <row r="878" customFormat="false" ht="12.8" hidden="false" customHeight="false" outlineLevel="0" collapsed="false">
      <c r="A878" s="0" t="s">
        <v>1339</v>
      </c>
      <c r="B878" s="0" t="s">
        <v>1301</v>
      </c>
      <c r="C878" s="0" t="s">
        <v>26</v>
      </c>
      <c r="D878" s="0" t="s">
        <v>16</v>
      </c>
      <c r="E878" s="0" t="n">
        <v>17700.88</v>
      </c>
      <c r="F878" s="0" t="n">
        <v>121</v>
      </c>
      <c r="G878" s="0" t="str">
        <f aca="false">IF(F878&lt;=30,"Current",IF(F878&lt;=60,"31 to 60 days",IF(F878&lt;=90,"61 to 90 days",IF(F878&lt;=120,"91 to 120 days","Over 120 days"))))</f>
        <v>Over 120 days</v>
      </c>
      <c r="H878" s="0" t="n">
        <f aca="false">VLOOKUP(D878,Rates!$A$4:$B$7,2,FALSE())</f>
        <v>0.085</v>
      </c>
      <c r="I878" s="0" t="n">
        <f aca="false">VLOOKUP(F878,Rates!$D$4:$E$8,2)</f>
        <v>0.85</v>
      </c>
      <c r="J878" s="0" t="n">
        <f aca="false">ROUND(E878*I878,2)</f>
        <v>15045.75</v>
      </c>
      <c r="K878" s="1" t="n">
        <f aca="false">PV(H878/12,F878/30,0,-E878)</f>
        <v>17204.0637349943</v>
      </c>
      <c r="L878" s="0" t="n">
        <f aca="false">ROUND(E878-K878,2)</f>
        <v>496.82</v>
      </c>
      <c r="M878" s="0" t="n">
        <f aca="false">F878/E878</f>
        <v>0.00683581833219591</v>
      </c>
    </row>
    <row r="879" customFormat="false" ht="12.8" hidden="false" customHeight="false" outlineLevel="0" collapsed="false">
      <c r="A879" s="0" t="s">
        <v>1340</v>
      </c>
      <c r="B879" s="0" t="s">
        <v>74</v>
      </c>
      <c r="C879" s="0" t="s">
        <v>31</v>
      </c>
      <c r="D879" s="0" t="s">
        <v>23</v>
      </c>
      <c r="E879" s="0" t="n">
        <v>8579.92</v>
      </c>
      <c r="F879" s="0" t="n">
        <v>282</v>
      </c>
      <c r="G879" s="0" t="str">
        <f aca="false">IF(F879&lt;=30,"Current",IF(F879&lt;=60,"31 to 60 days",IF(F879&lt;=90,"61 to 90 days",IF(F879&lt;=120,"91 to 120 days","Over 120 days"))))</f>
        <v>Over 120 days</v>
      </c>
      <c r="H879" s="0" t="n">
        <f aca="false">VLOOKUP(D879,Rates!$A$4:$B$7,2,FALSE())</f>
        <v>0.115</v>
      </c>
      <c r="I879" s="0" t="n">
        <f aca="false">VLOOKUP(F879,Rates!$D$4:$E$8,2)</f>
        <v>0.85</v>
      </c>
      <c r="J879" s="0" t="n">
        <f aca="false">ROUND(E879*I879,2)</f>
        <v>7292.93</v>
      </c>
      <c r="K879" s="1" t="n">
        <f aca="false">PV(H879/12,F879/30,0,-E879)</f>
        <v>7844.16675734018</v>
      </c>
      <c r="L879" s="0" t="n">
        <f aca="false">ROUND(E879-K879,2)</f>
        <v>735.75</v>
      </c>
      <c r="M879" s="0" t="n">
        <f aca="false">F879/E879</f>
        <v>0.0328674393234436</v>
      </c>
    </row>
    <row r="880" customFormat="false" ht="12.8" hidden="false" customHeight="false" outlineLevel="0" collapsed="false">
      <c r="A880" s="0" t="s">
        <v>1341</v>
      </c>
      <c r="B880" s="0" t="s">
        <v>55</v>
      </c>
      <c r="C880" s="0" t="s">
        <v>26</v>
      </c>
      <c r="D880" s="0" t="s">
        <v>23</v>
      </c>
      <c r="E880" s="0" t="n">
        <v>410.8</v>
      </c>
      <c r="F880" s="0" t="n">
        <v>331</v>
      </c>
      <c r="G880" s="0" t="str">
        <f aca="false">IF(F880&lt;=30,"Current",IF(F880&lt;=60,"31 to 60 days",IF(F880&lt;=90,"61 to 90 days",IF(F880&lt;=120,"91 to 120 days","Over 120 days"))))</f>
        <v>Over 120 days</v>
      </c>
      <c r="H880" s="0" t="n">
        <f aca="false">VLOOKUP(D880,Rates!$A$4:$B$7,2,FALSE())</f>
        <v>0.115</v>
      </c>
      <c r="I880" s="0" t="n">
        <f aca="false">VLOOKUP(F880,Rates!$D$4:$E$8,2)</f>
        <v>0.85</v>
      </c>
      <c r="J880" s="0" t="n">
        <f aca="false">ROUND(E880*I880,2)</f>
        <v>349.18</v>
      </c>
      <c r="K880" s="1" t="n">
        <f aca="false">PV(H880/12,F880/30,0,-E880)</f>
        <v>369.767269094649</v>
      </c>
      <c r="L880" s="0" t="n">
        <f aca="false">ROUND(E880-K880,2)</f>
        <v>41.03</v>
      </c>
      <c r="M880" s="0" t="n">
        <f aca="false">F880/E880</f>
        <v>0.805744888023369</v>
      </c>
    </row>
    <row r="881" customFormat="false" ht="12.8" hidden="false" customHeight="false" outlineLevel="0" collapsed="false">
      <c r="A881" s="0" t="s">
        <v>1342</v>
      </c>
      <c r="B881" s="0" t="s">
        <v>148</v>
      </c>
      <c r="C881" s="0" t="s">
        <v>31</v>
      </c>
      <c r="D881" s="0" t="s">
        <v>23</v>
      </c>
      <c r="E881" s="0" t="n">
        <v>43239.77</v>
      </c>
      <c r="F881" s="0" t="n">
        <v>359</v>
      </c>
      <c r="G881" s="0" t="str">
        <f aca="false">IF(F881&lt;=30,"Current",IF(F881&lt;=60,"31 to 60 days",IF(F881&lt;=90,"61 to 90 days",IF(F881&lt;=120,"91 to 120 days","Over 120 days"))))</f>
        <v>Over 120 days</v>
      </c>
      <c r="H881" s="0" t="n">
        <f aca="false">VLOOKUP(D881,Rates!$A$4:$B$7,2,FALSE())</f>
        <v>0.115</v>
      </c>
      <c r="I881" s="0" t="n">
        <f aca="false">VLOOKUP(F881,Rates!$D$4:$E$8,2)</f>
        <v>0.85</v>
      </c>
      <c r="J881" s="0" t="n">
        <f aca="false">ROUND(E881*I881,2)</f>
        <v>36753.8</v>
      </c>
      <c r="K881" s="1" t="n">
        <f aca="false">PV(H881/12,F881/30,0,-E881)</f>
        <v>38575.8388254083</v>
      </c>
      <c r="L881" s="0" t="n">
        <f aca="false">ROUND(E881-K881,2)</f>
        <v>4663.93</v>
      </c>
      <c r="M881" s="0" t="n">
        <f aca="false">F881/E881</f>
        <v>0.0083025418497832</v>
      </c>
    </row>
    <row r="882" customFormat="false" ht="12.8" hidden="false" customHeight="false" outlineLevel="0" collapsed="false">
      <c r="A882" s="0" t="s">
        <v>1343</v>
      </c>
      <c r="B882" s="0" t="s">
        <v>285</v>
      </c>
      <c r="C882" s="0" t="s">
        <v>36</v>
      </c>
      <c r="D882" s="0" t="s">
        <v>23</v>
      </c>
      <c r="E882" s="0" t="n">
        <v>34258.02</v>
      </c>
      <c r="F882" s="0" t="n">
        <v>371</v>
      </c>
      <c r="G882" s="0" t="str">
        <f aca="false">IF(F882&lt;=30,"Current",IF(F882&lt;=60,"31 to 60 days",IF(F882&lt;=90,"61 to 90 days",IF(F882&lt;=120,"91 to 120 days","Over 120 days"))))</f>
        <v>Over 120 days</v>
      </c>
      <c r="H882" s="0" t="n">
        <f aca="false">VLOOKUP(D882,Rates!$A$4:$B$7,2,FALSE())</f>
        <v>0.115</v>
      </c>
      <c r="I882" s="0" t="n">
        <f aca="false">VLOOKUP(F882,Rates!$D$4:$E$8,2)</f>
        <v>0.85</v>
      </c>
      <c r="J882" s="0" t="n">
        <f aca="false">ROUND(E882*I882,2)</f>
        <v>29119.32</v>
      </c>
      <c r="K882" s="1" t="n">
        <f aca="false">PV(H882/12,F882/30,0,-E882)</f>
        <v>30446.5012417519</v>
      </c>
      <c r="L882" s="0" t="n">
        <f aca="false">ROUND(E882-K882,2)</f>
        <v>3811.52</v>
      </c>
      <c r="M882" s="0" t="n">
        <f aca="false">F882/E882</f>
        <v>0.0108295809273274</v>
      </c>
    </row>
    <row r="883" customFormat="false" ht="12.8" hidden="false" customHeight="false" outlineLevel="0" collapsed="false">
      <c r="A883" s="0" t="s">
        <v>1344</v>
      </c>
      <c r="B883" s="0" t="s">
        <v>1345</v>
      </c>
      <c r="C883" s="0" t="s">
        <v>42</v>
      </c>
      <c r="D883" s="0" t="s">
        <v>16</v>
      </c>
      <c r="E883" s="0" t="n">
        <v>9409.12</v>
      </c>
      <c r="F883" s="0" t="n">
        <v>163</v>
      </c>
      <c r="G883" s="0" t="str">
        <f aca="false">IF(F883&lt;=30,"Current",IF(F883&lt;=60,"31 to 60 days",IF(F883&lt;=90,"61 to 90 days",IF(F883&lt;=120,"91 to 120 days","Over 120 days"))))</f>
        <v>Over 120 days</v>
      </c>
      <c r="H883" s="0" t="n">
        <f aca="false">VLOOKUP(D883,Rates!$A$4:$B$7,2,FALSE())</f>
        <v>0.085</v>
      </c>
      <c r="I883" s="0" t="n">
        <f aca="false">VLOOKUP(F883,Rates!$D$4:$E$8,2)</f>
        <v>0.85</v>
      </c>
      <c r="J883" s="0" t="n">
        <f aca="false">ROUND(E883*I883,2)</f>
        <v>7997.75</v>
      </c>
      <c r="K883" s="1" t="n">
        <f aca="false">PV(H883/12,F883/30,0,-E883)</f>
        <v>9055.1077004291</v>
      </c>
      <c r="L883" s="0" t="n">
        <f aca="false">ROUND(E883-K883,2)</f>
        <v>354.01</v>
      </c>
      <c r="M883" s="0" t="n">
        <f aca="false">F883/E883</f>
        <v>0.0173236179366402</v>
      </c>
    </row>
    <row r="884" customFormat="false" ht="12.8" hidden="false" customHeight="false" outlineLevel="0" collapsed="false">
      <c r="A884" s="0" t="s">
        <v>1346</v>
      </c>
      <c r="B884" s="0" t="s">
        <v>84</v>
      </c>
      <c r="C884" s="0" t="s">
        <v>26</v>
      </c>
      <c r="D884" s="0" t="s">
        <v>23</v>
      </c>
      <c r="E884" s="0" t="n">
        <v>5253.24</v>
      </c>
      <c r="F884" s="0" t="n">
        <v>11</v>
      </c>
      <c r="G884" s="0" t="str">
        <f aca="false">IF(F884&lt;=30,"Current",IF(F884&lt;=60,"31 to 60 days",IF(F884&lt;=90,"61 to 90 days",IF(F884&lt;=120,"91 to 120 days","Over 120 days"))))</f>
        <v>Current</v>
      </c>
      <c r="H884" s="0" t="n">
        <f aca="false">VLOOKUP(D884,Rates!$A$4:$B$7,2,FALSE())</f>
        <v>0.115</v>
      </c>
      <c r="I884" s="0" t="n">
        <f aca="false">VLOOKUP(F884,Rates!$D$4:$E$8,2)</f>
        <v>0.02</v>
      </c>
      <c r="J884" s="0" t="n">
        <f aca="false">ROUND(E884*I884,2)</f>
        <v>105.06</v>
      </c>
      <c r="K884" s="1" t="n">
        <f aca="false">PV(H884/12,F884/30,0,-E884)</f>
        <v>5234.90067453536</v>
      </c>
      <c r="L884" s="0" t="n">
        <f aca="false">ROUND(E884-K884,2)</f>
        <v>18.34</v>
      </c>
      <c r="M884" s="0" t="n">
        <f aca="false">F884/E884</f>
        <v>0.00209394583152493</v>
      </c>
    </row>
    <row r="885" customFormat="false" ht="12.8" hidden="false" customHeight="false" outlineLevel="0" collapsed="false">
      <c r="A885" s="0" t="s">
        <v>1347</v>
      </c>
      <c r="B885" s="0" t="s">
        <v>1348</v>
      </c>
      <c r="C885" s="0" t="s">
        <v>36</v>
      </c>
      <c r="D885" s="0" t="s">
        <v>49</v>
      </c>
      <c r="E885" s="0" t="n">
        <v>37604.72</v>
      </c>
      <c r="F885" s="0" t="n">
        <v>291</v>
      </c>
      <c r="G885" s="0" t="str">
        <f aca="false">IF(F885&lt;=30,"Current",IF(F885&lt;=60,"31 to 60 days",IF(F885&lt;=90,"61 to 90 days",IF(F885&lt;=120,"91 to 120 days","Over 120 days"))))</f>
        <v>Over 120 days</v>
      </c>
      <c r="H885" s="0" t="n">
        <f aca="false">VLOOKUP(D885,Rates!$A$4:$B$7,2,FALSE())</f>
        <v>0.02</v>
      </c>
      <c r="I885" s="0" t="n">
        <f aca="false">VLOOKUP(F885,Rates!$D$4:$E$8,2)</f>
        <v>0.85</v>
      </c>
      <c r="J885" s="0" t="n">
        <f aca="false">ROUND(E885*I885,2)</f>
        <v>31964.01</v>
      </c>
      <c r="K885" s="1" t="n">
        <f aca="false">PV(H885/12,F885/30,0,-E885)</f>
        <v>37002.1628017565</v>
      </c>
      <c r="L885" s="0" t="n">
        <f aca="false">ROUND(E885-K885,2)</f>
        <v>602.56</v>
      </c>
      <c r="M885" s="0" t="n">
        <f aca="false">F885/E885</f>
        <v>0.00773839028717672</v>
      </c>
    </row>
    <row r="886" customFormat="false" ht="12.8" hidden="false" customHeight="false" outlineLevel="0" collapsed="false">
      <c r="A886" s="0" t="s">
        <v>1349</v>
      </c>
      <c r="B886" s="0" t="s">
        <v>1350</v>
      </c>
      <c r="C886" s="0" t="s">
        <v>42</v>
      </c>
      <c r="D886" s="0" t="s">
        <v>49</v>
      </c>
      <c r="E886" s="0" t="n">
        <v>9952.75</v>
      </c>
      <c r="F886" s="0" t="n">
        <v>308</v>
      </c>
      <c r="G886" s="0" t="str">
        <f aca="false">IF(F886&lt;=30,"Current",IF(F886&lt;=60,"31 to 60 days",IF(F886&lt;=90,"61 to 90 days",IF(F886&lt;=120,"91 to 120 days","Over 120 days"))))</f>
        <v>Over 120 days</v>
      </c>
      <c r="H886" s="0" t="n">
        <f aca="false">VLOOKUP(D886,Rates!$A$4:$B$7,2,FALSE())</f>
        <v>0.02</v>
      </c>
      <c r="I886" s="0" t="n">
        <f aca="false">VLOOKUP(F886,Rates!$D$4:$E$8,2)</f>
        <v>0.85</v>
      </c>
      <c r="J886" s="0" t="n">
        <f aca="false">ROUND(E886*I886,2)</f>
        <v>8459.84</v>
      </c>
      <c r="K886" s="1" t="n">
        <f aca="false">PV(H886/12,F886/30,0,-E886)</f>
        <v>9784.03550456687</v>
      </c>
      <c r="L886" s="0" t="n">
        <f aca="false">ROUND(E886-K886,2)</f>
        <v>168.71</v>
      </c>
      <c r="M886" s="0" t="n">
        <f aca="false">F886/E886</f>
        <v>0.0309462208937228</v>
      </c>
    </row>
    <row r="887" customFormat="false" ht="12.8" hidden="false" customHeight="false" outlineLevel="0" collapsed="false">
      <c r="A887" s="0" t="s">
        <v>1351</v>
      </c>
      <c r="B887" s="0" t="s">
        <v>18</v>
      </c>
      <c r="C887" s="0" t="s">
        <v>19</v>
      </c>
      <c r="D887" s="0" t="s">
        <v>20</v>
      </c>
      <c r="E887" s="0" t="n">
        <v>29621.6</v>
      </c>
      <c r="F887" s="0" t="n">
        <v>122</v>
      </c>
      <c r="G887" s="0" t="str">
        <f aca="false">IF(F887&lt;=30,"Current",IF(F887&lt;=60,"31 to 60 days",IF(F887&lt;=90,"61 to 90 days",IF(F887&lt;=120,"91 to 120 days","Over 120 days"))))</f>
        <v>Over 120 days</v>
      </c>
      <c r="H887" s="0" t="n">
        <f aca="false">VLOOKUP(D887,Rates!$A$4:$B$7,2,FALSE())</f>
        <v>0.05</v>
      </c>
      <c r="I887" s="0" t="n">
        <f aca="false">VLOOKUP(F887,Rates!$D$4:$E$8,2)</f>
        <v>0.85</v>
      </c>
      <c r="J887" s="0" t="n">
        <f aca="false">ROUND(E887*I887,2)</f>
        <v>25178.36</v>
      </c>
      <c r="K887" s="1" t="n">
        <f aca="false">PV(H887/12,F887/30,0,-E887)</f>
        <v>29124.932190653</v>
      </c>
      <c r="L887" s="0" t="n">
        <f aca="false">ROUND(E887-K887,2)</f>
        <v>496.67</v>
      </c>
      <c r="M887" s="0" t="n">
        <f aca="false">F887/E887</f>
        <v>0.00411861614497529</v>
      </c>
    </row>
    <row r="888" customFormat="false" ht="12.8" hidden="false" customHeight="false" outlineLevel="0" collapsed="false">
      <c r="A888" s="0" t="s">
        <v>1352</v>
      </c>
      <c r="B888" s="0" t="s">
        <v>1353</v>
      </c>
      <c r="C888" s="0" t="s">
        <v>36</v>
      </c>
      <c r="D888" s="0" t="s">
        <v>16</v>
      </c>
      <c r="E888" s="0" t="n">
        <v>35549.83</v>
      </c>
      <c r="F888" s="0" t="n">
        <v>364</v>
      </c>
      <c r="G888" s="0" t="str">
        <f aca="false">IF(F888&lt;=30,"Current",IF(F888&lt;=60,"31 to 60 days",IF(F888&lt;=90,"61 to 90 days",IF(F888&lt;=120,"91 to 120 days","Over 120 days"))))</f>
        <v>Over 120 days</v>
      </c>
      <c r="H888" s="0" t="n">
        <f aca="false">VLOOKUP(D888,Rates!$A$4:$B$7,2,FALSE())</f>
        <v>0.085</v>
      </c>
      <c r="I888" s="0" t="n">
        <f aca="false">VLOOKUP(F888,Rates!$D$4:$E$8,2)</f>
        <v>0.85</v>
      </c>
      <c r="J888" s="0" t="n">
        <f aca="false">ROUND(E888*I888,2)</f>
        <v>30217.36</v>
      </c>
      <c r="K888" s="1" t="n">
        <f aca="false">PV(H888/12,F888/30,0,-E888)</f>
        <v>32632.015812395</v>
      </c>
      <c r="L888" s="0" t="n">
        <f aca="false">ROUND(E888-K888,2)</f>
        <v>2917.81</v>
      </c>
      <c r="M888" s="0" t="n">
        <f aca="false">F888/E888</f>
        <v>0.0102391488229339</v>
      </c>
    </row>
    <row r="889" customFormat="false" ht="12.8" hidden="false" customHeight="false" outlineLevel="0" collapsed="false">
      <c r="A889" s="0" t="s">
        <v>1354</v>
      </c>
      <c r="B889" s="0" t="s">
        <v>1007</v>
      </c>
      <c r="C889" s="0" t="s">
        <v>19</v>
      </c>
      <c r="D889" s="0" t="s">
        <v>23</v>
      </c>
      <c r="E889" s="0" t="n">
        <v>28655.01</v>
      </c>
      <c r="F889" s="0" t="n">
        <v>392</v>
      </c>
      <c r="G889" s="0" t="str">
        <f aca="false">IF(F889&lt;=30,"Current",IF(F889&lt;=60,"31 to 60 days",IF(F889&lt;=90,"61 to 90 days",IF(F889&lt;=120,"91 to 120 days","Over 120 days"))))</f>
        <v>Over 120 days</v>
      </c>
      <c r="H889" s="0" t="n">
        <f aca="false">VLOOKUP(D889,Rates!$A$4:$B$7,2,FALSE())</f>
        <v>0.115</v>
      </c>
      <c r="I889" s="0" t="n">
        <f aca="false">VLOOKUP(F889,Rates!$D$4:$E$8,2)</f>
        <v>0.85</v>
      </c>
      <c r="J889" s="0" t="n">
        <f aca="false">ROUND(E889*I889,2)</f>
        <v>24356.76</v>
      </c>
      <c r="K889" s="1" t="n">
        <f aca="false">PV(H889/12,F889/30,0,-E889)</f>
        <v>25297.4169016279</v>
      </c>
      <c r="L889" s="0" t="n">
        <f aca="false">ROUND(E889-K889,2)</f>
        <v>3357.59</v>
      </c>
      <c r="M889" s="0" t="n">
        <f aca="false">F889/E889</f>
        <v>0.0136799812668012</v>
      </c>
    </row>
    <row r="890" customFormat="false" ht="12.8" hidden="false" customHeight="false" outlineLevel="0" collapsed="false">
      <c r="A890" s="0" t="s">
        <v>1355</v>
      </c>
      <c r="B890" s="0" t="s">
        <v>1356</v>
      </c>
      <c r="C890" s="0" t="s">
        <v>31</v>
      </c>
      <c r="D890" s="0" t="s">
        <v>49</v>
      </c>
      <c r="E890" s="0" t="n">
        <v>703.1</v>
      </c>
      <c r="F890" s="0" t="n">
        <v>339</v>
      </c>
      <c r="G890" s="0" t="str">
        <f aca="false">IF(F890&lt;=30,"Current",IF(F890&lt;=60,"31 to 60 days",IF(F890&lt;=90,"61 to 90 days",IF(F890&lt;=120,"91 to 120 days","Over 120 days"))))</f>
        <v>Over 120 days</v>
      </c>
      <c r="H890" s="0" t="n">
        <f aca="false">VLOOKUP(D890,Rates!$A$4:$B$7,2,FALSE())</f>
        <v>0.02</v>
      </c>
      <c r="I890" s="0" t="n">
        <f aca="false">VLOOKUP(F890,Rates!$D$4:$E$8,2)</f>
        <v>0.85</v>
      </c>
      <c r="J890" s="0" t="n">
        <f aca="false">ROUND(E890*I890,2)</f>
        <v>597.64</v>
      </c>
      <c r="K890" s="1" t="n">
        <f aca="false">PV(H890/12,F890/30,0,-E890)</f>
        <v>689.993013998174</v>
      </c>
      <c r="L890" s="0" t="n">
        <f aca="false">ROUND(E890-K890,2)</f>
        <v>13.11</v>
      </c>
      <c r="M890" s="0" t="n">
        <f aca="false">F890/E890</f>
        <v>0.482150476461385</v>
      </c>
    </row>
    <row r="891" customFormat="false" ht="12.8" hidden="false" customHeight="false" outlineLevel="0" collapsed="false">
      <c r="A891" s="0" t="s">
        <v>1357</v>
      </c>
      <c r="B891" s="0" t="s">
        <v>51</v>
      </c>
      <c r="C891" s="0" t="s">
        <v>36</v>
      </c>
      <c r="D891" s="0" t="s">
        <v>20</v>
      </c>
      <c r="E891" s="0" t="n">
        <v>39241.94</v>
      </c>
      <c r="F891" s="0" t="n">
        <v>376</v>
      </c>
      <c r="G891" s="0" t="str">
        <f aca="false">IF(F891&lt;=30,"Current",IF(F891&lt;=60,"31 to 60 days",IF(F891&lt;=90,"61 to 90 days",IF(F891&lt;=120,"91 to 120 days","Over 120 days"))))</f>
        <v>Over 120 days</v>
      </c>
      <c r="H891" s="0" t="n">
        <f aca="false">VLOOKUP(D891,Rates!$A$4:$B$7,2,FALSE())</f>
        <v>0.05</v>
      </c>
      <c r="I891" s="0" t="n">
        <f aca="false">VLOOKUP(F891,Rates!$D$4:$E$8,2)</f>
        <v>0.85</v>
      </c>
      <c r="J891" s="0" t="n">
        <f aca="false">ROUND(E891*I891,2)</f>
        <v>33355.65</v>
      </c>
      <c r="K891" s="1" t="n">
        <f aca="false">PV(H891/12,F891/30,0,-E891)</f>
        <v>37249.2699369741</v>
      </c>
      <c r="L891" s="0" t="n">
        <f aca="false">ROUND(E891-K891,2)</f>
        <v>1992.67</v>
      </c>
      <c r="M891" s="0" t="n">
        <f aca="false">F891/E891</f>
        <v>0.00958158541601154</v>
      </c>
    </row>
    <row r="892" customFormat="false" ht="12.8" hidden="false" customHeight="false" outlineLevel="0" collapsed="false">
      <c r="A892" s="0" t="s">
        <v>1358</v>
      </c>
      <c r="B892" s="0" t="s">
        <v>18</v>
      </c>
      <c r="C892" s="0" t="s">
        <v>19</v>
      </c>
      <c r="D892" s="0" t="s">
        <v>20</v>
      </c>
      <c r="E892" s="0" t="n">
        <v>18277.28</v>
      </c>
      <c r="F892" s="0" t="n">
        <v>359</v>
      </c>
      <c r="G892" s="0" t="str">
        <f aca="false">IF(F892&lt;=30,"Current",IF(F892&lt;=60,"31 to 60 days",IF(F892&lt;=90,"61 to 90 days",IF(F892&lt;=120,"91 to 120 days","Over 120 days"))))</f>
        <v>Over 120 days</v>
      </c>
      <c r="H892" s="0" t="n">
        <f aca="false">VLOOKUP(D892,Rates!$A$4:$B$7,2,FALSE())</f>
        <v>0.05</v>
      </c>
      <c r="I892" s="0" t="n">
        <f aca="false">VLOOKUP(F892,Rates!$D$4:$E$8,2)</f>
        <v>0.85</v>
      </c>
      <c r="J892" s="0" t="n">
        <f aca="false">ROUND(E892*I892,2)</f>
        <v>15535.69</v>
      </c>
      <c r="K892" s="1" t="n">
        <f aca="false">PV(H892/12,F892/30,0,-E892)</f>
        <v>17390.1027516216</v>
      </c>
      <c r="L892" s="0" t="n">
        <f aca="false">ROUND(E892-K892,2)</f>
        <v>887.18</v>
      </c>
      <c r="M892" s="0" t="n">
        <f aca="false">F892/E892</f>
        <v>0.0196418723136047</v>
      </c>
    </row>
    <row r="893" customFormat="false" ht="12.8" hidden="false" customHeight="false" outlineLevel="0" collapsed="false">
      <c r="A893" s="0" t="s">
        <v>1359</v>
      </c>
      <c r="B893" s="0" t="s">
        <v>30</v>
      </c>
      <c r="C893" s="0" t="s">
        <v>31</v>
      </c>
      <c r="D893" s="0" t="s">
        <v>20</v>
      </c>
      <c r="E893" s="0" t="n">
        <v>10847.1</v>
      </c>
      <c r="F893" s="0" t="n">
        <v>379</v>
      </c>
      <c r="G893" s="0" t="str">
        <f aca="false">IF(F893&lt;=30,"Current",IF(F893&lt;=60,"31 to 60 days",IF(F893&lt;=90,"61 to 90 days",IF(F893&lt;=120,"91 to 120 days","Over 120 days"))))</f>
        <v>Over 120 days</v>
      </c>
      <c r="H893" s="0" t="n">
        <f aca="false">VLOOKUP(D893,Rates!$A$4:$B$7,2,FALSE())</f>
        <v>0.05</v>
      </c>
      <c r="I893" s="0" t="n">
        <f aca="false">VLOOKUP(F893,Rates!$D$4:$E$8,2)</f>
        <v>0.85</v>
      </c>
      <c r="J893" s="0" t="n">
        <f aca="false">ROUND(E893*I893,2)</f>
        <v>9220.04</v>
      </c>
      <c r="K893" s="1" t="n">
        <f aca="false">PV(H893/12,F893/30,0,-E893)</f>
        <v>10292.0137966778</v>
      </c>
      <c r="L893" s="0" t="n">
        <f aca="false">ROUND(E893-K893,2)</f>
        <v>555.09</v>
      </c>
      <c r="M893" s="0" t="n">
        <f aca="false">F893/E893</f>
        <v>0.0349402144351947</v>
      </c>
    </row>
    <row r="894" customFormat="false" ht="12.8" hidden="false" customHeight="false" outlineLevel="0" collapsed="false">
      <c r="A894" s="0" t="s">
        <v>1360</v>
      </c>
      <c r="B894" s="0" t="s">
        <v>1361</v>
      </c>
      <c r="C894" s="0" t="s">
        <v>19</v>
      </c>
      <c r="D894" s="0" t="s">
        <v>16</v>
      </c>
      <c r="E894" s="0" t="n">
        <v>11197.58</v>
      </c>
      <c r="F894" s="0" t="n">
        <v>93</v>
      </c>
      <c r="G894" s="0" t="str">
        <f aca="false">IF(F894&lt;=30,"Current",IF(F894&lt;=60,"31 to 60 days",IF(F894&lt;=90,"61 to 90 days",IF(F894&lt;=120,"91 to 120 days","Over 120 days"))))</f>
        <v>91 to 120 days</v>
      </c>
      <c r="H894" s="0" t="n">
        <f aca="false">VLOOKUP(D894,Rates!$A$4:$B$7,2,FALSE())</f>
        <v>0.085</v>
      </c>
      <c r="I894" s="0" t="n">
        <f aca="false">VLOOKUP(F894,Rates!$D$4:$E$8,2)</f>
        <v>0.5</v>
      </c>
      <c r="J894" s="0" t="n">
        <f aca="false">ROUND(E894*I894,2)</f>
        <v>5598.79</v>
      </c>
      <c r="K894" s="1" t="n">
        <f aca="false">PV(H894/12,F894/30,0,-E894)</f>
        <v>10955.2276575541</v>
      </c>
      <c r="L894" s="0" t="n">
        <f aca="false">ROUND(E894-K894,2)</f>
        <v>242.35</v>
      </c>
      <c r="M894" s="0" t="n">
        <f aca="false">F894/E894</f>
        <v>0.00830536598086372</v>
      </c>
    </row>
    <row r="895" customFormat="false" ht="12.8" hidden="false" customHeight="false" outlineLevel="0" collapsed="false">
      <c r="A895" s="0" t="s">
        <v>1362</v>
      </c>
      <c r="B895" s="0" t="s">
        <v>305</v>
      </c>
      <c r="C895" s="0" t="s">
        <v>15</v>
      </c>
      <c r="D895" s="0" t="s">
        <v>23</v>
      </c>
      <c r="E895" s="0" t="n">
        <v>0</v>
      </c>
      <c r="F895" s="0" t="n">
        <v>399</v>
      </c>
      <c r="G895" s="0" t="str">
        <f aca="false">IF(F895&lt;=30,"Current",IF(F895&lt;=60,"31 to 60 days",IF(F895&lt;=90,"61 to 90 days",IF(F895&lt;=120,"91 to 120 days","Over 120 days"))))</f>
        <v>Over 120 days</v>
      </c>
      <c r="H895" s="0" t="n">
        <f aca="false">VLOOKUP(D895,Rates!$A$4:$B$7,2,FALSE())</f>
        <v>0.115</v>
      </c>
      <c r="I895" s="0" t="n">
        <f aca="false">VLOOKUP(F895,Rates!$D$4:$E$8,2)</f>
        <v>0.85</v>
      </c>
      <c r="J895" s="0" t="n">
        <f aca="false">ROUND(E895*I895,2)</f>
        <v>0</v>
      </c>
      <c r="K895" s="1" t="n">
        <f aca="false">PV(H895/12,F895/30,0,-E895)</f>
        <v>-0</v>
      </c>
      <c r="L895" s="0" t="n">
        <f aca="false">ROUND(E895-K895,2)</f>
        <v>0</v>
      </c>
      <c r="M895" s="0" t="e">
        <f aca="false">F895/E895</f>
        <v>#DIV/0!</v>
      </c>
    </row>
    <row r="896" customFormat="false" ht="12.8" hidden="false" customHeight="false" outlineLevel="0" collapsed="false">
      <c r="A896" s="0" t="s">
        <v>1363</v>
      </c>
      <c r="B896" s="0" t="s">
        <v>1364</v>
      </c>
      <c r="C896" s="0" t="s">
        <v>15</v>
      </c>
      <c r="D896" s="0" t="s">
        <v>16</v>
      </c>
      <c r="E896" s="0" t="n">
        <v>37183.22</v>
      </c>
      <c r="F896" s="0" t="n">
        <v>172</v>
      </c>
      <c r="G896" s="0" t="str">
        <f aca="false">IF(F896&lt;=30,"Current",IF(F896&lt;=60,"31 to 60 days",IF(F896&lt;=90,"61 to 90 days",IF(F896&lt;=120,"91 to 120 days","Over 120 days"))))</f>
        <v>Over 120 days</v>
      </c>
      <c r="H896" s="0" t="n">
        <f aca="false">VLOOKUP(D896,Rates!$A$4:$B$7,2,FALSE())</f>
        <v>0.085</v>
      </c>
      <c r="I896" s="0" t="n">
        <f aca="false">VLOOKUP(F896,Rates!$D$4:$E$8,2)</f>
        <v>0.85</v>
      </c>
      <c r="J896" s="0" t="n">
        <f aca="false">ROUND(E896*I896,2)</f>
        <v>31605.74</v>
      </c>
      <c r="K896" s="1" t="n">
        <f aca="false">PV(H896/12,F896/30,0,-E896)</f>
        <v>35708.5311683573</v>
      </c>
      <c r="L896" s="0" t="n">
        <f aca="false">ROUND(E896-K896,2)</f>
        <v>1474.69</v>
      </c>
      <c r="M896" s="0" t="n">
        <f aca="false">F896/E896</f>
        <v>0.00462574247200753</v>
      </c>
    </row>
    <row r="897" customFormat="false" ht="12.8" hidden="false" customHeight="false" outlineLevel="0" collapsed="false">
      <c r="A897" s="0" t="s">
        <v>1365</v>
      </c>
      <c r="B897" s="0" t="s">
        <v>33</v>
      </c>
      <c r="C897" s="0" t="s">
        <v>26</v>
      </c>
      <c r="D897" s="0" t="s">
        <v>20</v>
      </c>
      <c r="E897" s="0" t="n">
        <v>11105.01</v>
      </c>
      <c r="F897" s="0" t="n">
        <v>230</v>
      </c>
      <c r="G897" s="0" t="str">
        <f aca="false">IF(F897&lt;=30,"Current",IF(F897&lt;=60,"31 to 60 days",IF(F897&lt;=90,"61 to 90 days",IF(F897&lt;=120,"91 to 120 days","Over 120 days"))))</f>
        <v>Over 120 days</v>
      </c>
      <c r="H897" s="0" t="n">
        <f aca="false">VLOOKUP(D897,Rates!$A$4:$B$7,2,FALSE())</f>
        <v>0.05</v>
      </c>
      <c r="I897" s="0" t="n">
        <f aca="false">VLOOKUP(F897,Rates!$D$4:$E$8,2)</f>
        <v>0.85</v>
      </c>
      <c r="J897" s="0" t="n">
        <f aca="false">ROUND(E897*I897,2)</f>
        <v>9439.26</v>
      </c>
      <c r="K897" s="1" t="n">
        <f aca="false">PV(H897/12,F897/30,0,-E897)</f>
        <v>10756.5866657518</v>
      </c>
      <c r="L897" s="0" t="n">
        <f aca="false">ROUND(E897-K897,2)</f>
        <v>348.42</v>
      </c>
      <c r="M897" s="0" t="n">
        <f aca="false">F897/E897</f>
        <v>0.0207113726147027</v>
      </c>
    </row>
    <row r="898" customFormat="false" ht="12.8" hidden="false" customHeight="false" outlineLevel="0" collapsed="false">
      <c r="A898" s="0" t="s">
        <v>1366</v>
      </c>
      <c r="B898" s="0" t="s">
        <v>1367</v>
      </c>
      <c r="C898" s="0" t="s">
        <v>19</v>
      </c>
      <c r="D898" s="0" t="s">
        <v>16</v>
      </c>
      <c r="E898" s="0" t="n">
        <v>15978.52</v>
      </c>
      <c r="F898" s="0" t="n">
        <v>254</v>
      </c>
      <c r="G898" s="0" t="str">
        <f aca="false">IF(F898&lt;=30,"Current",IF(F898&lt;=60,"31 to 60 days",IF(F898&lt;=90,"61 to 90 days",IF(F898&lt;=120,"91 to 120 days","Over 120 days"))))</f>
        <v>Over 120 days</v>
      </c>
      <c r="H898" s="0" t="n">
        <f aca="false">VLOOKUP(D898,Rates!$A$4:$B$7,2,FALSE())</f>
        <v>0.085</v>
      </c>
      <c r="I898" s="0" t="n">
        <f aca="false">VLOOKUP(F898,Rates!$D$4:$E$8,2)</f>
        <v>0.85</v>
      </c>
      <c r="J898" s="0" t="n">
        <f aca="false">ROUND(E898*I898,2)</f>
        <v>13581.74</v>
      </c>
      <c r="K898" s="1" t="n">
        <f aca="false">PV(H898/12,F898/30,0,-E898)</f>
        <v>15051.6030725102</v>
      </c>
      <c r="L898" s="0" t="n">
        <f aca="false">ROUND(E898-K898,2)</f>
        <v>926.92</v>
      </c>
      <c r="M898" s="0" t="n">
        <f aca="false">F898/E898</f>
        <v>0.0158963408375744</v>
      </c>
    </row>
    <row r="899" customFormat="false" ht="12.8" hidden="false" customHeight="false" outlineLevel="0" collapsed="false">
      <c r="A899" s="0" t="s">
        <v>1368</v>
      </c>
      <c r="B899" s="0" t="s">
        <v>1369</v>
      </c>
      <c r="C899" s="0" t="s">
        <v>26</v>
      </c>
      <c r="D899" s="0" t="s">
        <v>49</v>
      </c>
      <c r="E899" s="0" t="n">
        <v>16629.58</v>
      </c>
      <c r="F899" s="0" t="n">
        <v>239</v>
      </c>
      <c r="G899" s="0" t="str">
        <f aca="false">IF(F899&lt;=30,"Current",IF(F899&lt;=60,"31 to 60 days",IF(F899&lt;=90,"61 to 90 days",IF(F899&lt;=120,"91 to 120 days","Over 120 days"))))</f>
        <v>Over 120 days</v>
      </c>
      <c r="H899" s="0" t="n">
        <f aca="false">VLOOKUP(D899,Rates!$A$4:$B$7,2,FALSE())</f>
        <v>0.02</v>
      </c>
      <c r="I899" s="0" t="n">
        <f aca="false">VLOOKUP(F899,Rates!$D$4:$E$8,2)</f>
        <v>0.85</v>
      </c>
      <c r="J899" s="0" t="n">
        <f aca="false">ROUND(E899*I899,2)</f>
        <v>14135.14</v>
      </c>
      <c r="K899" s="1" t="n">
        <f aca="false">PV(H899/12,F899/30,0,-E899)</f>
        <v>16410.4169338353</v>
      </c>
      <c r="L899" s="0" t="n">
        <f aca="false">ROUND(E899-K899,2)</f>
        <v>219.16</v>
      </c>
      <c r="M899" s="0" t="n">
        <f aca="false">F899/E899</f>
        <v>0.0143719805310778</v>
      </c>
    </row>
    <row r="900" customFormat="false" ht="12.8" hidden="false" customHeight="false" outlineLevel="0" collapsed="false">
      <c r="A900" s="0" t="s">
        <v>1370</v>
      </c>
      <c r="B900" s="0" t="s">
        <v>148</v>
      </c>
      <c r="C900" s="0" t="s">
        <v>31</v>
      </c>
      <c r="D900" s="0" t="s">
        <v>23</v>
      </c>
      <c r="E900" s="0" t="n">
        <v>1209.31</v>
      </c>
      <c r="F900" s="0" t="n">
        <v>250</v>
      </c>
      <c r="G900" s="0" t="str">
        <f aca="false">IF(F900&lt;=30,"Current",IF(F900&lt;=60,"31 to 60 days",IF(F900&lt;=90,"61 to 90 days",IF(F900&lt;=120,"91 to 120 days","Over 120 days"))))</f>
        <v>Over 120 days</v>
      </c>
      <c r="H900" s="0" t="n">
        <f aca="false">VLOOKUP(D900,Rates!$A$4:$B$7,2,FALSE())</f>
        <v>0.115</v>
      </c>
      <c r="I900" s="0" t="n">
        <f aca="false">VLOOKUP(F900,Rates!$D$4:$E$8,2)</f>
        <v>0.85</v>
      </c>
      <c r="J900" s="0" t="n">
        <f aca="false">ROUND(E900*I900,2)</f>
        <v>1027.91</v>
      </c>
      <c r="K900" s="1" t="n">
        <f aca="false">PV(H900/12,F900/30,0,-E900)</f>
        <v>1116.91350093</v>
      </c>
      <c r="L900" s="0" t="n">
        <f aca="false">ROUND(E900-K900,2)</f>
        <v>92.4</v>
      </c>
      <c r="M900" s="0" t="n">
        <f aca="false">F900/E900</f>
        <v>0.206729457293829</v>
      </c>
    </row>
    <row r="901" customFormat="false" ht="12.8" hidden="false" customHeight="false" outlineLevel="0" collapsed="false">
      <c r="A901" s="0" t="s">
        <v>1371</v>
      </c>
      <c r="B901" s="0" t="s">
        <v>55</v>
      </c>
      <c r="C901" s="0" t="s">
        <v>26</v>
      </c>
      <c r="D901" s="0" t="s">
        <v>23</v>
      </c>
      <c r="E901" s="0" t="n">
        <v>21150.83</v>
      </c>
      <c r="F901" s="0" t="n">
        <v>87</v>
      </c>
      <c r="G901" s="0" t="str">
        <f aca="false">IF(F901&lt;=30,"Current",IF(F901&lt;=60,"31 to 60 days",IF(F901&lt;=90,"61 to 90 days",IF(F901&lt;=120,"91 to 120 days","Over 120 days"))))</f>
        <v>61 to 90 days</v>
      </c>
      <c r="H901" s="0" t="n">
        <f aca="false">VLOOKUP(D901,Rates!$A$4:$B$7,2,FALSE())</f>
        <v>0.115</v>
      </c>
      <c r="I901" s="0" t="n">
        <f aca="false">VLOOKUP(F901,Rates!$D$4:$E$8,2)</f>
        <v>0.25</v>
      </c>
      <c r="J901" s="0" t="n">
        <f aca="false">ROUND(E901*I901,2)</f>
        <v>5287.71</v>
      </c>
      <c r="K901" s="1" t="n">
        <f aca="false">PV(H901/12,F901/30,0,-E901)</f>
        <v>20573.8284653778</v>
      </c>
      <c r="L901" s="0" t="n">
        <f aca="false">ROUND(E901-K901,2)</f>
        <v>577</v>
      </c>
      <c r="M901" s="0" t="n">
        <f aca="false">F901/E901</f>
        <v>0.00411331375648142</v>
      </c>
    </row>
    <row r="902" customFormat="false" ht="12.8" hidden="false" customHeight="false" outlineLevel="0" collapsed="false">
      <c r="A902" s="0" t="s">
        <v>1372</v>
      </c>
      <c r="B902" s="0" t="s">
        <v>1373</v>
      </c>
      <c r="C902" s="0" t="s">
        <v>19</v>
      </c>
      <c r="D902" s="0" t="s">
        <v>16</v>
      </c>
      <c r="E902" s="0" t="n">
        <v>19807.05</v>
      </c>
      <c r="F902" s="0" t="n">
        <v>194</v>
      </c>
      <c r="G902" s="0" t="str">
        <f aca="false">IF(F902&lt;=30,"Current",IF(F902&lt;=60,"31 to 60 days",IF(F902&lt;=90,"61 to 90 days",IF(F902&lt;=120,"91 to 120 days","Over 120 days"))))</f>
        <v>Over 120 days</v>
      </c>
      <c r="H902" s="0" t="n">
        <f aca="false">VLOOKUP(D902,Rates!$A$4:$B$7,2,FALSE())</f>
        <v>0.085</v>
      </c>
      <c r="I902" s="0" t="n">
        <f aca="false">VLOOKUP(F902,Rates!$D$4:$E$8,2)</f>
        <v>0.85</v>
      </c>
      <c r="J902" s="0" t="n">
        <f aca="false">ROUND(E902*I902,2)</f>
        <v>16835.99</v>
      </c>
      <c r="K902" s="1" t="n">
        <f aca="false">PV(H902/12,F902/30,0,-E902)</f>
        <v>18923.2976977278</v>
      </c>
      <c r="L902" s="0" t="n">
        <f aca="false">ROUND(E902-K902,2)</f>
        <v>883.75</v>
      </c>
      <c r="M902" s="0" t="n">
        <f aca="false">F902/E902</f>
        <v>0.00979449236509223</v>
      </c>
    </row>
    <row r="903" customFormat="false" ht="12.8" hidden="false" customHeight="false" outlineLevel="0" collapsed="false">
      <c r="A903" s="0" t="s">
        <v>1374</v>
      </c>
      <c r="B903" s="0" t="s">
        <v>194</v>
      </c>
      <c r="C903" s="0" t="s">
        <v>15</v>
      </c>
      <c r="D903" s="0" t="s">
        <v>23</v>
      </c>
      <c r="E903" s="0" t="n">
        <v>41611.31</v>
      </c>
      <c r="F903" s="0" t="n">
        <v>259</v>
      </c>
      <c r="G903" s="0" t="str">
        <f aca="false">IF(F903&lt;=30,"Current",IF(F903&lt;=60,"31 to 60 days",IF(F903&lt;=90,"61 to 90 days",IF(F903&lt;=120,"91 to 120 days","Over 120 days"))))</f>
        <v>Over 120 days</v>
      </c>
      <c r="H903" s="0" t="n">
        <f aca="false">VLOOKUP(D903,Rates!$A$4:$B$7,2,FALSE())</f>
        <v>0.115</v>
      </c>
      <c r="I903" s="0" t="n">
        <f aca="false">VLOOKUP(F903,Rates!$D$4:$E$8,2)</f>
        <v>0.85</v>
      </c>
      <c r="J903" s="0" t="n">
        <f aca="false">ROUND(E903*I903,2)</f>
        <v>35369.61</v>
      </c>
      <c r="K903" s="1" t="n">
        <f aca="false">PV(H903/12,F903/30,0,-E903)</f>
        <v>38322.2176501685</v>
      </c>
      <c r="L903" s="0" t="n">
        <f aca="false">ROUND(E903-K903,2)</f>
        <v>3289.09</v>
      </c>
      <c r="M903" s="0" t="n">
        <f aca="false">F903/E903</f>
        <v>0.00622426931524146</v>
      </c>
    </row>
    <row r="904" customFormat="false" ht="12.8" hidden="false" customHeight="false" outlineLevel="0" collapsed="false">
      <c r="A904" s="0" t="s">
        <v>1375</v>
      </c>
      <c r="B904" s="0" t="s">
        <v>113</v>
      </c>
      <c r="C904" s="0" t="s">
        <v>26</v>
      </c>
      <c r="D904" s="0" t="s">
        <v>23</v>
      </c>
      <c r="E904" s="0" t="n">
        <v>29247.45</v>
      </c>
      <c r="F904" s="0" t="n">
        <v>335</v>
      </c>
      <c r="G904" s="0" t="str">
        <f aca="false">IF(F904&lt;=30,"Current",IF(F904&lt;=60,"31 to 60 days",IF(F904&lt;=90,"61 to 90 days",IF(F904&lt;=120,"91 to 120 days","Over 120 days"))))</f>
        <v>Over 120 days</v>
      </c>
      <c r="H904" s="0" t="n">
        <f aca="false">VLOOKUP(D904,Rates!$A$4:$B$7,2,FALSE())</f>
        <v>0.115</v>
      </c>
      <c r="I904" s="0" t="n">
        <f aca="false">VLOOKUP(F904,Rates!$D$4:$E$8,2)</f>
        <v>0.85</v>
      </c>
      <c r="J904" s="0" t="n">
        <f aca="false">ROUND(E904*I904,2)</f>
        <v>24860.33</v>
      </c>
      <c r="K904" s="1" t="n">
        <f aca="false">PV(H904/12,F904/30,0,-E904)</f>
        <v>26292.6129601713</v>
      </c>
      <c r="L904" s="0" t="n">
        <f aca="false">ROUND(E904-K904,2)</f>
        <v>2954.84</v>
      </c>
      <c r="M904" s="0" t="n">
        <f aca="false">F904/E904</f>
        <v>0.0114539900059663</v>
      </c>
    </row>
    <row r="905" customFormat="false" ht="12.8" hidden="false" customHeight="false" outlineLevel="0" collapsed="false">
      <c r="A905" s="0" t="s">
        <v>1376</v>
      </c>
      <c r="B905" s="0" t="s">
        <v>534</v>
      </c>
      <c r="C905" s="0" t="s">
        <v>26</v>
      </c>
      <c r="D905" s="0" t="s">
        <v>23</v>
      </c>
      <c r="E905" s="0" t="n">
        <v>14974.6</v>
      </c>
      <c r="F905" s="0" t="n">
        <v>43</v>
      </c>
      <c r="G905" s="0" t="str">
        <f aca="false">IF(F905&lt;=30,"Current",IF(F905&lt;=60,"31 to 60 days",IF(F905&lt;=90,"61 to 90 days",IF(F905&lt;=120,"91 to 120 days","Over 120 days"))))</f>
        <v>31 to 60 days</v>
      </c>
      <c r="H905" s="0" t="n">
        <f aca="false">VLOOKUP(D905,Rates!$A$4:$B$7,2,FALSE())</f>
        <v>0.115</v>
      </c>
      <c r="I905" s="0" t="n">
        <f aca="false">VLOOKUP(F905,Rates!$D$4:$E$8,2)</f>
        <v>0.1</v>
      </c>
      <c r="J905" s="0" t="n">
        <f aca="false">ROUND(E905*I905,2)</f>
        <v>1497.46</v>
      </c>
      <c r="K905" s="1" t="n">
        <f aca="false">PV(H905/12,F905/30,0,-E905)</f>
        <v>14771.2795238143</v>
      </c>
      <c r="L905" s="0" t="n">
        <f aca="false">ROUND(E905-K905,2)</f>
        <v>203.32</v>
      </c>
      <c r="M905" s="0" t="n">
        <f aca="false">F905/E905</f>
        <v>0.00287152912264768</v>
      </c>
    </row>
    <row r="906" customFormat="false" ht="12.8" hidden="false" customHeight="false" outlineLevel="0" collapsed="false">
      <c r="A906" s="0" t="s">
        <v>1377</v>
      </c>
      <c r="B906" s="0" t="s">
        <v>33</v>
      </c>
      <c r="C906" s="0" t="s">
        <v>26</v>
      </c>
      <c r="D906" s="0" t="s">
        <v>20</v>
      </c>
      <c r="E906" s="0" t="n">
        <v>34076.54</v>
      </c>
      <c r="F906" s="0" t="n">
        <v>149</v>
      </c>
      <c r="G906" s="0" t="str">
        <f aca="false">IF(F906&lt;=30,"Current",IF(F906&lt;=60,"31 to 60 days",IF(F906&lt;=90,"61 to 90 days",IF(F906&lt;=120,"91 to 120 days","Over 120 days"))))</f>
        <v>Over 120 days</v>
      </c>
      <c r="H906" s="0" t="n">
        <f aca="false">VLOOKUP(D906,Rates!$A$4:$B$7,2,FALSE())</f>
        <v>0.05</v>
      </c>
      <c r="I906" s="0" t="n">
        <f aca="false">VLOOKUP(F906,Rates!$D$4:$E$8,2)</f>
        <v>0.85</v>
      </c>
      <c r="J906" s="0" t="n">
        <f aca="false">ROUND(E906*I906,2)</f>
        <v>28965.06</v>
      </c>
      <c r="K906" s="1" t="n">
        <f aca="false">PV(H906/12,F906/30,0,-E906)</f>
        <v>33380.0267823438</v>
      </c>
      <c r="L906" s="0" t="n">
        <f aca="false">ROUND(E906-K906,2)</f>
        <v>696.51</v>
      </c>
      <c r="M906" s="0" t="n">
        <f aca="false">F906/E906</f>
        <v>0.00437250965033422</v>
      </c>
    </row>
    <row r="907" customFormat="false" ht="12.8" hidden="false" customHeight="false" outlineLevel="0" collapsed="false">
      <c r="A907" s="0" t="s">
        <v>1378</v>
      </c>
      <c r="B907" s="0" t="s">
        <v>22</v>
      </c>
      <c r="C907" s="0" t="s">
        <v>15</v>
      </c>
      <c r="D907" s="0" t="s">
        <v>23</v>
      </c>
      <c r="E907" s="0" t="n">
        <v>10070.92</v>
      </c>
      <c r="F907" s="0" t="n">
        <v>242</v>
      </c>
      <c r="G907" s="0" t="str">
        <f aca="false">IF(F907&lt;=30,"Current",IF(F907&lt;=60,"31 to 60 days",IF(F907&lt;=90,"61 to 90 days",IF(F907&lt;=120,"91 to 120 days","Over 120 days"))))</f>
        <v>Over 120 days</v>
      </c>
      <c r="H907" s="0" t="n">
        <f aca="false">VLOOKUP(D907,Rates!$A$4:$B$7,2,FALSE())</f>
        <v>0.115</v>
      </c>
      <c r="I907" s="0" t="n">
        <f aca="false">VLOOKUP(F907,Rates!$D$4:$E$8,2)</f>
        <v>0.85</v>
      </c>
      <c r="J907" s="0" t="n">
        <f aca="false">ROUND(E907*I907,2)</f>
        <v>8560.28</v>
      </c>
      <c r="K907" s="1" t="n">
        <f aca="false">PV(H907/12,F907/30,0,-E907)</f>
        <v>9325.14560816643</v>
      </c>
      <c r="L907" s="0" t="n">
        <f aca="false">ROUND(E907-K907,2)</f>
        <v>745.77</v>
      </c>
      <c r="M907" s="0" t="n">
        <f aca="false">F907/E907</f>
        <v>0.0240295822030162</v>
      </c>
    </row>
    <row r="908" customFormat="false" ht="12.8" hidden="false" customHeight="false" outlineLevel="0" collapsed="false">
      <c r="A908" s="0" t="s">
        <v>1379</v>
      </c>
      <c r="B908" s="0" t="s">
        <v>38</v>
      </c>
      <c r="C908" s="0" t="s">
        <v>15</v>
      </c>
      <c r="D908" s="0" t="s">
        <v>23</v>
      </c>
      <c r="E908" s="0" t="n">
        <v>20065.03</v>
      </c>
      <c r="F908" s="0" t="n">
        <v>310</v>
      </c>
      <c r="G908" s="0" t="str">
        <f aca="false">IF(F908&lt;=30,"Current",IF(F908&lt;=60,"31 to 60 days",IF(F908&lt;=90,"61 to 90 days",IF(F908&lt;=120,"91 to 120 days","Over 120 days"))))</f>
        <v>Over 120 days</v>
      </c>
      <c r="H908" s="0" t="n">
        <f aca="false">VLOOKUP(D908,Rates!$A$4:$B$7,2,FALSE())</f>
        <v>0.115</v>
      </c>
      <c r="I908" s="0" t="n">
        <f aca="false">VLOOKUP(F908,Rates!$D$4:$E$8,2)</f>
        <v>0.85</v>
      </c>
      <c r="J908" s="0" t="n">
        <f aca="false">ROUND(E908*I908,2)</f>
        <v>17055.28</v>
      </c>
      <c r="K908" s="1" t="n">
        <f aca="false">PV(H908/12,F908/30,0,-E908)</f>
        <v>18181.8204632215</v>
      </c>
      <c r="L908" s="0" t="n">
        <f aca="false">ROUND(E908-K908,2)</f>
        <v>1883.21</v>
      </c>
      <c r="M908" s="0" t="n">
        <f aca="false">F908/E908</f>
        <v>0.0154497650888137</v>
      </c>
    </row>
    <row r="909" customFormat="false" ht="12.8" hidden="false" customHeight="false" outlineLevel="0" collapsed="false">
      <c r="A909" s="0" t="s">
        <v>1380</v>
      </c>
      <c r="B909" s="0" t="s">
        <v>1381</v>
      </c>
      <c r="C909" s="0" t="s">
        <v>42</v>
      </c>
      <c r="D909" s="0" t="s">
        <v>16</v>
      </c>
      <c r="E909" s="0" t="n">
        <v>15784.07</v>
      </c>
      <c r="F909" s="0" t="n">
        <v>27</v>
      </c>
      <c r="G909" s="0" t="str">
        <f aca="false">IF(F909&lt;=30,"Current",IF(F909&lt;=60,"31 to 60 days",IF(F909&lt;=90,"61 to 90 days",IF(F909&lt;=120,"91 to 120 days","Over 120 days"))))</f>
        <v>Current</v>
      </c>
      <c r="H909" s="0" t="n">
        <f aca="false">VLOOKUP(D909,Rates!$A$4:$B$7,2,FALSE())</f>
        <v>0.085</v>
      </c>
      <c r="I909" s="0" t="n">
        <f aca="false">VLOOKUP(F909,Rates!$D$4:$E$8,2)</f>
        <v>0.02</v>
      </c>
      <c r="J909" s="0" t="n">
        <f aca="false">ROUND(E909*I909,2)</f>
        <v>315.68</v>
      </c>
      <c r="K909" s="1" t="n">
        <f aca="false">PV(H909/12,F909/30,0,-E909)</f>
        <v>15684.1190611534</v>
      </c>
      <c r="L909" s="0" t="n">
        <f aca="false">ROUND(E909-K909,2)</f>
        <v>99.95</v>
      </c>
      <c r="M909" s="0" t="n">
        <f aca="false">F909/E909</f>
        <v>0.00171058541935002</v>
      </c>
    </row>
    <row r="910" customFormat="false" ht="12.8" hidden="false" customHeight="false" outlineLevel="0" collapsed="false">
      <c r="A910" s="0" t="s">
        <v>1382</v>
      </c>
      <c r="B910" s="0" t="s">
        <v>18</v>
      </c>
      <c r="C910" s="0" t="s">
        <v>19</v>
      </c>
      <c r="D910" s="0" t="s">
        <v>20</v>
      </c>
      <c r="E910" s="0" t="n">
        <v>4575.45</v>
      </c>
      <c r="F910" s="0" t="n">
        <v>208</v>
      </c>
      <c r="G910" s="0" t="str">
        <f aca="false">IF(F910&lt;=30,"Current",IF(F910&lt;=60,"31 to 60 days",IF(F910&lt;=90,"61 to 90 days",IF(F910&lt;=120,"91 to 120 days","Over 120 days"))))</f>
        <v>Over 120 days</v>
      </c>
      <c r="H910" s="0" t="n">
        <f aca="false">VLOOKUP(D910,Rates!$A$4:$B$7,2,FALSE())</f>
        <v>0.05</v>
      </c>
      <c r="I910" s="0" t="n">
        <f aca="false">VLOOKUP(F910,Rates!$D$4:$E$8,2)</f>
        <v>0.85</v>
      </c>
      <c r="J910" s="0" t="n">
        <f aca="false">ROUND(E910*I910,2)</f>
        <v>3889.13</v>
      </c>
      <c r="K910" s="1" t="n">
        <f aca="false">PV(H910/12,F910/30,0,-E910)</f>
        <v>4445.42814175394</v>
      </c>
      <c r="L910" s="0" t="n">
        <f aca="false">ROUND(E910-K910,2)</f>
        <v>130.02</v>
      </c>
      <c r="M910" s="0" t="n">
        <f aca="false">F910/E910</f>
        <v>0.0454600093979827</v>
      </c>
    </row>
    <row r="911" customFormat="false" ht="12.8" hidden="false" customHeight="false" outlineLevel="0" collapsed="false">
      <c r="A911" s="0" t="s">
        <v>1383</v>
      </c>
      <c r="B911" s="0" t="s">
        <v>216</v>
      </c>
      <c r="C911" s="0" t="s">
        <v>15</v>
      </c>
      <c r="D911" s="0" t="s">
        <v>23</v>
      </c>
      <c r="E911" s="0" t="n">
        <v>8810.71</v>
      </c>
      <c r="F911" s="0" t="n">
        <v>289</v>
      </c>
      <c r="G911" s="0" t="str">
        <f aca="false">IF(F911&lt;=30,"Current",IF(F911&lt;=60,"31 to 60 days",IF(F911&lt;=90,"61 to 90 days",IF(F911&lt;=120,"91 to 120 days","Over 120 days"))))</f>
        <v>Over 120 days</v>
      </c>
      <c r="H911" s="0" t="n">
        <f aca="false">VLOOKUP(D911,Rates!$A$4:$B$7,2,FALSE())</f>
        <v>0.115</v>
      </c>
      <c r="I911" s="0" t="n">
        <f aca="false">VLOOKUP(F911,Rates!$D$4:$E$8,2)</f>
        <v>0.85</v>
      </c>
      <c r="J911" s="0" t="n">
        <f aca="false">ROUND(E911*I911,2)</f>
        <v>7489.1</v>
      </c>
      <c r="K911" s="1" t="n">
        <f aca="false">PV(H911/12,F911/30,0,-E911)</f>
        <v>8037.25928755357</v>
      </c>
      <c r="L911" s="0" t="n">
        <f aca="false">ROUND(E911-K911,2)</f>
        <v>773.45</v>
      </c>
      <c r="M911" s="0" t="n">
        <f aca="false">F911/E911</f>
        <v>0.0328009887965896</v>
      </c>
    </row>
    <row r="912" customFormat="false" ht="12.8" hidden="false" customHeight="false" outlineLevel="0" collapsed="false">
      <c r="A912" s="0" t="s">
        <v>1384</v>
      </c>
      <c r="B912" s="0" t="s">
        <v>1385</v>
      </c>
      <c r="C912" s="0" t="s">
        <v>42</v>
      </c>
      <c r="D912" s="0" t="s">
        <v>16</v>
      </c>
      <c r="E912" s="0" t="n">
        <v>21254.96</v>
      </c>
      <c r="F912" s="0" t="n">
        <v>209</v>
      </c>
      <c r="G912" s="0" t="str">
        <f aca="false">IF(F912&lt;=30,"Current",IF(F912&lt;=60,"31 to 60 days",IF(F912&lt;=90,"61 to 90 days",IF(F912&lt;=120,"91 to 120 days","Over 120 days"))))</f>
        <v>Over 120 days</v>
      </c>
      <c r="H912" s="0" t="n">
        <f aca="false">VLOOKUP(D912,Rates!$A$4:$B$7,2,FALSE())</f>
        <v>0.085</v>
      </c>
      <c r="I912" s="0" t="n">
        <f aca="false">VLOOKUP(F912,Rates!$D$4:$E$8,2)</f>
        <v>0.85</v>
      </c>
      <c r="J912" s="0" t="n">
        <f aca="false">ROUND(E912*I912,2)</f>
        <v>18066.72</v>
      </c>
      <c r="K912" s="1" t="n">
        <f aca="false">PV(H912/12,F912/30,0,-E912)</f>
        <v>20235.065355334</v>
      </c>
      <c r="L912" s="0" t="n">
        <f aca="false">ROUND(E912-K912,2)</f>
        <v>1019.89</v>
      </c>
      <c r="M912" s="0" t="n">
        <f aca="false">F912/E912</f>
        <v>0.00983299898000279</v>
      </c>
    </row>
    <row r="913" customFormat="false" ht="12.8" hidden="false" customHeight="false" outlineLevel="0" collapsed="false">
      <c r="A913" s="0" t="s">
        <v>1386</v>
      </c>
      <c r="B913" s="0" t="s">
        <v>84</v>
      </c>
      <c r="C913" s="0" t="s">
        <v>26</v>
      </c>
      <c r="D913" s="0" t="s">
        <v>23</v>
      </c>
      <c r="E913" s="0" t="n">
        <v>7302.49</v>
      </c>
      <c r="F913" s="0" t="n">
        <v>185</v>
      </c>
      <c r="G913" s="0" t="str">
        <f aca="false">IF(F913&lt;=30,"Current",IF(F913&lt;=60,"31 to 60 days",IF(F913&lt;=90,"61 to 90 days",IF(F913&lt;=120,"91 to 120 days","Over 120 days"))))</f>
        <v>Over 120 days</v>
      </c>
      <c r="H913" s="0" t="n">
        <f aca="false">VLOOKUP(D913,Rates!$A$4:$B$7,2,FALSE())</f>
        <v>0.115</v>
      </c>
      <c r="I913" s="0" t="n">
        <f aca="false">VLOOKUP(F913,Rates!$D$4:$E$8,2)</f>
        <v>0.85</v>
      </c>
      <c r="J913" s="0" t="n">
        <f aca="false">ROUND(E913*I913,2)</f>
        <v>6207.12</v>
      </c>
      <c r="K913" s="1" t="n">
        <f aca="false">PV(H913/12,F913/30,0,-E913)</f>
        <v>6885.3746189641</v>
      </c>
      <c r="L913" s="0" t="n">
        <f aca="false">ROUND(E913-K913,2)</f>
        <v>417.12</v>
      </c>
      <c r="M913" s="0" t="n">
        <f aca="false">F913/E913</f>
        <v>0.0253338244900027</v>
      </c>
    </row>
    <row r="914" customFormat="false" ht="12.8" hidden="false" customHeight="false" outlineLevel="0" collapsed="false">
      <c r="A914" s="0" t="s">
        <v>1387</v>
      </c>
      <c r="B914" s="0" t="s">
        <v>18</v>
      </c>
      <c r="C914" s="0" t="s">
        <v>19</v>
      </c>
      <c r="D914" s="0" t="s">
        <v>20</v>
      </c>
      <c r="E914" s="0" t="n">
        <v>11419.28</v>
      </c>
      <c r="F914" s="0" t="n">
        <v>257</v>
      </c>
      <c r="G914" s="0" t="str">
        <f aca="false">IF(F914&lt;=30,"Current",IF(F914&lt;=60,"31 to 60 days",IF(F914&lt;=90,"61 to 90 days",IF(F914&lt;=120,"91 to 120 days","Over 120 days"))))</f>
        <v>Over 120 days</v>
      </c>
      <c r="H914" s="0" t="n">
        <f aca="false">VLOOKUP(D914,Rates!$A$4:$B$7,2,FALSE())</f>
        <v>0.05</v>
      </c>
      <c r="I914" s="0" t="n">
        <f aca="false">VLOOKUP(F914,Rates!$D$4:$E$8,2)</f>
        <v>0.85</v>
      </c>
      <c r="J914" s="0" t="n">
        <f aca="false">ROUND(E914*I914,2)</f>
        <v>9706.39</v>
      </c>
      <c r="K914" s="1" t="n">
        <f aca="false">PV(H914/12,F914/30,0,-E914)</f>
        <v>11019.6811330875</v>
      </c>
      <c r="L914" s="0" t="n">
        <f aca="false">ROUND(E914-K914,2)</f>
        <v>399.6</v>
      </c>
      <c r="M914" s="0" t="n">
        <f aca="false">F914/E914</f>
        <v>0.0225057972131343</v>
      </c>
    </row>
    <row r="915" customFormat="false" ht="12.8" hidden="false" customHeight="false" outlineLevel="0" collapsed="false">
      <c r="A915" s="0" t="s">
        <v>1388</v>
      </c>
      <c r="B915" s="0" t="s">
        <v>1389</v>
      </c>
      <c r="C915" s="0" t="s">
        <v>36</v>
      </c>
      <c r="D915" s="0" t="s">
        <v>49</v>
      </c>
      <c r="E915" s="0" t="n">
        <v>29911.7</v>
      </c>
      <c r="F915" s="0" t="n">
        <v>23</v>
      </c>
      <c r="G915" s="0" t="str">
        <f aca="false">IF(F915&lt;=30,"Current",IF(F915&lt;=60,"31 to 60 days",IF(F915&lt;=90,"61 to 90 days",IF(F915&lt;=120,"91 to 120 days","Over 120 days"))))</f>
        <v>Current</v>
      </c>
      <c r="H915" s="0" t="n">
        <f aca="false">VLOOKUP(D915,Rates!$A$4:$B$7,2,FALSE())</f>
        <v>0.02</v>
      </c>
      <c r="I915" s="0" t="n">
        <f aca="false">VLOOKUP(F915,Rates!$D$4:$E$8,2)</f>
        <v>0.02</v>
      </c>
      <c r="J915" s="0" t="n">
        <f aca="false">ROUND(E915*I915,2)</f>
        <v>598.23</v>
      </c>
      <c r="K915" s="1" t="n">
        <f aca="false">PV(H915/12,F915/30,0,-E915)</f>
        <v>29873.5356771699</v>
      </c>
      <c r="L915" s="0" t="n">
        <f aca="false">ROUND(E915-K915,2)</f>
        <v>38.16</v>
      </c>
      <c r="M915" s="0" t="n">
        <f aca="false">F915/E915</f>
        <v>0.000768929883624134</v>
      </c>
    </row>
    <row r="916" customFormat="false" ht="12.8" hidden="false" customHeight="false" outlineLevel="0" collapsed="false">
      <c r="A916" s="0" t="s">
        <v>1390</v>
      </c>
      <c r="B916" s="0" t="s">
        <v>1391</v>
      </c>
      <c r="C916" s="0" t="s">
        <v>31</v>
      </c>
      <c r="D916" s="0" t="s">
        <v>16</v>
      </c>
      <c r="E916" s="0" t="n">
        <v>41653.74</v>
      </c>
      <c r="F916" s="0" t="n">
        <v>65</v>
      </c>
      <c r="G916" s="0" t="str">
        <f aca="false">IF(F916&lt;=30,"Current",IF(F916&lt;=60,"31 to 60 days",IF(F916&lt;=90,"61 to 90 days",IF(F916&lt;=120,"91 to 120 days","Over 120 days"))))</f>
        <v>61 to 90 days</v>
      </c>
      <c r="H916" s="0" t="n">
        <f aca="false">VLOOKUP(D916,Rates!$A$4:$B$7,2,FALSE())</f>
        <v>0.085</v>
      </c>
      <c r="I916" s="0" t="n">
        <f aca="false">VLOOKUP(F916,Rates!$D$4:$E$8,2)</f>
        <v>0.25</v>
      </c>
      <c r="J916" s="0" t="n">
        <f aca="false">ROUND(E916*I916,2)</f>
        <v>10413.44</v>
      </c>
      <c r="K916" s="1" t="n">
        <f aca="false">PV(H916/12,F916/30,0,-E916)</f>
        <v>41021.570483201</v>
      </c>
      <c r="L916" s="0" t="n">
        <f aca="false">ROUND(E916-K916,2)</f>
        <v>632.17</v>
      </c>
      <c r="M916" s="0" t="n">
        <f aca="false">F916/E916</f>
        <v>0.00156048412459481</v>
      </c>
    </row>
    <row r="917" customFormat="false" ht="12.8" hidden="false" customHeight="false" outlineLevel="0" collapsed="false">
      <c r="A917" s="0" t="s">
        <v>1392</v>
      </c>
      <c r="B917" s="0" t="s">
        <v>25</v>
      </c>
      <c r="C917" s="0" t="s">
        <v>26</v>
      </c>
      <c r="D917" s="0" t="s">
        <v>23</v>
      </c>
      <c r="E917" s="0" t="n">
        <v>28377.99</v>
      </c>
      <c r="F917" s="0" t="n">
        <v>153</v>
      </c>
      <c r="G917" s="0" t="str">
        <f aca="false">IF(F917&lt;=30,"Current",IF(F917&lt;=60,"31 to 60 days",IF(F917&lt;=90,"61 to 90 days",IF(F917&lt;=120,"91 to 120 days","Over 120 days"))))</f>
        <v>Over 120 days</v>
      </c>
      <c r="H917" s="0" t="n">
        <f aca="false">VLOOKUP(D917,Rates!$A$4:$B$7,2,FALSE())</f>
        <v>0.115</v>
      </c>
      <c r="I917" s="0" t="n">
        <f aca="false">VLOOKUP(F917,Rates!$D$4:$E$8,2)</f>
        <v>0.85</v>
      </c>
      <c r="J917" s="0" t="n">
        <f aca="false">ROUND(E917*I917,2)</f>
        <v>24121.29</v>
      </c>
      <c r="K917" s="1" t="n">
        <f aca="false">PV(H917/12,F917/30,0,-E917)</f>
        <v>27030.6539057914</v>
      </c>
      <c r="L917" s="0" t="n">
        <f aca="false">ROUND(E917-K917,2)</f>
        <v>1347.34</v>
      </c>
      <c r="M917" s="0" t="n">
        <f aca="false">F917/E917</f>
        <v>0.00539150235798941</v>
      </c>
    </row>
    <row r="918" customFormat="false" ht="12.8" hidden="false" customHeight="false" outlineLevel="0" collapsed="false">
      <c r="A918" s="0" t="s">
        <v>1393</v>
      </c>
      <c r="B918" s="0" t="s">
        <v>51</v>
      </c>
      <c r="C918" s="0" t="s">
        <v>36</v>
      </c>
      <c r="D918" s="0" t="s">
        <v>20</v>
      </c>
      <c r="E918" s="0" t="n">
        <v>25710.63</v>
      </c>
      <c r="F918" s="0" t="n">
        <v>67</v>
      </c>
      <c r="G918" s="0" t="str">
        <f aca="false">IF(F918&lt;=30,"Current",IF(F918&lt;=60,"31 to 60 days",IF(F918&lt;=90,"61 to 90 days",IF(F918&lt;=120,"91 to 120 days","Over 120 days"))))</f>
        <v>61 to 90 days</v>
      </c>
      <c r="H918" s="0" t="n">
        <f aca="false">VLOOKUP(D918,Rates!$A$4:$B$7,2,FALSE())</f>
        <v>0.05</v>
      </c>
      <c r="I918" s="0" t="n">
        <f aca="false">VLOOKUP(F918,Rates!$D$4:$E$8,2)</f>
        <v>0.25</v>
      </c>
      <c r="J918" s="0" t="n">
        <f aca="false">ROUND(E918*I918,2)</f>
        <v>6427.66</v>
      </c>
      <c r="K918" s="1" t="n">
        <f aca="false">PV(H918/12,F918/30,0,-E918)</f>
        <v>25472.9805057984</v>
      </c>
      <c r="L918" s="0" t="n">
        <f aca="false">ROUND(E918-K918,2)</f>
        <v>237.65</v>
      </c>
      <c r="M918" s="0" t="n">
        <f aca="false">F918/E918</f>
        <v>0.00260592603137302</v>
      </c>
    </row>
    <row r="919" customFormat="false" ht="12.8" hidden="false" customHeight="false" outlineLevel="0" collapsed="false">
      <c r="A919" s="0" t="s">
        <v>1394</v>
      </c>
      <c r="B919" s="0" t="s">
        <v>18</v>
      </c>
      <c r="C919" s="0" t="s">
        <v>19</v>
      </c>
      <c r="D919" s="0" t="s">
        <v>20</v>
      </c>
      <c r="E919" s="0" t="n">
        <v>17031.97</v>
      </c>
      <c r="F919" s="0" t="n">
        <v>279</v>
      </c>
      <c r="G919" s="0" t="str">
        <f aca="false">IF(F919&lt;=30,"Current",IF(F919&lt;=60,"31 to 60 days",IF(F919&lt;=90,"61 to 90 days",IF(F919&lt;=120,"91 to 120 days","Over 120 days"))))</f>
        <v>Over 120 days</v>
      </c>
      <c r="H919" s="0" t="n">
        <f aca="false">VLOOKUP(D919,Rates!$A$4:$B$7,2,FALSE())</f>
        <v>0.05</v>
      </c>
      <c r="I919" s="0" t="n">
        <f aca="false">VLOOKUP(F919,Rates!$D$4:$E$8,2)</f>
        <v>0.85</v>
      </c>
      <c r="J919" s="0" t="n">
        <f aca="false">ROUND(E919*I919,2)</f>
        <v>14477.17</v>
      </c>
      <c r="K919" s="1" t="n">
        <f aca="false">PV(H919/12,F919/30,0,-E919)</f>
        <v>16385.9239707276</v>
      </c>
      <c r="L919" s="0" t="n">
        <f aca="false">ROUND(E919-K919,2)</f>
        <v>646.05</v>
      </c>
      <c r="M919" s="0" t="n">
        <f aca="false">F919/E919</f>
        <v>0.0163809588673536</v>
      </c>
    </row>
    <row r="920" customFormat="false" ht="12.8" hidden="false" customHeight="false" outlineLevel="0" collapsed="false">
      <c r="A920" s="0" t="s">
        <v>1395</v>
      </c>
      <c r="B920" s="0" t="s">
        <v>1396</v>
      </c>
      <c r="C920" s="0" t="s">
        <v>26</v>
      </c>
      <c r="D920" s="0" t="s">
        <v>49</v>
      </c>
      <c r="E920" s="0" t="n">
        <v>35885.01</v>
      </c>
      <c r="F920" s="0" t="n">
        <v>248</v>
      </c>
      <c r="G920" s="0" t="str">
        <f aca="false">IF(F920&lt;=30,"Current",IF(F920&lt;=60,"31 to 60 days",IF(F920&lt;=90,"61 to 90 days",IF(F920&lt;=120,"91 to 120 days","Over 120 days"))))</f>
        <v>Over 120 days</v>
      </c>
      <c r="H920" s="0" t="n">
        <f aca="false">VLOOKUP(D920,Rates!$A$4:$B$7,2,FALSE())</f>
        <v>0.02</v>
      </c>
      <c r="I920" s="0" t="n">
        <f aca="false">VLOOKUP(F920,Rates!$D$4:$E$8,2)</f>
        <v>0.85</v>
      </c>
      <c r="J920" s="0" t="n">
        <f aca="false">ROUND(E920*I920,2)</f>
        <v>30502.26</v>
      </c>
      <c r="K920" s="1" t="n">
        <f aca="false">PV(H920/12,F920/30,0,-E920)</f>
        <v>35394.3906196622</v>
      </c>
      <c r="L920" s="0" t="n">
        <f aca="false">ROUND(E920-K920,2)</f>
        <v>490.62</v>
      </c>
      <c r="M920" s="0" t="n">
        <f aca="false">F920/E920</f>
        <v>0.00691096365864187</v>
      </c>
    </row>
    <row r="921" customFormat="false" ht="12.8" hidden="false" customHeight="false" outlineLevel="0" collapsed="false">
      <c r="A921" s="0" t="s">
        <v>1397</v>
      </c>
      <c r="B921" s="0" t="s">
        <v>51</v>
      </c>
      <c r="C921" s="0" t="s">
        <v>36</v>
      </c>
      <c r="D921" s="0" t="s">
        <v>20</v>
      </c>
      <c r="E921" s="0" t="n">
        <v>32465.65</v>
      </c>
      <c r="F921" s="0" t="n">
        <v>354</v>
      </c>
      <c r="G921" s="0" t="str">
        <f aca="false">IF(F921&lt;=30,"Current",IF(F921&lt;=60,"31 to 60 days",IF(F921&lt;=90,"61 to 90 days",IF(F921&lt;=120,"91 to 120 days","Over 120 days"))))</f>
        <v>Over 120 days</v>
      </c>
      <c r="H921" s="0" t="n">
        <f aca="false">VLOOKUP(D921,Rates!$A$4:$B$7,2,FALSE())</f>
        <v>0.05</v>
      </c>
      <c r="I921" s="0" t="n">
        <f aca="false">VLOOKUP(F921,Rates!$D$4:$E$8,2)</f>
        <v>0.85</v>
      </c>
      <c r="J921" s="0" t="n">
        <f aca="false">ROUND(E921*I921,2)</f>
        <v>27595.8</v>
      </c>
      <c r="K921" s="1" t="n">
        <f aca="false">PV(H921/12,F921/30,0,-E921)</f>
        <v>30911.184847007</v>
      </c>
      <c r="L921" s="0" t="n">
        <f aca="false">ROUND(E921-K921,2)</f>
        <v>1554.47</v>
      </c>
      <c r="M921" s="0" t="n">
        <f aca="false">F921/E921</f>
        <v>0.0109038322041912</v>
      </c>
    </row>
    <row r="922" customFormat="false" ht="12.8" hidden="false" customHeight="false" outlineLevel="0" collapsed="false">
      <c r="A922" s="0" t="s">
        <v>1398</v>
      </c>
      <c r="B922" s="0" t="s">
        <v>97</v>
      </c>
      <c r="C922" s="0" t="s">
        <v>42</v>
      </c>
      <c r="D922" s="0" t="s">
        <v>20</v>
      </c>
      <c r="E922" s="0" t="n">
        <v>31012.87</v>
      </c>
      <c r="F922" s="0" t="n">
        <v>123</v>
      </c>
      <c r="G922" s="0" t="str">
        <f aca="false">IF(F922&lt;=30,"Current",IF(F922&lt;=60,"31 to 60 days",IF(F922&lt;=90,"61 to 90 days",IF(F922&lt;=120,"91 to 120 days","Over 120 days"))))</f>
        <v>Over 120 days</v>
      </c>
      <c r="H922" s="0" t="n">
        <f aca="false">VLOOKUP(D922,Rates!$A$4:$B$7,2,FALSE())</f>
        <v>0.05</v>
      </c>
      <c r="I922" s="0" t="n">
        <f aca="false">VLOOKUP(F922,Rates!$D$4:$E$8,2)</f>
        <v>0.85</v>
      </c>
      <c r="J922" s="0" t="n">
        <f aca="false">ROUND(E922*I922,2)</f>
        <v>26360.94</v>
      </c>
      <c r="K922" s="1" t="n">
        <f aca="false">PV(H922/12,F922/30,0,-E922)</f>
        <v>30488.6486219892</v>
      </c>
      <c r="L922" s="0" t="n">
        <f aca="false">ROUND(E922-K922,2)</f>
        <v>524.22</v>
      </c>
      <c r="M922" s="0" t="n">
        <f aca="false">F922/E922</f>
        <v>0.00396609536621409</v>
      </c>
    </row>
    <row r="923" customFormat="false" ht="12.8" hidden="false" customHeight="false" outlineLevel="0" collapsed="false">
      <c r="A923" s="0" t="s">
        <v>1399</v>
      </c>
      <c r="B923" s="0" t="s">
        <v>1400</v>
      </c>
      <c r="C923" s="0" t="s">
        <v>36</v>
      </c>
      <c r="D923" s="0" t="s">
        <v>16</v>
      </c>
      <c r="E923" s="0" t="n">
        <v>27277.74</v>
      </c>
      <c r="F923" s="0" t="n">
        <v>38</v>
      </c>
      <c r="G923" s="0" t="str">
        <f aca="false">IF(F923&lt;=30,"Current",IF(F923&lt;=60,"31 to 60 days",IF(F923&lt;=90,"61 to 90 days",IF(F923&lt;=120,"91 to 120 days","Over 120 days"))))</f>
        <v>31 to 60 days</v>
      </c>
      <c r="H923" s="0" t="n">
        <f aca="false">VLOOKUP(D923,Rates!$A$4:$B$7,2,FALSE())</f>
        <v>0.085</v>
      </c>
      <c r="I923" s="0" t="n">
        <f aca="false">VLOOKUP(F923,Rates!$D$4:$E$8,2)</f>
        <v>0.1</v>
      </c>
      <c r="J923" s="0" t="n">
        <f aca="false">ROUND(E923*I923,2)</f>
        <v>2727.77</v>
      </c>
      <c r="K923" s="1" t="n">
        <f aca="false">PV(H923/12,F923/30,0,-E923)</f>
        <v>27034.9477486755</v>
      </c>
      <c r="L923" s="0" t="n">
        <f aca="false">ROUND(E923-K923,2)</f>
        <v>242.79</v>
      </c>
      <c r="M923" s="0" t="n">
        <f aca="false">F923/E923</f>
        <v>0.00139307728572822</v>
      </c>
    </row>
    <row r="924" customFormat="false" ht="12.8" hidden="false" customHeight="false" outlineLevel="0" collapsed="false">
      <c r="A924" s="0" t="s">
        <v>1401</v>
      </c>
      <c r="B924" s="0" t="s">
        <v>1025</v>
      </c>
      <c r="C924" s="0" t="s">
        <v>15</v>
      </c>
      <c r="D924" s="0" t="s">
        <v>49</v>
      </c>
      <c r="E924" s="0" t="n">
        <v>5210.63</v>
      </c>
      <c r="F924" s="0" t="n">
        <v>11</v>
      </c>
      <c r="G924" s="0" t="str">
        <f aca="false">IF(F924&lt;=30,"Current",IF(F924&lt;=60,"31 to 60 days",IF(F924&lt;=90,"61 to 90 days",IF(F924&lt;=120,"91 to 120 days","Over 120 days"))))</f>
        <v>Current</v>
      </c>
      <c r="H924" s="0" t="n">
        <f aca="false">VLOOKUP(D924,Rates!$A$4:$B$7,2,FALSE())</f>
        <v>0.02</v>
      </c>
      <c r="I924" s="0" t="n">
        <f aca="false">VLOOKUP(F924,Rates!$D$4:$E$8,2)</f>
        <v>0.02</v>
      </c>
      <c r="J924" s="0" t="n">
        <f aca="false">ROUND(E924*I924,2)</f>
        <v>104.21</v>
      </c>
      <c r="K924" s="1" t="n">
        <f aca="false">PV(H924/12,F924/30,0,-E924)</f>
        <v>5207.44934788372</v>
      </c>
      <c r="L924" s="0" t="n">
        <f aca="false">ROUND(E924-K924,2)</f>
        <v>3.18</v>
      </c>
      <c r="M924" s="0" t="n">
        <f aca="false">F924/E924</f>
        <v>0.00211106910296836</v>
      </c>
    </row>
    <row r="925" customFormat="false" ht="12.8" hidden="false" customHeight="false" outlineLevel="0" collapsed="false">
      <c r="A925" s="0" t="s">
        <v>1402</v>
      </c>
      <c r="B925" s="0" t="s">
        <v>1403</v>
      </c>
      <c r="C925" s="0" t="s">
        <v>42</v>
      </c>
      <c r="D925" s="0" t="s">
        <v>16</v>
      </c>
      <c r="E925" s="0" t="n">
        <v>18531.12</v>
      </c>
      <c r="F925" s="0" t="n">
        <v>226</v>
      </c>
      <c r="G925" s="0" t="str">
        <f aca="false">IF(F925&lt;=30,"Current",IF(F925&lt;=60,"31 to 60 days",IF(F925&lt;=90,"61 to 90 days",IF(F925&lt;=120,"91 to 120 days","Over 120 days"))))</f>
        <v>Over 120 days</v>
      </c>
      <c r="H925" s="0" t="n">
        <f aca="false">VLOOKUP(D925,Rates!$A$4:$B$7,2,FALSE())</f>
        <v>0.085</v>
      </c>
      <c r="I925" s="0" t="n">
        <f aca="false">VLOOKUP(F925,Rates!$D$4:$E$8,2)</f>
        <v>0.85</v>
      </c>
      <c r="J925" s="0" t="n">
        <f aca="false">ROUND(E925*I925,2)</f>
        <v>15751.45</v>
      </c>
      <c r="K925" s="1" t="n">
        <f aca="false">PV(H925/12,F925/30,0,-E925)</f>
        <v>17571.5034805409</v>
      </c>
      <c r="L925" s="0" t="n">
        <f aca="false">ROUND(E925-K925,2)</f>
        <v>959.62</v>
      </c>
      <c r="M925" s="0" t="n">
        <f aca="false">F925/E925</f>
        <v>0.0121957010693363</v>
      </c>
    </row>
    <row r="926" customFormat="false" ht="12.8" hidden="false" customHeight="false" outlineLevel="0" collapsed="false">
      <c r="A926" s="0" t="s">
        <v>1404</v>
      </c>
      <c r="B926" s="0" t="s">
        <v>340</v>
      </c>
      <c r="C926" s="0" t="s">
        <v>19</v>
      </c>
      <c r="D926" s="0" t="s">
        <v>49</v>
      </c>
      <c r="E926" s="0" t="n">
        <v>11432.06</v>
      </c>
      <c r="F926" s="0" t="n">
        <v>89</v>
      </c>
      <c r="G926" s="0" t="str">
        <f aca="false">IF(F926&lt;=30,"Current",IF(F926&lt;=60,"31 to 60 days",IF(F926&lt;=90,"61 to 90 days",IF(F926&lt;=120,"91 to 120 days","Over 120 days"))))</f>
        <v>61 to 90 days</v>
      </c>
      <c r="H926" s="0" t="n">
        <f aca="false">VLOOKUP(D926,Rates!$A$4:$B$7,2,FALSE())</f>
        <v>0.02</v>
      </c>
      <c r="I926" s="0" t="n">
        <f aca="false">VLOOKUP(F926,Rates!$D$4:$E$8,2)</f>
        <v>0.25</v>
      </c>
      <c r="J926" s="0" t="n">
        <f aca="false">ROUND(E926*I926,2)</f>
        <v>2858.02</v>
      </c>
      <c r="K926" s="1" t="n">
        <f aca="false">PV(H926/12,F926/30,0,-E926)</f>
        <v>11375.7211473046</v>
      </c>
      <c r="L926" s="0" t="n">
        <f aca="false">ROUND(E926-K926,2)</f>
        <v>56.34</v>
      </c>
      <c r="M926" s="0" t="n">
        <f aca="false">F926/E926</f>
        <v>0.00778512359102384</v>
      </c>
    </row>
    <row r="927" customFormat="false" ht="12.8" hidden="false" customHeight="false" outlineLevel="0" collapsed="false">
      <c r="A927" s="0" t="s">
        <v>1405</v>
      </c>
      <c r="B927" s="0" t="s">
        <v>1406</v>
      </c>
      <c r="C927" s="0" t="s">
        <v>19</v>
      </c>
      <c r="D927" s="0" t="s">
        <v>49</v>
      </c>
      <c r="E927" s="0" t="n">
        <v>10345.3</v>
      </c>
      <c r="F927" s="0" t="n">
        <v>236</v>
      </c>
      <c r="G927" s="0" t="str">
        <f aca="false">IF(F927&lt;=30,"Current",IF(F927&lt;=60,"31 to 60 days",IF(F927&lt;=90,"61 to 90 days",IF(F927&lt;=120,"91 to 120 days","Over 120 days"))))</f>
        <v>Over 120 days</v>
      </c>
      <c r="H927" s="0" t="n">
        <f aca="false">VLOOKUP(D927,Rates!$A$4:$B$7,2,FALSE())</f>
        <v>0.02</v>
      </c>
      <c r="I927" s="0" t="n">
        <f aca="false">VLOOKUP(F927,Rates!$D$4:$E$8,2)</f>
        <v>0.85</v>
      </c>
      <c r="J927" s="0" t="n">
        <f aca="false">ROUND(E927*I927,2)</f>
        <v>8793.51</v>
      </c>
      <c r="K927" s="1" t="n">
        <f aca="false">PV(H927/12,F927/30,0,-E927)</f>
        <v>10210.6583702672</v>
      </c>
      <c r="L927" s="0" t="n">
        <f aca="false">ROUND(E927-K927,2)</f>
        <v>134.64</v>
      </c>
      <c r="M927" s="0" t="n">
        <f aca="false">F927/E927</f>
        <v>0.0228122915720182</v>
      </c>
    </row>
    <row r="928" customFormat="false" ht="12.8" hidden="false" customHeight="false" outlineLevel="0" collapsed="false">
      <c r="A928" s="0" t="s">
        <v>1407</v>
      </c>
      <c r="B928" s="0" t="s">
        <v>28</v>
      </c>
      <c r="C928" s="0" t="s">
        <v>15</v>
      </c>
      <c r="D928" s="0" t="s">
        <v>20</v>
      </c>
      <c r="E928" s="0" t="n">
        <v>17014.08</v>
      </c>
      <c r="F928" s="0" t="n">
        <v>195</v>
      </c>
      <c r="G928" s="0" t="str">
        <f aca="false">IF(F928&lt;=30,"Current",IF(F928&lt;=60,"31 to 60 days",IF(F928&lt;=90,"61 to 90 days",IF(F928&lt;=120,"91 to 120 days","Over 120 days"))))</f>
        <v>Over 120 days</v>
      </c>
      <c r="H928" s="0" t="n">
        <f aca="false">VLOOKUP(D928,Rates!$A$4:$B$7,2,FALSE())</f>
        <v>0.05</v>
      </c>
      <c r="I928" s="0" t="n">
        <f aca="false">VLOOKUP(F928,Rates!$D$4:$E$8,2)</f>
        <v>0.85</v>
      </c>
      <c r="J928" s="0" t="n">
        <f aca="false">ROUND(E928*I928,2)</f>
        <v>14461.97</v>
      </c>
      <c r="K928" s="1" t="n">
        <f aca="false">PV(H928/12,F928/30,0,-E928)</f>
        <v>16560.3978029595</v>
      </c>
      <c r="L928" s="0" t="n">
        <f aca="false">ROUND(E928-K928,2)</f>
        <v>453.68</v>
      </c>
      <c r="M928" s="0" t="n">
        <f aca="false">F928/E928</f>
        <v>0.0114610957512836</v>
      </c>
    </row>
    <row r="929" customFormat="false" ht="12.8" hidden="false" customHeight="false" outlineLevel="0" collapsed="false">
      <c r="A929" s="0" t="s">
        <v>1408</v>
      </c>
      <c r="B929" s="0" t="s">
        <v>490</v>
      </c>
      <c r="C929" s="0" t="s">
        <v>42</v>
      </c>
      <c r="D929" s="0" t="s">
        <v>23</v>
      </c>
      <c r="E929" s="0" t="n">
        <v>43404.29</v>
      </c>
      <c r="F929" s="0" t="n">
        <v>367</v>
      </c>
      <c r="G929" s="0" t="str">
        <f aca="false">IF(F929&lt;=30,"Current",IF(F929&lt;=60,"31 to 60 days",IF(F929&lt;=90,"61 to 90 days",IF(F929&lt;=120,"91 to 120 days","Over 120 days"))))</f>
        <v>Over 120 days</v>
      </c>
      <c r="H929" s="0" t="n">
        <f aca="false">VLOOKUP(D929,Rates!$A$4:$B$7,2,FALSE())</f>
        <v>0.115</v>
      </c>
      <c r="I929" s="0" t="n">
        <f aca="false">VLOOKUP(F929,Rates!$D$4:$E$8,2)</f>
        <v>0.85</v>
      </c>
      <c r="J929" s="0" t="n">
        <f aca="false">ROUND(E929*I929,2)</f>
        <v>36893.65</v>
      </c>
      <c r="K929" s="1" t="n">
        <f aca="false">PV(H929/12,F929/30,0,-E929)</f>
        <v>38624.2518713136</v>
      </c>
      <c r="L929" s="0" t="n">
        <f aca="false">ROUND(E929-K929,2)</f>
        <v>4780.04</v>
      </c>
      <c r="M929" s="0" t="n">
        <f aca="false">F929/E929</f>
        <v>0.00845538540084402</v>
      </c>
    </row>
    <row r="930" customFormat="false" ht="12.8" hidden="false" customHeight="false" outlineLevel="0" collapsed="false">
      <c r="A930" s="0" t="s">
        <v>1409</v>
      </c>
      <c r="B930" s="0" t="s">
        <v>1410</v>
      </c>
      <c r="C930" s="0" t="s">
        <v>19</v>
      </c>
      <c r="D930" s="0" t="s">
        <v>49</v>
      </c>
      <c r="E930" s="0" t="n">
        <v>34287.54</v>
      </c>
      <c r="F930" s="0" t="n">
        <v>130</v>
      </c>
      <c r="G930" s="0" t="str">
        <f aca="false">IF(F930&lt;=30,"Current",IF(F930&lt;=60,"31 to 60 days",IF(F930&lt;=90,"61 to 90 days",IF(F930&lt;=120,"91 to 120 days","Over 120 days"))))</f>
        <v>Over 120 days</v>
      </c>
      <c r="H930" s="0" t="n">
        <f aca="false">VLOOKUP(D930,Rates!$A$4:$B$7,2,FALSE())</f>
        <v>0.02</v>
      </c>
      <c r="I930" s="0" t="n">
        <f aca="false">VLOOKUP(F930,Rates!$D$4:$E$8,2)</f>
        <v>0.85</v>
      </c>
      <c r="J930" s="0" t="n">
        <f aca="false">ROUND(E930*I930,2)</f>
        <v>29144.41</v>
      </c>
      <c r="K930" s="1" t="n">
        <f aca="false">PV(H930/12,F930/30,0,-E930)</f>
        <v>34041.0044937318</v>
      </c>
      <c r="L930" s="0" t="n">
        <f aca="false">ROUND(E930-K930,2)</f>
        <v>246.54</v>
      </c>
      <c r="M930" s="0" t="n">
        <f aca="false">F930/E930</f>
        <v>0.0037914647711676</v>
      </c>
    </row>
    <row r="931" customFormat="false" ht="12.8" hidden="false" customHeight="false" outlineLevel="0" collapsed="false">
      <c r="A931" s="0" t="s">
        <v>1411</v>
      </c>
      <c r="B931" s="0" t="s">
        <v>650</v>
      </c>
      <c r="C931" s="0" t="s">
        <v>26</v>
      </c>
      <c r="D931" s="0" t="s">
        <v>16</v>
      </c>
      <c r="E931" s="0" t="n">
        <v>2313.63</v>
      </c>
      <c r="F931" s="0" t="n">
        <v>129</v>
      </c>
      <c r="G931" s="0" t="str">
        <f aca="false">IF(F931&lt;=30,"Current",IF(F931&lt;=60,"31 to 60 days",IF(F931&lt;=90,"61 to 90 days",IF(F931&lt;=120,"91 to 120 days","Over 120 days"))))</f>
        <v>Over 120 days</v>
      </c>
      <c r="H931" s="0" t="n">
        <f aca="false">VLOOKUP(D931,Rates!$A$4:$B$7,2,FALSE())</f>
        <v>0.085</v>
      </c>
      <c r="I931" s="0" t="n">
        <f aca="false">VLOOKUP(F931,Rates!$D$4:$E$8,2)</f>
        <v>0.85</v>
      </c>
      <c r="J931" s="0" t="n">
        <f aca="false">ROUND(E931*I931,2)</f>
        <v>1966.59</v>
      </c>
      <c r="K931" s="1" t="n">
        <f aca="false">PV(H931/12,F931/30,0,-E931)</f>
        <v>2244.46402922052</v>
      </c>
      <c r="L931" s="0" t="n">
        <f aca="false">ROUND(E931-K931,2)</f>
        <v>69.17</v>
      </c>
      <c r="M931" s="0" t="n">
        <f aca="false">F931/E931</f>
        <v>0.0557565384266283</v>
      </c>
    </row>
    <row r="932" customFormat="false" ht="12.8" hidden="false" customHeight="false" outlineLevel="0" collapsed="false">
      <c r="A932" s="0" t="s">
        <v>1412</v>
      </c>
      <c r="B932" s="0" t="s">
        <v>1413</v>
      </c>
      <c r="C932" s="0" t="s">
        <v>15</v>
      </c>
      <c r="D932" s="0" t="s">
        <v>49</v>
      </c>
      <c r="E932" s="0" t="n">
        <v>40520.58</v>
      </c>
      <c r="F932" s="0" t="n">
        <v>386</v>
      </c>
      <c r="G932" s="0" t="str">
        <f aca="false">IF(F932&lt;=30,"Current",IF(F932&lt;=60,"31 to 60 days",IF(F932&lt;=90,"61 to 90 days",IF(F932&lt;=120,"91 to 120 days","Over 120 days"))))</f>
        <v>Over 120 days</v>
      </c>
      <c r="H932" s="0" t="n">
        <f aca="false">VLOOKUP(D932,Rates!$A$4:$B$7,2,FALSE())</f>
        <v>0.02</v>
      </c>
      <c r="I932" s="0" t="n">
        <f aca="false">VLOOKUP(F932,Rates!$D$4:$E$8,2)</f>
        <v>0.85</v>
      </c>
      <c r="J932" s="0" t="n">
        <f aca="false">ROUND(E932*I932,2)</f>
        <v>34442.49</v>
      </c>
      <c r="K932" s="1" t="n">
        <f aca="false">PV(H932/12,F932/30,0,-E932)</f>
        <v>39661.5973862675</v>
      </c>
      <c r="L932" s="0" t="n">
        <f aca="false">ROUND(E932-K932,2)</f>
        <v>858.98</v>
      </c>
      <c r="M932" s="0" t="n">
        <f aca="false">F932/E932</f>
        <v>0.00952602356629644</v>
      </c>
    </row>
    <row r="933" customFormat="false" ht="12.8" hidden="false" customHeight="false" outlineLevel="0" collapsed="false">
      <c r="A933" s="0" t="s">
        <v>1414</v>
      </c>
      <c r="B933" s="0" t="s">
        <v>30</v>
      </c>
      <c r="C933" s="0" t="s">
        <v>31</v>
      </c>
      <c r="D933" s="0" t="s">
        <v>20</v>
      </c>
      <c r="E933" s="0" t="n">
        <v>17259.14</v>
      </c>
      <c r="F933" s="0" t="n">
        <v>66</v>
      </c>
      <c r="G933" s="0" t="str">
        <f aca="false">IF(F933&lt;=30,"Current",IF(F933&lt;=60,"31 to 60 days",IF(F933&lt;=90,"61 to 90 days",IF(F933&lt;=120,"91 to 120 days","Over 120 days"))))</f>
        <v>61 to 90 days</v>
      </c>
      <c r="H933" s="0" t="n">
        <f aca="false">VLOOKUP(D933,Rates!$A$4:$B$7,2,FALSE())</f>
        <v>0.05</v>
      </c>
      <c r="I933" s="0" t="n">
        <f aca="false">VLOOKUP(F933,Rates!$D$4:$E$8,2)</f>
        <v>0.25</v>
      </c>
      <c r="J933" s="0" t="n">
        <f aca="false">ROUND(E933*I933,2)</f>
        <v>4314.79</v>
      </c>
      <c r="K933" s="1" t="n">
        <f aca="false">PV(H933/12,F933/30,0,-E933)</f>
        <v>17101.9798224802</v>
      </c>
      <c r="L933" s="0" t="n">
        <f aca="false">ROUND(E933-K933,2)</f>
        <v>157.16</v>
      </c>
      <c r="M933" s="0" t="n">
        <f aca="false">F933/E933</f>
        <v>0.00382406075853142</v>
      </c>
    </row>
    <row r="934" customFormat="false" ht="12.8" hidden="false" customHeight="false" outlineLevel="0" collapsed="false">
      <c r="A934" s="0" t="s">
        <v>1415</v>
      </c>
      <c r="B934" s="0" t="s">
        <v>242</v>
      </c>
      <c r="C934" s="0" t="s">
        <v>36</v>
      </c>
      <c r="D934" s="0" t="s">
        <v>23</v>
      </c>
      <c r="E934" s="0" t="n">
        <v>2488</v>
      </c>
      <c r="F934" s="0" t="n">
        <v>356</v>
      </c>
      <c r="G934" s="0" t="str">
        <f aca="false">IF(F934&lt;=30,"Current",IF(F934&lt;=60,"31 to 60 days",IF(F934&lt;=90,"61 to 90 days",IF(F934&lt;=120,"91 to 120 days","Over 120 days"))))</f>
        <v>Over 120 days</v>
      </c>
      <c r="H934" s="0" t="n">
        <f aca="false">VLOOKUP(D934,Rates!$A$4:$B$7,2,FALSE())</f>
        <v>0.115</v>
      </c>
      <c r="I934" s="0" t="n">
        <f aca="false">VLOOKUP(F934,Rates!$D$4:$E$8,2)</f>
        <v>0.85</v>
      </c>
      <c r="J934" s="0" t="n">
        <f aca="false">ROUND(E934*I934,2)</f>
        <v>2114.8</v>
      </c>
      <c r="K934" s="1" t="n">
        <f aca="false">PV(H934/12,F934/30,0,-E934)</f>
        <v>2221.75720160401</v>
      </c>
      <c r="L934" s="0" t="n">
        <f aca="false">ROUND(E934-K934,2)</f>
        <v>266.24</v>
      </c>
      <c r="M934" s="0" t="n">
        <f aca="false">F934/E934</f>
        <v>0.143086816720257</v>
      </c>
    </row>
    <row r="935" customFormat="false" ht="12.8" hidden="false" customHeight="false" outlineLevel="0" collapsed="false">
      <c r="A935" s="0" t="s">
        <v>1416</v>
      </c>
      <c r="B935" s="0" t="s">
        <v>997</v>
      </c>
      <c r="C935" s="0" t="s">
        <v>26</v>
      </c>
      <c r="D935" s="0" t="s">
        <v>49</v>
      </c>
      <c r="E935" s="0" t="n">
        <v>17940.87</v>
      </c>
      <c r="F935" s="0" t="n">
        <v>28</v>
      </c>
      <c r="G935" s="0" t="str">
        <f aca="false">IF(F935&lt;=30,"Current",IF(F935&lt;=60,"31 to 60 days",IF(F935&lt;=90,"61 to 90 days",IF(F935&lt;=120,"91 to 120 days","Over 120 days"))))</f>
        <v>Current</v>
      </c>
      <c r="H935" s="0" t="n">
        <f aca="false">VLOOKUP(D935,Rates!$A$4:$B$7,2,FALSE())</f>
        <v>0.02</v>
      </c>
      <c r="I935" s="0" t="n">
        <f aca="false">VLOOKUP(F935,Rates!$D$4:$E$8,2)</f>
        <v>0.02</v>
      </c>
      <c r="J935" s="0" t="n">
        <f aca="false">ROUND(E935*I935,2)</f>
        <v>358.82</v>
      </c>
      <c r="K935" s="1" t="n">
        <f aca="false">PV(H935/12,F935/30,0,-E935)</f>
        <v>17913.0068697681</v>
      </c>
      <c r="L935" s="0" t="n">
        <f aca="false">ROUND(E935-K935,2)</f>
        <v>27.86</v>
      </c>
      <c r="M935" s="0" t="n">
        <f aca="false">F935/E935</f>
        <v>0.00156068239723046</v>
      </c>
    </row>
    <row r="936" customFormat="false" ht="12.8" hidden="false" customHeight="false" outlineLevel="0" collapsed="false">
      <c r="A936" s="0" t="s">
        <v>1417</v>
      </c>
      <c r="B936" s="0" t="s">
        <v>28</v>
      </c>
      <c r="C936" s="0" t="s">
        <v>15</v>
      </c>
      <c r="D936" s="0" t="s">
        <v>20</v>
      </c>
      <c r="E936" s="0" t="n">
        <v>12800.66</v>
      </c>
      <c r="F936" s="0" t="n">
        <v>266</v>
      </c>
      <c r="G936" s="0" t="str">
        <f aca="false">IF(F936&lt;=30,"Current",IF(F936&lt;=60,"31 to 60 days",IF(F936&lt;=90,"61 to 90 days",IF(F936&lt;=120,"91 to 120 days","Over 120 days"))))</f>
        <v>Over 120 days</v>
      </c>
      <c r="H936" s="0" t="n">
        <f aca="false">VLOOKUP(D936,Rates!$A$4:$B$7,2,FALSE())</f>
        <v>0.05</v>
      </c>
      <c r="I936" s="0" t="n">
        <f aca="false">VLOOKUP(F936,Rates!$D$4:$E$8,2)</f>
        <v>0.85</v>
      </c>
      <c r="J936" s="0" t="n">
        <f aca="false">ROUND(E936*I936,2)</f>
        <v>10880.56</v>
      </c>
      <c r="K936" s="1" t="n">
        <f aca="false">PV(H936/12,F936/30,0,-E936)</f>
        <v>12337.322802101</v>
      </c>
      <c r="L936" s="0" t="n">
        <f aca="false">ROUND(E936-K936,2)</f>
        <v>463.34</v>
      </c>
      <c r="M936" s="0" t="n">
        <f aca="false">F936/E936</f>
        <v>0.020780178522045</v>
      </c>
    </row>
    <row r="937" customFormat="false" ht="12.8" hidden="false" customHeight="false" outlineLevel="0" collapsed="false">
      <c r="A937" s="0" t="s">
        <v>1418</v>
      </c>
      <c r="B937" s="0" t="s">
        <v>942</v>
      </c>
      <c r="C937" s="0" t="s">
        <v>31</v>
      </c>
      <c r="D937" s="0" t="s">
        <v>49</v>
      </c>
      <c r="E937" s="0" t="n">
        <v>11015.51</v>
      </c>
      <c r="F937" s="0" t="n">
        <v>4</v>
      </c>
      <c r="G937" s="0" t="str">
        <f aca="false">IF(F937&lt;=30,"Current",IF(F937&lt;=60,"31 to 60 days",IF(F937&lt;=90,"61 to 90 days",IF(F937&lt;=120,"91 to 120 days","Over 120 days"))))</f>
        <v>Current</v>
      </c>
      <c r="H937" s="0" t="n">
        <f aca="false">VLOOKUP(D937,Rates!$A$4:$B$7,2,FALSE())</f>
        <v>0.02</v>
      </c>
      <c r="I937" s="0" t="n">
        <f aca="false">VLOOKUP(F937,Rates!$D$4:$E$8,2)</f>
        <v>0.02</v>
      </c>
      <c r="J937" s="0" t="n">
        <f aca="false">ROUND(E937*I937,2)</f>
        <v>220.31</v>
      </c>
      <c r="K937" s="1" t="n">
        <f aca="false">PV(H937/12,F937/30,0,-E937)</f>
        <v>11013.0644180496</v>
      </c>
      <c r="L937" s="0" t="n">
        <f aca="false">ROUND(E937-K937,2)</f>
        <v>2.45</v>
      </c>
      <c r="M937" s="0" t="n">
        <f aca="false">F937/E937</f>
        <v>0.000363124358291173</v>
      </c>
    </row>
    <row r="938" customFormat="false" ht="12.8" hidden="false" customHeight="false" outlineLevel="0" collapsed="false">
      <c r="A938" s="0" t="s">
        <v>1419</v>
      </c>
      <c r="B938" s="0" t="s">
        <v>35</v>
      </c>
      <c r="C938" s="0" t="s">
        <v>36</v>
      </c>
      <c r="D938" s="0" t="s">
        <v>23</v>
      </c>
      <c r="E938" s="0" t="n">
        <v>39937.61</v>
      </c>
      <c r="F938" s="0" t="n">
        <v>356</v>
      </c>
      <c r="G938" s="0" t="str">
        <f aca="false">IF(F938&lt;=30,"Current",IF(F938&lt;=60,"31 to 60 days",IF(F938&lt;=90,"61 to 90 days",IF(F938&lt;=120,"91 to 120 days","Over 120 days"))))</f>
        <v>Over 120 days</v>
      </c>
      <c r="H938" s="0" t="n">
        <f aca="false">VLOOKUP(D938,Rates!$A$4:$B$7,2,FALSE())</f>
        <v>0.115</v>
      </c>
      <c r="I938" s="0" t="n">
        <f aca="false">VLOOKUP(F938,Rates!$D$4:$E$8,2)</f>
        <v>0.85</v>
      </c>
      <c r="J938" s="0" t="n">
        <f aca="false">ROUND(E938*I938,2)</f>
        <v>33946.97</v>
      </c>
      <c r="K938" s="1" t="n">
        <f aca="false">PV(H938/12,F938/30,0,-E938)</f>
        <v>35663.8555596272</v>
      </c>
      <c r="L938" s="0" t="n">
        <f aca="false">ROUND(E938-K938,2)</f>
        <v>4273.75</v>
      </c>
      <c r="M938" s="0" t="n">
        <f aca="false">F938/E938</f>
        <v>0.00891390346092318</v>
      </c>
    </row>
    <row r="939" customFormat="false" ht="12.8" hidden="false" customHeight="false" outlineLevel="0" collapsed="false">
      <c r="A939" s="0" t="s">
        <v>1420</v>
      </c>
      <c r="B939" s="0" t="s">
        <v>1421</v>
      </c>
      <c r="C939" s="0" t="s">
        <v>36</v>
      </c>
      <c r="D939" s="0" t="s">
        <v>16</v>
      </c>
      <c r="E939" s="0" t="n">
        <v>33447.95</v>
      </c>
      <c r="F939" s="0" t="n">
        <v>198</v>
      </c>
      <c r="G939" s="0" t="str">
        <f aca="false">IF(F939&lt;=30,"Current",IF(F939&lt;=60,"31 to 60 days",IF(F939&lt;=90,"61 to 90 days",IF(F939&lt;=120,"91 to 120 days","Over 120 days"))))</f>
        <v>Over 120 days</v>
      </c>
      <c r="H939" s="0" t="n">
        <f aca="false">VLOOKUP(D939,Rates!$A$4:$B$7,2,FALSE())</f>
        <v>0.085</v>
      </c>
      <c r="I939" s="0" t="n">
        <f aca="false">VLOOKUP(F939,Rates!$D$4:$E$8,2)</f>
        <v>0.85</v>
      </c>
      <c r="J939" s="0" t="n">
        <f aca="false">ROUND(E939*I939,2)</f>
        <v>28430.76</v>
      </c>
      <c r="K939" s="1" t="n">
        <f aca="false">PV(H939/12,F939/30,0,-E939)</f>
        <v>31925.5073705525</v>
      </c>
      <c r="L939" s="0" t="n">
        <f aca="false">ROUND(E939-K939,2)</f>
        <v>1522.44</v>
      </c>
      <c r="M939" s="0" t="n">
        <f aca="false">F939/E939</f>
        <v>0.0059196452996372</v>
      </c>
    </row>
    <row r="940" customFormat="false" ht="12.8" hidden="false" customHeight="false" outlineLevel="0" collapsed="false">
      <c r="A940" s="0" t="s">
        <v>1422</v>
      </c>
      <c r="B940" s="0" t="s">
        <v>1423</v>
      </c>
      <c r="C940" s="0" t="s">
        <v>15</v>
      </c>
      <c r="D940" s="0" t="s">
        <v>16</v>
      </c>
      <c r="E940" s="0" t="n">
        <v>37476.26</v>
      </c>
      <c r="F940" s="0" t="n">
        <v>390</v>
      </c>
      <c r="G940" s="0" t="str">
        <f aca="false">IF(F940&lt;=30,"Current",IF(F940&lt;=60,"31 to 60 days",IF(F940&lt;=90,"61 to 90 days",IF(F940&lt;=120,"91 to 120 days","Over 120 days"))))</f>
        <v>Over 120 days</v>
      </c>
      <c r="H940" s="0" t="n">
        <f aca="false">VLOOKUP(D940,Rates!$A$4:$B$7,2,FALSE())</f>
        <v>0.085</v>
      </c>
      <c r="I940" s="0" t="n">
        <f aca="false">VLOOKUP(F940,Rates!$D$4:$E$8,2)</f>
        <v>0.85</v>
      </c>
      <c r="J940" s="0" t="n">
        <f aca="false">ROUND(E940*I940,2)</f>
        <v>31854.82</v>
      </c>
      <c r="K940" s="1" t="n">
        <f aca="false">PV(H940/12,F940/30,0,-E940)</f>
        <v>34190.5376560082</v>
      </c>
      <c r="L940" s="0" t="n">
        <f aca="false">ROUND(E940-K940,2)</f>
        <v>3285.72</v>
      </c>
      <c r="M940" s="0" t="n">
        <f aca="false">F940/E940</f>
        <v>0.0104065880640171</v>
      </c>
    </row>
    <row r="941" customFormat="false" ht="12.8" hidden="false" customHeight="false" outlineLevel="0" collapsed="false">
      <c r="A941" s="0" t="s">
        <v>1424</v>
      </c>
      <c r="B941" s="0" t="s">
        <v>30</v>
      </c>
      <c r="C941" s="0" t="s">
        <v>31</v>
      </c>
      <c r="D941" s="0" t="s">
        <v>20</v>
      </c>
      <c r="E941" s="0" t="n">
        <v>37935.46</v>
      </c>
      <c r="F941" s="0" t="n">
        <v>85</v>
      </c>
      <c r="G941" s="0" t="str">
        <f aca="false">IF(F941&lt;=30,"Current",IF(F941&lt;=60,"31 to 60 days",IF(F941&lt;=90,"61 to 90 days",IF(F941&lt;=120,"91 to 120 days","Over 120 days"))))</f>
        <v>61 to 90 days</v>
      </c>
      <c r="H941" s="0" t="n">
        <f aca="false">VLOOKUP(D941,Rates!$A$4:$B$7,2,FALSE())</f>
        <v>0.05</v>
      </c>
      <c r="I941" s="0" t="n">
        <f aca="false">VLOOKUP(F941,Rates!$D$4:$E$8,2)</f>
        <v>0.25</v>
      </c>
      <c r="J941" s="0" t="n">
        <f aca="false">ROUND(E941*I941,2)</f>
        <v>9483.87</v>
      </c>
      <c r="K941" s="1" t="n">
        <f aca="false">PV(H941/12,F941/30,0,-E941)</f>
        <v>37491.1635284214</v>
      </c>
      <c r="L941" s="0" t="n">
        <f aca="false">ROUND(E941-K941,2)</f>
        <v>444.3</v>
      </c>
      <c r="M941" s="0" t="n">
        <f aca="false">F941/E941</f>
        <v>0.00224064766843476</v>
      </c>
    </row>
    <row r="942" customFormat="false" ht="12.8" hidden="false" customHeight="false" outlineLevel="0" collapsed="false">
      <c r="A942" s="0" t="s">
        <v>1425</v>
      </c>
      <c r="B942" s="0" t="s">
        <v>97</v>
      </c>
      <c r="C942" s="0" t="s">
        <v>42</v>
      </c>
      <c r="D942" s="0" t="s">
        <v>20</v>
      </c>
      <c r="E942" s="0" t="n">
        <v>0</v>
      </c>
      <c r="F942" s="0" t="n">
        <v>117</v>
      </c>
      <c r="G942" s="0" t="str">
        <f aca="false">IF(F942&lt;=30,"Current",IF(F942&lt;=60,"31 to 60 days",IF(F942&lt;=90,"61 to 90 days",IF(F942&lt;=120,"91 to 120 days","Over 120 days"))))</f>
        <v>91 to 120 days</v>
      </c>
      <c r="H942" s="0" t="n">
        <f aca="false">VLOOKUP(D942,Rates!$A$4:$B$7,2,FALSE())</f>
        <v>0.05</v>
      </c>
      <c r="I942" s="0" t="n">
        <f aca="false">VLOOKUP(F942,Rates!$D$4:$E$8,2)</f>
        <v>0.5</v>
      </c>
      <c r="J942" s="0" t="n">
        <f aca="false">ROUND(E942*I942,2)</f>
        <v>0</v>
      </c>
      <c r="K942" s="1" t="n">
        <f aca="false">PV(H942/12,F942/30,0,-E942)</f>
        <v>-0</v>
      </c>
      <c r="L942" s="0" t="n">
        <f aca="false">ROUND(E942-K942,2)</f>
        <v>0</v>
      </c>
      <c r="M942" s="0" t="e">
        <f aca="false">F942/E942</f>
        <v>#DIV/0!</v>
      </c>
    </row>
    <row r="943" customFormat="false" ht="12.8" hidden="false" customHeight="false" outlineLevel="0" collapsed="false">
      <c r="A943" s="0" t="s">
        <v>1426</v>
      </c>
      <c r="B943" s="0" t="s">
        <v>682</v>
      </c>
      <c r="C943" s="0" t="s">
        <v>19</v>
      </c>
      <c r="D943" s="0" t="s">
        <v>23</v>
      </c>
      <c r="E943" s="0" t="n">
        <v>15620.44</v>
      </c>
      <c r="F943" s="0" t="n">
        <v>262</v>
      </c>
      <c r="G943" s="0" t="str">
        <f aca="false">IF(F943&lt;=30,"Current",IF(F943&lt;=60,"31 to 60 days",IF(F943&lt;=90,"61 to 90 days",IF(F943&lt;=120,"91 to 120 days","Over 120 days"))))</f>
        <v>Over 120 days</v>
      </c>
      <c r="H943" s="0" t="n">
        <f aca="false">VLOOKUP(D943,Rates!$A$4:$B$7,2,FALSE())</f>
        <v>0.115</v>
      </c>
      <c r="I943" s="0" t="n">
        <f aca="false">VLOOKUP(F943,Rates!$D$4:$E$8,2)</f>
        <v>0.85</v>
      </c>
      <c r="J943" s="0" t="n">
        <f aca="false">ROUND(E943*I943,2)</f>
        <v>13277.37</v>
      </c>
      <c r="K943" s="1" t="n">
        <f aca="false">PV(H943/12,F943/30,0,-E943)</f>
        <v>14372.0358052192</v>
      </c>
      <c r="L943" s="0" t="n">
        <f aca="false">ROUND(E943-K943,2)</f>
        <v>1248.4</v>
      </c>
      <c r="M943" s="0" t="n">
        <f aca="false">F943/E943</f>
        <v>0.0167728950016773</v>
      </c>
    </row>
    <row r="944" customFormat="false" ht="12.8" hidden="false" customHeight="false" outlineLevel="0" collapsed="false">
      <c r="A944" s="0" t="s">
        <v>1427</v>
      </c>
      <c r="B944" s="0" t="s">
        <v>347</v>
      </c>
      <c r="C944" s="0" t="s">
        <v>42</v>
      </c>
      <c r="D944" s="0" t="s">
        <v>23</v>
      </c>
      <c r="E944" s="0" t="n">
        <v>38236.36</v>
      </c>
      <c r="F944" s="0" t="n">
        <v>157</v>
      </c>
      <c r="G944" s="0" t="str">
        <f aca="false">IF(F944&lt;=30,"Current",IF(F944&lt;=60,"31 to 60 days",IF(F944&lt;=90,"61 to 90 days",IF(F944&lt;=120,"91 to 120 days","Over 120 days"))))</f>
        <v>Over 120 days</v>
      </c>
      <c r="H944" s="0" t="n">
        <f aca="false">VLOOKUP(D944,Rates!$A$4:$B$7,2,FALSE())</f>
        <v>0.115</v>
      </c>
      <c r="I944" s="0" t="n">
        <f aca="false">VLOOKUP(F944,Rates!$D$4:$E$8,2)</f>
        <v>0.85</v>
      </c>
      <c r="J944" s="0" t="n">
        <f aca="false">ROUND(E944*I944,2)</f>
        <v>32500.91</v>
      </c>
      <c r="K944" s="1" t="n">
        <f aca="false">PV(H944/12,F944/30,0,-E944)</f>
        <v>36374.6792864984</v>
      </c>
      <c r="L944" s="0" t="n">
        <f aca="false">ROUND(E944-K944,2)</f>
        <v>1861.68</v>
      </c>
      <c r="M944" s="0" t="n">
        <f aca="false">F944/E944</f>
        <v>0.00410603938240983</v>
      </c>
    </row>
    <row r="945" customFormat="false" ht="12.8" hidden="false" customHeight="false" outlineLevel="0" collapsed="false">
      <c r="A945" s="0" t="s">
        <v>1428</v>
      </c>
      <c r="B945" s="0" t="s">
        <v>1429</v>
      </c>
      <c r="C945" s="0" t="s">
        <v>42</v>
      </c>
      <c r="D945" s="0" t="s">
        <v>49</v>
      </c>
      <c r="E945" s="0" t="n">
        <v>7284.76</v>
      </c>
      <c r="F945" s="0" t="n">
        <v>264</v>
      </c>
      <c r="G945" s="0" t="str">
        <f aca="false">IF(F945&lt;=30,"Current",IF(F945&lt;=60,"31 to 60 days",IF(F945&lt;=90,"61 to 90 days",IF(F945&lt;=120,"91 to 120 days","Over 120 days"))))</f>
        <v>Over 120 days</v>
      </c>
      <c r="H945" s="0" t="n">
        <f aca="false">VLOOKUP(D945,Rates!$A$4:$B$7,2,FALSE())</f>
        <v>0.02</v>
      </c>
      <c r="I945" s="0" t="n">
        <f aca="false">VLOOKUP(F945,Rates!$D$4:$E$8,2)</f>
        <v>0.85</v>
      </c>
      <c r="J945" s="0" t="n">
        <f aca="false">ROUND(E945*I945,2)</f>
        <v>6192.05</v>
      </c>
      <c r="K945" s="1" t="n">
        <f aca="false">PV(H945/12,F945/30,0,-E945)</f>
        <v>7178.78419601448</v>
      </c>
      <c r="L945" s="0" t="n">
        <f aca="false">ROUND(E945-K945,2)</f>
        <v>105.98</v>
      </c>
      <c r="M945" s="0" t="n">
        <f aca="false">F945/E945</f>
        <v>0.0362400408524097</v>
      </c>
    </row>
    <row r="946" customFormat="false" ht="12.8" hidden="false" customHeight="false" outlineLevel="0" collapsed="false">
      <c r="A946" s="0" t="s">
        <v>1430</v>
      </c>
      <c r="B946" s="0" t="s">
        <v>18</v>
      </c>
      <c r="C946" s="0" t="s">
        <v>19</v>
      </c>
      <c r="D946" s="0" t="s">
        <v>20</v>
      </c>
      <c r="E946" s="0" t="n">
        <v>733.56</v>
      </c>
      <c r="F946" s="0" t="n">
        <v>227</v>
      </c>
      <c r="G946" s="0" t="str">
        <f aca="false">IF(F946&lt;=30,"Current",IF(F946&lt;=60,"31 to 60 days",IF(F946&lt;=90,"61 to 90 days",IF(F946&lt;=120,"91 to 120 days","Over 120 days"))))</f>
        <v>Over 120 days</v>
      </c>
      <c r="H946" s="0" t="n">
        <f aca="false">VLOOKUP(D946,Rates!$A$4:$B$7,2,FALSE())</f>
        <v>0.05</v>
      </c>
      <c r="I946" s="0" t="n">
        <f aca="false">VLOOKUP(F946,Rates!$D$4:$E$8,2)</f>
        <v>0.85</v>
      </c>
      <c r="J946" s="0" t="n">
        <f aca="false">ROUND(E946*I946,2)</f>
        <v>623.53</v>
      </c>
      <c r="K946" s="1" t="n">
        <f aca="false">PV(H946/12,F946/30,0,-E946)</f>
        <v>710.839820669161</v>
      </c>
      <c r="L946" s="0" t="n">
        <f aca="false">ROUND(E946-K946,2)</f>
        <v>22.72</v>
      </c>
      <c r="M946" s="0" t="n">
        <f aca="false">F946/E946</f>
        <v>0.309449806423469</v>
      </c>
    </row>
    <row r="947" customFormat="false" ht="12.8" hidden="false" customHeight="false" outlineLevel="0" collapsed="false">
      <c r="A947" s="0" t="s">
        <v>1431</v>
      </c>
      <c r="B947" s="0" t="s">
        <v>247</v>
      </c>
      <c r="C947" s="0" t="s">
        <v>26</v>
      </c>
      <c r="D947" s="0" t="s">
        <v>23</v>
      </c>
      <c r="E947" s="0" t="n">
        <v>27055.74</v>
      </c>
      <c r="F947" s="0" t="n">
        <v>148</v>
      </c>
      <c r="G947" s="0" t="str">
        <f aca="false">IF(F947&lt;=30,"Current",IF(F947&lt;=60,"31 to 60 days",IF(F947&lt;=90,"61 to 90 days",IF(F947&lt;=120,"91 to 120 days","Over 120 days"))))</f>
        <v>Over 120 days</v>
      </c>
      <c r="H947" s="0" t="n">
        <f aca="false">VLOOKUP(D947,Rates!$A$4:$B$7,2,FALSE())</f>
        <v>0.115</v>
      </c>
      <c r="I947" s="0" t="n">
        <f aca="false">VLOOKUP(F947,Rates!$D$4:$E$8,2)</f>
        <v>0.85</v>
      </c>
      <c r="J947" s="0" t="n">
        <f aca="false">ROUND(E947*I947,2)</f>
        <v>22997.38</v>
      </c>
      <c r="K947" s="1" t="n">
        <f aca="false">PV(H947/12,F947/30,0,-E947)</f>
        <v>25812.1808627617</v>
      </c>
      <c r="L947" s="0" t="n">
        <f aca="false">ROUND(E947-K947,2)</f>
        <v>1243.56</v>
      </c>
      <c r="M947" s="0" t="n">
        <f aca="false">F947/E947</f>
        <v>0.00547018858105526</v>
      </c>
    </row>
    <row r="948" customFormat="false" ht="12.8" hidden="false" customHeight="false" outlineLevel="0" collapsed="false">
      <c r="A948" s="0" t="s">
        <v>1432</v>
      </c>
      <c r="B948" s="0" t="s">
        <v>475</v>
      </c>
      <c r="C948" s="0" t="s">
        <v>31</v>
      </c>
      <c r="D948" s="0" t="s">
        <v>23</v>
      </c>
      <c r="E948" s="0" t="n">
        <v>3610.81</v>
      </c>
      <c r="F948" s="0" t="n">
        <v>142</v>
      </c>
      <c r="G948" s="0" t="str">
        <f aca="false">IF(F948&lt;=30,"Current",IF(F948&lt;=60,"31 to 60 days",IF(F948&lt;=90,"61 to 90 days",IF(F948&lt;=120,"91 to 120 days","Over 120 days"))))</f>
        <v>Over 120 days</v>
      </c>
      <c r="H948" s="0" t="n">
        <f aca="false">VLOOKUP(D948,Rates!$A$4:$B$7,2,FALSE())</f>
        <v>0.115</v>
      </c>
      <c r="I948" s="0" t="n">
        <f aca="false">VLOOKUP(F948,Rates!$D$4:$E$8,2)</f>
        <v>0.85</v>
      </c>
      <c r="J948" s="0" t="n">
        <f aca="false">ROUND(E948*I948,2)</f>
        <v>3069.19</v>
      </c>
      <c r="K948" s="1" t="n">
        <f aca="false">PV(H948/12,F948/30,0,-E948)</f>
        <v>3451.42431014258</v>
      </c>
      <c r="L948" s="0" t="n">
        <f aca="false">ROUND(E948-K948,2)</f>
        <v>159.39</v>
      </c>
      <c r="M948" s="0" t="n">
        <f aca="false">F948/E948</f>
        <v>0.0393263561361578</v>
      </c>
    </row>
    <row r="949" customFormat="false" ht="12.8" hidden="false" customHeight="false" outlineLevel="0" collapsed="false">
      <c r="A949" s="0" t="s">
        <v>1433</v>
      </c>
      <c r="B949" s="0" t="s">
        <v>30</v>
      </c>
      <c r="C949" s="0" t="s">
        <v>31</v>
      </c>
      <c r="D949" s="0" t="s">
        <v>20</v>
      </c>
      <c r="E949" s="0" t="n">
        <v>24092.95</v>
      </c>
      <c r="F949" s="0" t="n">
        <v>332</v>
      </c>
      <c r="G949" s="0" t="str">
        <f aca="false">IF(F949&lt;=30,"Current",IF(F949&lt;=60,"31 to 60 days",IF(F949&lt;=90,"61 to 90 days",IF(F949&lt;=120,"91 to 120 days","Over 120 days"))))</f>
        <v>Over 120 days</v>
      </c>
      <c r="H949" s="0" t="n">
        <f aca="false">VLOOKUP(D949,Rates!$A$4:$B$7,2,FALSE())</f>
        <v>0.05</v>
      </c>
      <c r="I949" s="0" t="n">
        <f aca="false">VLOOKUP(F949,Rates!$D$4:$E$8,2)</f>
        <v>0.85</v>
      </c>
      <c r="J949" s="0" t="n">
        <f aca="false">ROUND(E949*I949,2)</f>
        <v>20479.01</v>
      </c>
      <c r="K949" s="1" t="n">
        <f aca="false">PV(H949/12,F949/30,0,-E949)</f>
        <v>23009.4259127596</v>
      </c>
      <c r="L949" s="0" t="n">
        <f aca="false">ROUND(E949-K949,2)</f>
        <v>1083.52</v>
      </c>
      <c r="M949" s="0" t="n">
        <f aca="false">F949/E949</f>
        <v>0.013779964678464</v>
      </c>
    </row>
    <row r="950" customFormat="false" ht="12.8" hidden="false" customHeight="false" outlineLevel="0" collapsed="false">
      <c r="A950" s="0" t="s">
        <v>1434</v>
      </c>
      <c r="B950" s="0" t="s">
        <v>1435</v>
      </c>
      <c r="C950" s="0" t="s">
        <v>19</v>
      </c>
      <c r="D950" s="0" t="s">
        <v>16</v>
      </c>
      <c r="E950" s="0" t="n">
        <v>2867.12</v>
      </c>
      <c r="F950" s="0" t="n">
        <v>259</v>
      </c>
      <c r="G950" s="0" t="str">
        <f aca="false">IF(F950&lt;=30,"Current",IF(F950&lt;=60,"31 to 60 days",IF(F950&lt;=90,"61 to 90 days",IF(F950&lt;=120,"91 to 120 days","Over 120 days"))))</f>
        <v>Over 120 days</v>
      </c>
      <c r="H950" s="0" t="n">
        <f aca="false">VLOOKUP(D950,Rates!$A$4:$B$7,2,FALSE())</f>
        <v>0.085</v>
      </c>
      <c r="I950" s="0" t="n">
        <f aca="false">VLOOKUP(F950,Rates!$D$4:$E$8,2)</f>
        <v>0.85</v>
      </c>
      <c r="J950" s="0" t="n">
        <f aca="false">ROUND(E950*I950,2)</f>
        <v>2437.05</v>
      </c>
      <c r="K950" s="1" t="n">
        <f aca="false">PV(H950/12,F950/30,0,-E950)</f>
        <v>2697.6224992265</v>
      </c>
      <c r="L950" s="0" t="n">
        <f aca="false">ROUND(E950-K950,2)</f>
        <v>169.5</v>
      </c>
      <c r="M950" s="0" t="n">
        <f aca="false">F950/E950</f>
        <v>0.0903345517453054</v>
      </c>
    </row>
    <row r="951" customFormat="false" ht="12.8" hidden="false" customHeight="false" outlineLevel="0" collapsed="false">
      <c r="A951" s="0" t="s">
        <v>1436</v>
      </c>
      <c r="B951" s="0" t="s">
        <v>1406</v>
      </c>
      <c r="C951" s="0" t="s">
        <v>19</v>
      </c>
      <c r="D951" s="0" t="s">
        <v>49</v>
      </c>
      <c r="E951" s="0" t="n">
        <v>43128.65</v>
      </c>
      <c r="F951" s="0" t="n">
        <v>74</v>
      </c>
      <c r="G951" s="0" t="str">
        <f aca="false">IF(F951&lt;=30,"Current",IF(F951&lt;=60,"31 to 60 days",IF(F951&lt;=90,"61 to 90 days",IF(F951&lt;=120,"91 to 120 days","Over 120 days"))))</f>
        <v>61 to 90 days</v>
      </c>
      <c r="H951" s="0" t="n">
        <f aca="false">VLOOKUP(D951,Rates!$A$4:$B$7,2,FALSE())</f>
        <v>0.02</v>
      </c>
      <c r="I951" s="0" t="n">
        <f aca="false">VLOOKUP(F951,Rates!$D$4:$E$8,2)</f>
        <v>0.25</v>
      </c>
      <c r="J951" s="0" t="n">
        <f aca="false">ROUND(E951*I951,2)</f>
        <v>10782.16</v>
      </c>
      <c r="K951" s="1" t="n">
        <f aca="false">PV(H951/12,F951/30,0,-E951)</f>
        <v>42951.8542788794</v>
      </c>
      <c r="L951" s="0" t="n">
        <f aca="false">ROUND(E951-K951,2)</f>
        <v>176.8</v>
      </c>
      <c r="M951" s="0" t="n">
        <f aca="false">F951/E951</f>
        <v>0.00171579680792234</v>
      </c>
    </row>
    <row r="952" customFormat="false" ht="12.8" hidden="false" customHeight="false" outlineLevel="0" collapsed="false">
      <c r="A952" s="0" t="s">
        <v>1437</v>
      </c>
      <c r="B952" s="0" t="s">
        <v>186</v>
      </c>
      <c r="C952" s="0" t="s">
        <v>31</v>
      </c>
      <c r="D952" s="0" t="s">
        <v>23</v>
      </c>
      <c r="E952" s="0" t="n">
        <v>22232.93</v>
      </c>
      <c r="F952" s="0" t="n">
        <v>133</v>
      </c>
      <c r="G952" s="0" t="str">
        <f aca="false">IF(F952&lt;=30,"Current",IF(F952&lt;=60,"31 to 60 days",IF(F952&lt;=90,"61 to 90 days",IF(F952&lt;=120,"91 to 120 days","Over 120 days"))))</f>
        <v>Over 120 days</v>
      </c>
      <c r="H952" s="0" t="n">
        <f aca="false">VLOOKUP(D952,Rates!$A$4:$B$7,2,FALSE())</f>
        <v>0.115</v>
      </c>
      <c r="I952" s="0" t="n">
        <f aca="false">VLOOKUP(F952,Rates!$D$4:$E$8,2)</f>
        <v>0.85</v>
      </c>
      <c r="J952" s="0" t="n">
        <f aca="false">ROUND(E952*I952,2)</f>
        <v>18897.99</v>
      </c>
      <c r="K952" s="1" t="n">
        <f aca="false">PV(H952/12,F952/30,0,-E952)</f>
        <v>21312.4348886817</v>
      </c>
      <c r="L952" s="0" t="n">
        <f aca="false">ROUND(E952-K952,2)</f>
        <v>920.5</v>
      </c>
      <c r="M952" s="0" t="n">
        <f aca="false">F952/E952</f>
        <v>0.00598211751667459</v>
      </c>
    </row>
    <row r="953" customFormat="false" ht="12.8" hidden="false" customHeight="false" outlineLevel="0" collapsed="false">
      <c r="A953" s="0" t="s">
        <v>1438</v>
      </c>
      <c r="B953" s="0" t="s">
        <v>51</v>
      </c>
      <c r="C953" s="0" t="s">
        <v>36</v>
      </c>
      <c r="D953" s="0" t="s">
        <v>20</v>
      </c>
      <c r="E953" s="0" t="n">
        <v>38850.37</v>
      </c>
      <c r="F953" s="0" t="n">
        <v>80</v>
      </c>
      <c r="G953" s="0" t="str">
        <f aca="false">IF(F953&lt;=30,"Current",IF(F953&lt;=60,"31 to 60 days",IF(F953&lt;=90,"61 to 90 days",IF(F953&lt;=120,"91 to 120 days","Over 120 days"))))</f>
        <v>61 to 90 days</v>
      </c>
      <c r="H953" s="0" t="n">
        <f aca="false">VLOOKUP(D953,Rates!$A$4:$B$7,2,FALSE())</f>
        <v>0.05</v>
      </c>
      <c r="I953" s="0" t="n">
        <f aca="false">VLOOKUP(F953,Rates!$D$4:$E$8,2)</f>
        <v>0.25</v>
      </c>
      <c r="J953" s="0" t="n">
        <f aca="false">ROUND(E953*I953,2)</f>
        <v>9712.59</v>
      </c>
      <c r="K953" s="1" t="n">
        <f aca="false">PV(H953/12,F953/30,0,-E953)</f>
        <v>38421.9754602021</v>
      </c>
      <c r="L953" s="0" t="n">
        <f aca="false">ROUND(E953-K953,2)</f>
        <v>428.39</v>
      </c>
      <c r="M953" s="0" t="n">
        <f aca="false">F953/E953</f>
        <v>0.00205918244794065</v>
      </c>
    </row>
    <row r="954" customFormat="false" ht="12.8" hidden="false" customHeight="false" outlineLevel="0" collapsed="false">
      <c r="A954" s="0" t="s">
        <v>1439</v>
      </c>
      <c r="B954" s="0" t="s">
        <v>25</v>
      </c>
      <c r="C954" s="0" t="s">
        <v>26</v>
      </c>
      <c r="D954" s="0" t="s">
        <v>23</v>
      </c>
      <c r="E954" s="0" t="n">
        <v>38639.7</v>
      </c>
      <c r="F954" s="0" t="n">
        <v>156</v>
      </c>
      <c r="G954" s="0" t="str">
        <f aca="false">IF(F954&lt;=30,"Current",IF(F954&lt;=60,"31 to 60 days",IF(F954&lt;=90,"61 to 90 days",IF(F954&lt;=120,"91 to 120 days","Over 120 days"))))</f>
        <v>Over 120 days</v>
      </c>
      <c r="H954" s="0" t="n">
        <f aca="false">VLOOKUP(D954,Rates!$A$4:$B$7,2,FALSE())</f>
        <v>0.115</v>
      </c>
      <c r="I954" s="0" t="n">
        <f aca="false">VLOOKUP(F954,Rates!$D$4:$E$8,2)</f>
        <v>0.85</v>
      </c>
      <c r="J954" s="0" t="n">
        <f aca="false">ROUND(E954*I954,2)</f>
        <v>32843.75</v>
      </c>
      <c r="K954" s="1" t="n">
        <f aca="false">PV(H954/12,F954/30,0,-E954)</f>
        <v>36770.0693750283</v>
      </c>
      <c r="L954" s="0" t="n">
        <f aca="false">ROUND(E954-K954,2)</f>
        <v>1869.63</v>
      </c>
      <c r="M954" s="0" t="n">
        <f aca="false">F954/E954</f>
        <v>0.00403729842623002</v>
      </c>
    </row>
    <row r="955" customFormat="false" ht="12.8" hidden="false" customHeight="false" outlineLevel="0" collapsed="false">
      <c r="A955" s="0" t="s">
        <v>1440</v>
      </c>
      <c r="B955" s="0" t="s">
        <v>1441</v>
      </c>
      <c r="C955" s="0" t="s">
        <v>42</v>
      </c>
      <c r="D955" s="0" t="s">
        <v>16</v>
      </c>
      <c r="E955" s="0" t="n">
        <v>14307.35</v>
      </c>
      <c r="F955" s="0" t="n">
        <v>242</v>
      </c>
      <c r="G955" s="0" t="str">
        <f aca="false">IF(F955&lt;=30,"Current",IF(F955&lt;=60,"31 to 60 days",IF(F955&lt;=90,"61 to 90 days",IF(F955&lt;=120,"91 to 120 days","Over 120 days"))))</f>
        <v>Over 120 days</v>
      </c>
      <c r="H955" s="0" t="n">
        <f aca="false">VLOOKUP(D955,Rates!$A$4:$B$7,2,FALSE())</f>
        <v>0.085</v>
      </c>
      <c r="I955" s="0" t="n">
        <f aca="false">VLOOKUP(F955,Rates!$D$4:$E$8,2)</f>
        <v>0.85</v>
      </c>
      <c r="J955" s="0" t="n">
        <f aca="false">ROUND(E955*I955,2)</f>
        <v>12161.25</v>
      </c>
      <c r="K955" s="1" t="n">
        <f aca="false">PV(H955/12,F955/30,0,-E955)</f>
        <v>13515.4830204298</v>
      </c>
      <c r="L955" s="0" t="n">
        <f aca="false">ROUND(E955-K955,2)</f>
        <v>791.87</v>
      </c>
      <c r="M955" s="0" t="n">
        <f aca="false">F955/E955</f>
        <v>0.016914383166694</v>
      </c>
    </row>
    <row r="956" customFormat="false" ht="12.8" hidden="false" customHeight="false" outlineLevel="0" collapsed="false">
      <c r="A956" s="0" t="s">
        <v>1442</v>
      </c>
      <c r="B956" s="0" t="s">
        <v>1443</v>
      </c>
      <c r="C956" s="0" t="s">
        <v>31</v>
      </c>
      <c r="D956" s="0" t="s">
        <v>49</v>
      </c>
      <c r="E956" s="0" t="n">
        <v>32818.99</v>
      </c>
      <c r="F956" s="0" t="n">
        <v>260</v>
      </c>
      <c r="G956" s="0" t="str">
        <f aca="false">IF(F956&lt;=30,"Current",IF(F956&lt;=60,"31 to 60 days",IF(F956&lt;=90,"61 to 90 days",IF(F956&lt;=120,"91 to 120 days","Over 120 days"))))</f>
        <v>Over 120 days</v>
      </c>
      <c r="H956" s="0" t="n">
        <f aca="false">VLOOKUP(D956,Rates!$A$4:$B$7,2,FALSE())</f>
        <v>0.02</v>
      </c>
      <c r="I956" s="0" t="n">
        <f aca="false">VLOOKUP(F956,Rates!$D$4:$E$8,2)</f>
        <v>0.85</v>
      </c>
      <c r="J956" s="0" t="n">
        <f aca="false">ROUND(E956*I956,2)</f>
        <v>27896.14</v>
      </c>
      <c r="K956" s="1" t="n">
        <f aca="false">PV(H956/12,F956/30,0,-E956)</f>
        <v>32348.734154967</v>
      </c>
      <c r="L956" s="0" t="n">
        <f aca="false">ROUND(E956-K956,2)</f>
        <v>470.26</v>
      </c>
      <c r="M956" s="0" t="n">
        <f aca="false">F956/E956</f>
        <v>0.00792224257967719</v>
      </c>
    </row>
    <row r="957" customFormat="false" ht="12.8" hidden="false" customHeight="false" outlineLevel="0" collapsed="false">
      <c r="A957" s="0" t="s">
        <v>1444</v>
      </c>
      <c r="B957" s="0" t="s">
        <v>97</v>
      </c>
      <c r="C957" s="0" t="s">
        <v>42</v>
      </c>
      <c r="D957" s="0" t="s">
        <v>20</v>
      </c>
      <c r="E957" s="0" t="n">
        <v>8492.01</v>
      </c>
      <c r="F957" s="0" t="n">
        <v>229</v>
      </c>
      <c r="G957" s="0" t="str">
        <f aca="false">IF(F957&lt;=30,"Current",IF(F957&lt;=60,"31 to 60 days",IF(F957&lt;=90,"61 to 90 days",IF(F957&lt;=120,"91 to 120 days","Over 120 days"))))</f>
        <v>Over 120 days</v>
      </c>
      <c r="H957" s="0" t="n">
        <f aca="false">VLOOKUP(D957,Rates!$A$4:$B$7,2,FALSE())</f>
        <v>0.05</v>
      </c>
      <c r="I957" s="0" t="n">
        <f aca="false">VLOOKUP(F957,Rates!$D$4:$E$8,2)</f>
        <v>0.85</v>
      </c>
      <c r="J957" s="0" t="n">
        <f aca="false">ROUND(E957*I957,2)</f>
        <v>7218.21</v>
      </c>
      <c r="K957" s="1" t="n">
        <f aca="false">PV(H957/12,F957/30,0,-E957)</f>
        <v>8226.71054438497</v>
      </c>
      <c r="L957" s="0" t="n">
        <f aca="false">ROUND(E957-K957,2)</f>
        <v>265.3</v>
      </c>
      <c r="M957" s="0" t="n">
        <f aca="false">F957/E957</f>
        <v>0.0269665250040921</v>
      </c>
    </row>
    <row r="958" customFormat="false" ht="12.8" hidden="false" customHeight="false" outlineLevel="0" collapsed="false">
      <c r="A958" s="0" t="s">
        <v>1445</v>
      </c>
      <c r="B958" s="0" t="s">
        <v>330</v>
      </c>
      <c r="C958" s="0" t="s">
        <v>15</v>
      </c>
      <c r="D958" s="0" t="s">
        <v>23</v>
      </c>
      <c r="E958" s="0" t="n">
        <v>19005.69</v>
      </c>
      <c r="F958" s="0" t="n">
        <v>372</v>
      </c>
      <c r="G958" s="0" t="str">
        <f aca="false">IF(F958&lt;=30,"Current",IF(F958&lt;=60,"31 to 60 days",IF(F958&lt;=90,"61 to 90 days",IF(F958&lt;=120,"91 to 120 days","Over 120 days"))))</f>
        <v>Over 120 days</v>
      </c>
      <c r="H958" s="0" t="n">
        <f aca="false">VLOOKUP(D958,Rates!$A$4:$B$7,2,FALSE())</f>
        <v>0.115</v>
      </c>
      <c r="I958" s="0" t="n">
        <f aca="false">VLOOKUP(F958,Rates!$D$4:$E$8,2)</f>
        <v>0.85</v>
      </c>
      <c r="J958" s="0" t="n">
        <f aca="false">ROUND(E958*I958,2)</f>
        <v>16154.84</v>
      </c>
      <c r="K958" s="1" t="n">
        <f aca="false">PV(H958/12,F958/30,0,-E958)</f>
        <v>16885.7635336914</v>
      </c>
      <c r="L958" s="0" t="n">
        <f aca="false">ROUND(E958-K958,2)</f>
        <v>2119.93</v>
      </c>
      <c r="M958" s="0" t="n">
        <f aca="false">F958/E958</f>
        <v>0.0195730857443218</v>
      </c>
    </row>
    <row r="959" customFormat="false" ht="12.8" hidden="false" customHeight="false" outlineLevel="0" collapsed="false">
      <c r="A959" s="0" t="s">
        <v>1446</v>
      </c>
      <c r="B959" s="0" t="s">
        <v>33</v>
      </c>
      <c r="C959" s="0" t="s">
        <v>26</v>
      </c>
      <c r="D959" s="0" t="s">
        <v>20</v>
      </c>
      <c r="E959" s="0" t="n">
        <v>41907.9</v>
      </c>
      <c r="F959" s="0" t="n">
        <v>61</v>
      </c>
      <c r="G959" s="0" t="str">
        <f aca="false">IF(F959&lt;=30,"Current",IF(F959&lt;=60,"31 to 60 days",IF(F959&lt;=90,"61 to 90 days",IF(F959&lt;=120,"91 to 120 days","Over 120 days"))))</f>
        <v>61 to 90 days</v>
      </c>
      <c r="H959" s="0" t="n">
        <f aca="false">VLOOKUP(D959,Rates!$A$4:$B$7,2,FALSE())</f>
        <v>0.05</v>
      </c>
      <c r="I959" s="0" t="n">
        <f aca="false">VLOOKUP(F959,Rates!$D$4:$E$8,2)</f>
        <v>0.25</v>
      </c>
      <c r="J959" s="0" t="n">
        <f aca="false">ROUND(E959*I959,2)</f>
        <v>10476.98</v>
      </c>
      <c r="K959" s="1" t="n">
        <f aca="false">PV(H959/12,F959/30,0,-E959)</f>
        <v>41555.078192788</v>
      </c>
      <c r="L959" s="0" t="n">
        <f aca="false">ROUND(E959-K959,2)</f>
        <v>352.82</v>
      </c>
      <c r="M959" s="0" t="n">
        <f aca="false">F959/E959</f>
        <v>0.00145557281562665</v>
      </c>
    </row>
    <row r="960" customFormat="false" ht="12.8" hidden="false" customHeight="false" outlineLevel="0" collapsed="false">
      <c r="A960" s="0" t="s">
        <v>1447</v>
      </c>
      <c r="B960" s="0" t="s">
        <v>1448</v>
      </c>
      <c r="C960" s="0" t="s">
        <v>36</v>
      </c>
      <c r="D960" s="0" t="s">
        <v>16</v>
      </c>
      <c r="E960" s="0" t="n">
        <v>5880.01</v>
      </c>
      <c r="F960" s="0" t="n">
        <v>183</v>
      </c>
      <c r="G960" s="0" t="str">
        <f aca="false">IF(F960&lt;=30,"Current",IF(F960&lt;=60,"31 to 60 days",IF(F960&lt;=90,"61 to 90 days",IF(F960&lt;=120,"91 to 120 days","Over 120 days"))))</f>
        <v>Over 120 days</v>
      </c>
      <c r="H960" s="0" t="n">
        <f aca="false">VLOOKUP(D960,Rates!$A$4:$B$7,2,FALSE())</f>
        <v>0.085</v>
      </c>
      <c r="I960" s="0" t="n">
        <f aca="false">VLOOKUP(F960,Rates!$D$4:$E$8,2)</f>
        <v>0.85</v>
      </c>
      <c r="J960" s="0" t="n">
        <f aca="false">ROUND(E960*I960,2)</f>
        <v>4998.01</v>
      </c>
      <c r="K960" s="1" t="n">
        <f aca="false">PV(H960/12,F960/30,0,-E960)</f>
        <v>5632.21301241942</v>
      </c>
      <c r="L960" s="0" t="n">
        <f aca="false">ROUND(E960-K960,2)</f>
        <v>247.8</v>
      </c>
      <c r="M960" s="0" t="n">
        <f aca="false">F960/E960</f>
        <v>0.0311223960503469</v>
      </c>
    </row>
    <row r="961" customFormat="false" ht="12.8" hidden="false" customHeight="false" outlineLevel="0" collapsed="false">
      <c r="A961" s="0" t="s">
        <v>1449</v>
      </c>
      <c r="B961" s="0" t="s">
        <v>208</v>
      </c>
      <c r="C961" s="0" t="s">
        <v>15</v>
      </c>
      <c r="D961" s="0" t="s">
        <v>49</v>
      </c>
      <c r="E961" s="0" t="n">
        <v>24714.88</v>
      </c>
      <c r="F961" s="0" t="n">
        <v>367</v>
      </c>
      <c r="G961" s="0" t="str">
        <f aca="false">IF(F961&lt;=30,"Current",IF(F961&lt;=60,"31 to 60 days",IF(F961&lt;=90,"61 to 90 days",IF(F961&lt;=120,"91 to 120 days","Over 120 days"))))</f>
        <v>Over 120 days</v>
      </c>
      <c r="H961" s="0" t="n">
        <f aca="false">VLOOKUP(D961,Rates!$A$4:$B$7,2,FALSE())</f>
        <v>0.02</v>
      </c>
      <c r="I961" s="0" t="n">
        <f aca="false">VLOOKUP(F961,Rates!$D$4:$E$8,2)</f>
        <v>0.85</v>
      </c>
      <c r="J961" s="0" t="n">
        <f aca="false">ROUND(E961*I961,2)</f>
        <v>21007.65</v>
      </c>
      <c r="K961" s="1" t="n">
        <f aca="false">PV(H961/12,F961/30,0,-E961)</f>
        <v>24216.4843895868</v>
      </c>
      <c r="L961" s="0" t="n">
        <f aca="false">ROUND(E961-K961,2)</f>
        <v>498.4</v>
      </c>
      <c r="M961" s="0" t="n">
        <f aca="false">F961/E961</f>
        <v>0.0148493539114898</v>
      </c>
    </row>
    <row r="962" customFormat="false" ht="12.8" hidden="false" customHeight="false" outlineLevel="0" collapsed="false">
      <c r="A962" s="0" t="s">
        <v>1450</v>
      </c>
      <c r="B962" s="0" t="s">
        <v>1451</v>
      </c>
      <c r="C962" s="0" t="s">
        <v>15</v>
      </c>
      <c r="D962" s="0" t="s">
        <v>16</v>
      </c>
      <c r="E962" s="0" t="n">
        <v>33507.66</v>
      </c>
      <c r="F962" s="0" t="n">
        <v>147</v>
      </c>
      <c r="G962" s="0" t="str">
        <f aca="false">IF(F962&lt;=30,"Current",IF(F962&lt;=60,"31 to 60 days",IF(F962&lt;=90,"61 to 90 days",IF(F962&lt;=120,"91 to 120 days","Over 120 days"))))</f>
        <v>Over 120 days</v>
      </c>
      <c r="H962" s="0" t="n">
        <f aca="false">VLOOKUP(D962,Rates!$A$4:$B$7,2,FALSE())</f>
        <v>0.085</v>
      </c>
      <c r="I962" s="0" t="n">
        <f aca="false">VLOOKUP(F962,Rates!$D$4:$E$8,2)</f>
        <v>0.85</v>
      </c>
      <c r="J962" s="0" t="n">
        <f aca="false">ROUND(E962*I962,2)</f>
        <v>28481.51</v>
      </c>
      <c r="K962" s="1" t="n">
        <f aca="false">PV(H962/12,F962/30,0,-E962)</f>
        <v>32368.5762715238</v>
      </c>
      <c r="L962" s="0" t="n">
        <f aca="false">ROUND(E962-K962,2)</f>
        <v>1139.08</v>
      </c>
      <c r="M962" s="0" t="n">
        <f aca="false">F962/E962</f>
        <v>0.00438705657154215</v>
      </c>
    </row>
    <row r="963" customFormat="false" ht="12.8" hidden="false" customHeight="false" outlineLevel="0" collapsed="false">
      <c r="A963" s="0" t="s">
        <v>1452</v>
      </c>
      <c r="B963" s="0" t="s">
        <v>25</v>
      </c>
      <c r="C963" s="0" t="s">
        <v>26</v>
      </c>
      <c r="D963" s="0" t="s">
        <v>23</v>
      </c>
      <c r="E963" s="0" t="n">
        <v>6591.76</v>
      </c>
      <c r="F963" s="0" t="n">
        <v>252</v>
      </c>
      <c r="G963" s="0" t="str">
        <f aca="false">IF(F963&lt;=30,"Current",IF(F963&lt;=60,"31 to 60 days",IF(F963&lt;=90,"61 to 90 days",IF(F963&lt;=120,"91 to 120 days","Over 120 days"))))</f>
        <v>Over 120 days</v>
      </c>
      <c r="H963" s="0" t="n">
        <f aca="false">VLOOKUP(D963,Rates!$A$4:$B$7,2,FALSE())</f>
        <v>0.115</v>
      </c>
      <c r="I963" s="0" t="n">
        <f aca="false">VLOOKUP(F963,Rates!$D$4:$E$8,2)</f>
        <v>0.85</v>
      </c>
      <c r="J963" s="0" t="n">
        <f aca="false">ROUND(E963*I963,2)</f>
        <v>5603</v>
      </c>
      <c r="K963" s="1" t="n">
        <f aca="false">PV(H963/12,F963/30,0,-E963)</f>
        <v>6084.25122659242</v>
      </c>
      <c r="L963" s="0" t="n">
        <f aca="false">ROUND(E963-K963,2)</f>
        <v>507.51</v>
      </c>
      <c r="M963" s="0" t="n">
        <f aca="false">F963/E963</f>
        <v>0.0382295471922521</v>
      </c>
    </row>
    <row r="964" customFormat="false" ht="12.8" hidden="false" customHeight="false" outlineLevel="0" collapsed="false">
      <c r="A964" s="0" t="s">
        <v>1453</v>
      </c>
      <c r="B964" s="0" t="s">
        <v>1454</v>
      </c>
      <c r="C964" s="0" t="s">
        <v>26</v>
      </c>
      <c r="D964" s="0" t="s">
        <v>16</v>
      </c>
      <c r="E964" s="0" t="n">
        <v>36392.58</v>
      </c>
      <c r="F964" s="0" t="n">
        <v>144</v>
      </c>
      <c r="G964" s="0" t="str">
        <f aca="false">IF(F964&lt;=30,"Current",IF(F964&lt;=60,"31 to 60 days",IF(F964&lt;=90,"61 to 90 days",IF(F964&lt;=120,"91 to 120 days","Over 120 days"))))</f>
        <v>Over 120 days</v>
      </c>
      <c r="H964" s="0" t="n">
        <f aca="false">VLOOKUP(D964,Rates!$A$4:$B$7,2,FALSE())</f>
        <v>0.085</v>
      </c>
      <c r="I964" s="0" t="n">
        <f aca="false">VLOOKUP(F964,Rates!$D$4:$E$8,2)</f>
        <v>0.85</v>
      </c>
      <c r="J964" s="0" t="n">
        <f aca="false">ROUND(E964*I964,2)</f>
        <v>30933.69</v>
      </c>
      <c r="K964" s="1" t="n">
        <f aca="false">PV(H964/12,F964/30,0,-E964)</f>
        <v>35180.2469446338</v>
      </c>
      <c r="L964" s="0" t="n">
        <f aca="false">ROUND(E964-K964,2)</f>
        <v>1212.33</v>
      </c>
      <c r="M964" s="0" t="n">
        <f aca="false">F964/E964</f>
        <v>0.00395685054480886</v>
      </c>
    </row>
    <row r="965" customFormat="false" ht="12.8" hidden="false" customHeight="false" outlineLevel="0" collapsed="false">
      <c r="A965" s="0" t="s">
        <v>1455</v>
      </c>
      <c r="B965" s="0" t="s">
        <v>1456</v>
      </c>
      <c r="C965" s="0" t="s">
        <v>19</v>
      </c>
      <c r="D965" s="0" t="s">
        <v>49</v>
      </c>
      <c r="E965" s="0" t="n">
        <v>27110.51</v>
      </c>
      <c r="F965" s="0" t="n">
        <v>81</v>
      </c>
      <c r="G965" s="0" t="str">
        <f aca="false">IF(F965&lt;=30,"Current",IF(F965&lt;=60,"31 to 60 days",IF(F965&lt;=90,"61 to 90 days",IF(F965&lt;=120,"91 to 120 days","Over 120 days"))))</f>
        <v>61 to 90 days</v>
      </c>
      <c r="H965" s="0" t="n">
        <f aca="false">VLOOKUP(D965,Rates!$A$4:$B$7,2,FALSE())</f>
        <v>0.02</v>
      </c>
      <c r="I965" s="0" t="n">
        <f aca="false">VLOOKUP(F965,Rates!$D$4:$E$8,2)</f>
        <v>0.25</v>
      </c>
      <c r="J965" s="0" t="n">
        <f aca="false">ROUND(E965*I965,2)</f>
        <v>6777.63</v>
      </c>
      <c r="K965" s="1" t="n">
        <f aca="false">PV(H965/12,F965/30,0,-E965)</f>
        <v>26988.8878834626</v>
      </c>
      <c r="L965" s="0" t="n">
        <f aca="false">ROUND(E965-K965,2)</f>
        <v>121.62</v>
      </c>
      <c r="M965" s="0" t="n">
        <f aca="false">F965/E965</f>
        <v>0.00298777116328686</v>
      </c>
    </row>
    <row r="966" customFormat="false" ht="12.8" hidden="false" customHeight="false" outlineLevel="0" collapsed="false">
      <c r="A966" s="0" t="s">
        <v>1457</v>
      </c>
      <c r="B966" s="0" t="s">
        <v>550</v>
      </c>
      <c r="C966" s="0" t="s">
        <v>36</v>
      </c>
      <c r="D966" s="0" t="s">
        <v>23</v>
      </c>
      <c r="E966" s="0" t="n">
        <v>14052.47</v>
      </c>
      <c r="F966" s="0" t="n">
        <v>20</v>
      </c>
      <c r="G966" s="0" t="str">
        <f aca="false">IF(F966&lt;=30,"Current",IF(F966&lt;=60,"31 to 60 days",IF(F966&lt;=90,"61 to 90 days",IF(F966&lt;=120,"91 to 120 days","Over 120 days"))))</f>
        <v>Current</v>
      </c>
      <c r="H966" s="0" t="n">
        <f aca="false">VLOOKUP(D966,Rates!$A$4:$B$7,2,FALSE())</f>
        <v>0.115</v>
      </c>
      <c r="I966" s="0" t="n">
        <f aca="false">VLOOKUP(F966,Rates!$D$4:$E$8,2)</f>
        <v>0.02</v>
      </c>
      <c r="J966" s="0" t="n">
        <f aca="false">ROUND(E966*I966,2)</f>
        <v>281.05</v>
      </c>
      <c r="K966" s="1" t="n">
        <f aca="false">PV(H966/12,F966/30,0,-E966)</f>
        <v>13963.4012664539</v>
      </c>
      <c r="L966" s="0" t="n">
        <f aca="false">ROUND(E966-K966,2)</f>
        <v>89.07</v>
      </c>
      <c r="M966" s="0" t="n">
        <f aca="false">F966/E966</f>
        <v>0.00142323733834692</v>
      </c>
    </row>
    <row r="967" customFormat="false" ht="12.8" hidden="false" customHeight="false" outlineLevel="0" collapsed="false">
      <c r="A967" s="0" t="s">
        <v>1458</v>
      </c>
      <c r="B967" s="0" t="s">
        <v>336</v>
      </c>
      <c r="C967" s="0" t="s">
        <v>31</v>
      </c>
      <c r="D967" s="0" t="s">
        <v>49</v>
      </c>
      <c r="E967" s="0" t="n">
        <v>8624.83</v>
      </c>
      <c r="F967" s="0" t="n">
        <v>135</v>
      </c>
      <c r="G967" s="0" t="str">
        <f aca="false">IF(F967&lt;=30,"Current",IF(F967&lt;=60,"31 to 60 days",IF(F967&lt;=90,"61 to 90 days",IF(F967&lt;=120,"91 to 120 days","Over 120 days"))))</f>
        <v>Over 120 days</v>
      </c>
      <c r="H967" s="0" t="n">
        <f aca="false">VLOOKUP(D967,Rates!$A$4:$B$7,2,FALSE())</f>
        <v>0.02</v>
      </c>
      <c r="I967" s="0" t="n">
        <f aca="false">VLOOKUP(F967,Rates!$D$4:$E$8,2)</f>
        <v>0.85</v>
      </c>
      <c r="J967" s="0" t="n">
        <f aca="false">ROUND(E967*I967,2)</f>
        <v>7331.11</v>
      </c>
      <c r="K967" s="1" t="n">
        <f aca="false">PV(H967/12,F967/30,0,-E967)</f>
        <v>8560.43918625055</v>
      </c>
      <c r="L967" s="0" t="n">
        <f aca="false">ROUND(E967-K967,2)</f>
        <v>64.39</v>
      </c>
      <c r="M967" s="0" t="n">
        <f aca="false">F967/E967</f>
        <v>0.0156524824257406</v>
      </c>
    </row>
    <row r="968" customFormat="false" ht="12.8" hidden="false" customHeight="false" outlineLevel="0" collapsed="false">
      <c r="A968" s="0" t="s">
        <v>1459</v>
      </c>
      <c r="B968" s="0" t="s">
        <v>1460</v>
      </c>
      <c r="C968" s="0" t="s">
        <v>36</v>
      </c>
      <c r="D968" s="0" t="s">
        <v>49</v>
      </c>
      <c r="E968" s="0" t="n">
        <v>14414.15</v>
      </c>
      <c r="F968" s="0" t="n">
        <v>364</v>
      </c>
      <c r="G968" s="0" t="str">
        <f aca="false">IF(F968&lt;=30,"Current",IF(F968&lt;=60,"31 to 60 days",IF(F968&lt;=90,"61 to 90 days",IF(F968&lt;=120,"91 to 120 days","Over 120 days"))))</f>
        <v>Over 120 days</v>
      </c>
      <c r="H968" s="0" t="n">
        <f aca="false">VLOOKUP(D968,Rates!$A$4:$B$7,2,FALSE())</f>
        <v>0.02</v>
      </c>
      <c r="I968" s="0" t="n">
        <f aca="false">VLOOKUP(F968,Rates!$D$4:$E$8,2)</f>
        <v>0.85</v>
      </c>
      <c r="J968" s="0" t="n">
        <f aca="false">ROUND(E968*I968,2)</f>
        <v>12252.03</v>
      </c>
      <c r="K968" s="1" t="n">
        <f aca="false">PV(H968/12,F968/30,0,-E968)</f>
        <v>14125.8291179539</v>
      </c>
      <c r="L968" s="0" t="n">
        <f aca="false">ROUND(E968-K968,2)</f>
        <v>288.32</v>
      </c>
      <c r="M968" s="0" t="n">
        <f aca="false">F968/E968</f>
        <v>0.0252529632340443</v>
      </c>
    </row>
    <row r="969" customFormat="false" ht="12.8" hidden="false" customHeight="false" outlineLevel="0" collapsed="false">
      <c r="A969" s="0" t="s">
        <v>1461</v>
      </c>
      <c r="B969" s="0" t="s">
        <v>198</v>
      </c>
      <c r="C969" s="0" t="s">
        <v>19</v>
      </c>
      <c r="D969" s="0" t="s">
        <v>23</v>
      </c>
      <c r="E969" s="0" t="n">
        <v>34085.87</v>
      </c>
      <c r="F969" s="0" t="n">
        <v>257</v>
      </c>
      <c r="G969" s="0" t="str">
        <f aca="false">IF(F969&lt;=30,"Current",IF(F969&lt;=60,"31 to 60 days",IF(F969&lt;=90,"61 to 90 days",IF(F969&lt;=120,"91 to 120 days","Over 120 days"))))</f>
        <v>Over 120 days</v>
      </c>
      <c r="H969" s="0" t="n">
        <f aca="false">VLOOKUP(D969,Rates!$A$4:$B$7,2,FALSE())</f>
        <v>0.115</v>
      </c>
      <c r="I969" s="0" t="n">
        <f aca="false">VLOOKUP(F969,Rates!$D$4:$E$8,2)</f>
        <v>0.85</v>
      </c>
      <c r="J969" s="0" t="n">
        <f aca="false">ROUND(E969*I969,2)</f>
        <v>28972.99</v>
      </c>
      <c r="K969" s="1" t="n">
        <f aca="false">PV(H969/12,F969/30,0,-E969)</f>
        <v>31411.5793443411</v>
      </c>
      <c r="L969" s="0" t="n">
        <f aca="false">ROUND(E969-K969,2)</f>
        <v>2674.29</v>
      </c>
      <c r="M969" s="0" t="n">
        <f aca="false">F969/E969</f>
        <v>0.00753978114685059</v>
      </c>
    </row>
    <row r="970" customFormat="false" ht="12.8" hidden="false" customHeight="false" outlineLevel="0" collapsed="false">
      <c r="A970" s="0" t="s">
        <v>1462</v>
      </c>
      <c r="B970" s="0" t="s">
        <v>1463</v>
      </c>
      <c r="C970" s="0" t="s">
        <v>15</v>
      </c>
      <c r="D970" s="0" t="s">
        <v>16</v>
      </c>
      <c r="E970" s="0" t="n">
        <v>13147.18</v>
      </c>
      <c r="F970" s="0" t="n">
        <v>209</v>
      </c>
      <c r="G970" s="0" t="str">
        <f aca="false">IF(F970&lt;=30,"Current",IF(F970&lt;=60,"31 to 60 days",IF(F970&lt;=90,"61 to 90 days",IF(F970&lt;=120,"91 to 120 days","Over 120 days"))))</f>
        <v>Over 120 days</v>
      </c>
      <c r="H970" s="0" t="n">
        <f aca="false">VLOOKUP(D970,Rates!$A$4:$B$7,2,FALSE())</f>
        <v>0.085</v>
      </c>
      <c r="I970" s="0" t="n">
        <f aca="false">VLOOKUP(F970,Rates!$D$4:$E$8,2)</f>
        <v>0.85</v>
      </c>
      <c r="J970" s="0" t="n">
        <f aca="false">ROUND(E970*I970,2)</f>
        <v>11175.1</v>
      </c>
      <c r="K970" s="1" t="n">
        <f aca="false">PV(H970/12,F970/30,0,-E970)</f>
        <v>12516.3277907058</v>
      </c>
      <c r="L970" s="0" t="n">
        <f aca="false">ROUND(E970-K970,2)</f>
        <v>630.85</v>
      </c>
      <c r="M970" s="0" t="n">
        <f aca="false">F970/E970</f>
        <v>0.0158969452004156</v>
      </c>
    </row>
    <row r="971" customFormat="false" ht="12.8" hidden="false" customHeight="false" outlineLevel="0" collapsed="false">
      <c r="A971" s="0" t="s">
        <v>1464</v>
      </c>
      <c r="B971" s="0" t="s">
        <v>97</v>
      </c>
      <c r="C971" s="0" t="s">
        <v>42</v>
      </c>
      <c r="D971" s="0" t="s">
        <v>20</v>
      </c>
      <c r="E971" s="0" t="n">
        <v>40173.83</v>
      </c>
      <c r="F971" s="0" t="n">
        <v>198</v>
      </c>
      <c r="G971" s="0" t="str">
        <f aca="false">IF(F971&lt;=30,"Current",IF(F971&lt;=60,"31 to 60 days",IF(F971&lt;=90,"61 to 90 days",IF(F971&lt;=120,"91 to 120 days","Over 120 days"))))</f>
        <v>Over 120 days</v>
      </c>
      <c r="H971" s="0" t="n">
        <f aca="false">VLOOKUP(D971,Rates!$A$4:$B$7,2,FALSE())</f>
        <v>0.05</v>
      </c>
      <c r="I971" s="0" t="n">
        <f aca="false">VLOOKUP(F971,Rates!$D$4:$E$8,2)</f>
        <v>0.85</v>
      </c>
      <c r="J971" s="0" t="n">
        <f aca="false">ROUND(E971*I971,2)</f>
        <v>34147.76</v>
      </c>
      <c r="K971" s="1" t="n">
        <f aca="false">PV(H971/12,F971/30,0,-E971)</f>
        <v>39086.3351647378</v>
      </c>
      <c r="L971" s="0" t="n">
        <f aca="false">ROUND(E971-K971,2)</f>
        <v>1087.49</v>
      </c>
      <c r="M971" s="0" t="n">
        <f aca="false">F971/E971</f>
        <v>0.00492858161644035</v>
      </c>
    </row>
    <row r="972" customFormat="false" ht="12.8" hidden="false" customHeight="false" outlineLevel="0" collapsed="false">
      <c r="A972" s="0" t="s">
        <v>1465</v>
      </c>
      <c r="B972" s="0" t="s">
        <v>1007</v>
      </c>
      <c r="C972" s="0" t="s">
        <v>19</v>
      </c>
      <c r="D972" s="0" t="s">
        <v>23</v>
      </c>
      <c r="E972" s="0" t="n">
        <v>20763.69</v>
      </c>
      <c r="F972" s="0" t="n">
        <v>220</v>
      </c>
      <c r="G972" s="0" t="str">
        <f aca="false">IF(F972&lt;=30,"Current",IF(F972&lt;=60,"31 to 60 days",IF(F972&lt;=90,"61 to 90 days",IF(F972&lt;=120,"91 to 120 days","Over 120 days"))))</f>
        <v>Over 120 days</v>
      </c>
      <c r="H972" s="0" t="n">
        <f aca="false">VLOOKUP(D972,Rates!$A$4:$B$7,2,FALSE())</f>
        <v>0.115</v>
      </c>
      <c r="I972" s="0" t="n">
        <f aca="false">VLOOKUP(F972,Rates!$D$4:$E$8,2)</f>
        <v>0.85</v>
      </c>
      <c r="J972" s="0" t="n">
        <f aca="false">ROUND(E972*I972,2)</f>
        <v>17649.14</v>
      </c>
      <c r="K972" s="1" t="n">
        <f aca="false">PV(H972/12,F972/30,0,-E972)</f>
        <v>19361.0365646433</v>
      </c>
      <c r="L972" s="0" t="n">
        <f aca="false">ROUND(E972-K972,2)</f>
        <v>1402.65</v>
      </c>
      <c r="M972" s="0" t="n">
        <f aca="false">F972/E972</f>
        <v>0.0105954192149854</v>
      </c>
    </row>
    <row r="973" customFormat="false" ht="12.8" hidden="false" customHeight="false" outlineLevel="0" collapsed="false">
      <c r="A973" s="0" t="s">
        <v>1466</v>
      </c>
      <c r="B973" s="0" t="s">
        <v>1467</v>
      </c>
      <c r="C973" s="0" t="s">
        <v>36</v>
      </c>
      <c r="D973" s="0" t="s">
        <v>49</v>
      </c>
      <c r="E973" s="0" t="n">
        <v>30192.01</v>
      </c>
      <c r="F973" s="0" t="n">
        <v>214</v>
      </c>
      <c r="G973" s="0" t="str">
        <f aca="false">IF(F973&lt;=30,"Current",IF(F973&lt;=60,"31 to 60 days",IF(F973&lt;=90,"61 to 90 days",IF(F973&lt;=120,"91 to 120 days","Over 120 days"))))</f>
        <v>Over 120 days</v>
      </c>
      <c r="H973" s="0" t="n">
        <f aca="false">VLOOKUP(D973,Rates!$A$4:$B$7,2,FALSE())</f>
        <v>0.02</v>
      </c>
      <c r="I973" s="0" t="n">
        <f aca="false">VLOOKUP(F973,Rates!$D$4:$E$8,2)</f>
        <v>0.85</v>
      </c>
      <c r="J973" s="0" t="n">
        <f aca="false">ROUND(E973*I973,2)</f>
        <v>25663.21</v>
      </c>
      <c r="K973" s="1" t="n">
        <f aca="false">PV(H973/12,F973/30,0,-E973)</f>
        <v>29835.4811347159</v>
      </c>
      <c r="L973" s="0" t="n">
        <f aca="false">ROUND(E973-K973,2)</f>
        <v>356.53</v>
      </c>
      <c r="M973" s="0" t="n">
        <f aca="false">F973/E973</f>
        <v>0.00708796797563329</v>
      </c>
    </row>
    <row r="974" customFormat="false" ht="12.8" hidden="false" customHeight="false" outlineLevel="0" collapsed="false">
      <c r="A974" s="0" t="s">
        <v>1468</v>
      </c>
      <c r="B974" s="0" t="s">
        <v>97</v>
      </c>
      <c r="C974" s="0" t="s">
        <v>42</v>
      </c>
      <c r="D974" s="0" t="s">
        <v>20</v>
      </c>
      <c r="E974" s="0" t="n">
        <v>18088.78</v>
      </c>
      <c r="F974" s="0" t="n">
        <v>32</v>
      </c>
      <c r="G974" s="0" t="str">
        <f aca="false">IF(F974&lt;=30,"Current",IF(F974&lt;=60,"31 to 60 days",IF(F974&lt;=90,"61 to 90 days",IF(F974&lt;=120,"91 to 120 days","Over 120 days"))))</f>
        <v>31 to 60 days</v>
      </c>
      <c r="H974" s="0" t="n">
        <f aca="false">VLOOKUP(D974,Rates!$A$4:$B$7,2,FALSE())</f>
        <v>0.05</v>
      </c>
      <c r="I974" s="0" t="n">
        <f aca="false">VLOOKUP(F974,Rates!$D$4:$E$8,2)</f>
        <v>0.1</v>
      </c>
      <c r="J974" s="0" t="n">
        <f aca="false">ROUND(E974*I974,2)</f>
        <v>1808.88</v>
      </c>
      <c r="K974" s="1" t="n">
        <f aca="false">PV(H974/12,F974/30,0,-E974)</f>
        <v>18008.7300974482</v>
      </c>
      <c r="L974" s="0" t="n">
        <f aca="false">ROUND(E974-K974,2)</f>
        <v>80.05</v>
      </c>
      <c r="M974" s="0" t="n">
        <f aca="false">F974/E974</f>
        <v>0.00176905241812881</v>
      </c>
    </row>
    <row r="975" customFormat="false" ht="12.8" hidden="false" customHeight="false" outlineLevel="0" collapsed="false">
      <c r="A975" s="0" t="s">
        <v>1469</v>
      </c>
      <c r="B975" s="0" t="s">
        <v>150</v>
      </c>
      <c r="C975" s="0" t="s">
        <v>31</v>
      </c>
      <c r="D975" s="0" t="s">
        <v>23</v>
      </c>
      <c r="E975" s="0" t="n">
        <v>18440.73</v>
      </c>
      <c r="F975" s="0" t="n">
        <v>393</v>
      </c>
      <c r="G975" s="0" t="str">
        <f aca="false">IF(F975&lt;=30,"Current",IF(F975&lt;=60,"31 to 60 days",IF(F975&lt;=90,"61 to 90 days",IF(F975&lt;=120,"91 to 120 days","Over 120 days"))))</f>
        <v>Over 120 days</v>
      </c>
      <c r="H975" s="0" t="n">
        <f aca="false">VLOOKUP(D975,Rates!$A$4:$B$7,2,FALSE())</f>
        <v>0.115</v>
      </c>
      <c r="I975" s="0" t="n">
        <f aca="false">VLOOKUP(F975,Rates!$D$4:$E$8,2)</f>
        <v>0.85</v>
      </c>
      <c r="J975" s="0" t="n">
        <f aca="false">ROUND(E975*I975,2)</f>
        <v>15674.62</v>
      </c>
      <c r="K975" s="1" t="n">
        <f aca="false">PV(H975/12,F975/30,0,-E975)</f>
        <v>16274.799630079</v>
      </c>
      <c r="L975" s="0" t="n">
        <f aca="false">ROUND(E975-K975,2)</f>
        <v>2165.93</v>
      </c>
      <c r="M975" s="0" t="n">
        <f aca="false">F975/E975</f>
        <v>0.0213115207478229</v>
      </c>
    </row>
    <row r="976" customFormat="false" ht="12.8" hidden="false" customHeight="false" outlineLevel="0" collapsed="false">
      <c r="A976" s="0" t="s">
        <v>1470</v>
      </c>
      <c r="B976" s="0" t="s">
        <v>51</v>
      </c>
      <c r="C976" s="0" t="s">
        <v>36</v>
      </c>
      <c r="D976" s="0" t="s">
        <v>20</v>
      </c>
      <c r="E976" s="0" t="n">
        <v>22653.29</v>
      </c>
      <c r="F976" s="0" t="n">
        <v>99</v>
      </c>
      <c r="G976" s="0" t="str">
        <f aca="false">IF(F976&lt;=30,"Current",IF(F976&lt;=60,"31 to 60 days",IF(F976&lt;=90,"61 to 90 days",IF(F976&lt;=120,"91 to 120 days","Over 120 days"))))</f>
        <v>91 to 120 days</v>
      </c>
      <c r="H976" s="0" t="n">
        <f aca="false">VLOOKUP(D976,Rates!$A$4:$B$7,2,FALSE())</f>
        <v>0.05</v>
      </c>
      <c r="I976" s="0" t="n">
        <f aca="false">VLOOKUP(F976,Rates!$D$4:$E$8,2)</f>
        <v>0.5</v>
      </c>
      <c r="J976" s="0" t="n">
        <f aca="false">ROUND(E976*I976,2)</f>
        <v>11326.65</v>
      </c>
      <c r="K976" s="1" t="n">
        <f aca="false">PV(H976/12,F976/30,0,-E976)</f>
        <v>22344.5772224743</v>
      </c>
      <c r="L976" s="0" t="n">
        <f aca="false">ROUND(E976-K976,2)</f>
        <v>308.71</v>
      </c>
      <c r="M976" s="0" t="n">
        <f aca="false">F976/E976</f>
        <v>0.00437022613492345</v>
      </c>
    </row>
    <row r="977" customFormat="false" ht="12.8" hidden="false" customHeight="false" outlineLevel="0" collapsed="false">
      <c r="A977" s="0" t="s">
        <v>1471</v>
      </c>
      <c r="B977" s="0" t="s">
        <v>1472</v>
      </c>
      <c r="C977" s="0" t="s">
        <v>26</v>
      </c>
      <c r="D977" s="0" t="s">
        <v>16</v>
      </c>
      <c r="E977" s="0" t="n">
        <v>12224.7</v>
      </c>
      <c r="F977" s="0" t="n">
        <v>164</v>
      </c>
      <c r="G977" s="0" t="str">
        <f aca="false">IF(F977&lt;=30,"Current",IF(F977&lt;=60,"31 to 60 days",IF(F977&lt;=90,"61 to 90 days",IF(F977&lt;=120,"91 to 120 days","Over 120 days"))))</f>
        <v>Over 120 days</v>
      </c>
      <c r="H977" s="0" t="n">
        <f aca="false">VLOOKUP(D977,Rates!$A$4:$B$7,2,FALSE())</f>
        <v>0.085</v>
      </c>
      <c r="I977" s="0" t="n">
        <f aca="false">VLOOKUP(F977,Rates!$D$4:$E$8,2)</f>
        <v>0.85</v>
      </c>
      <c r="J977" s="0" t="n">
        <f aca="false">ROUND(E977*I977,2)</f>
        <v>10391</v>
      </c>
      <c r="K977" s="1" t="n">
        <f aca="false">PV(H977/12,F977/30,0,-E977)</f>
        <v>11761.9855790448</v>
      </c>
      <c r="L977" s="0" t="n">
        <f aca="false">ROUND(E977-K977,2)</f>
        <v>462.71</v>
      </c>
      <c r="M977" s="0" t="n">
        <f aca="false">F977/E977</f>
        <v>0.0134154621381302</v>
      </c>
    </row>
    <row r="978" customFormat="false" ht="12.8" hidden="false" customHeight="false" outlineLevel="0" collapsed="false">
      <c r="A978" s="0" t="s">
        <v>1473</v>
      </c>
      <c r="B978" s="0" t="s">
        <v>138</v>
      </c>
      <c r="C978" s="0" t="s">
        <v>15</v>
      </c>
      <c r="D978" s="0" t="s">
        <v>23</v>
      </c>
      <c r="E978" s="0" t="n">
        <v>7838.3</v>
      </c>
      <c r="F978" s="0" t="n">
        <v>141</v>
      </c>
      <c r="G978" s="0" t="str">
        <f aca="false">IF(F978&lt;=30,"Current",IF(F978&lt;=60,"31 to 60 days",IF(F978&lt;=90,"61 to 90 days",IF(F978&lt;=120,"91 to 120 days","Over 120 days"))))</f>
        <v>Over 120 days</v>
      </c>
      <c r="H978" s="0" t="n">
        <f aca="false">VLOOKUP(D978,Rates!$A$4:$B$7,2,FALSE())</f>
        <v>0.115</v>
      </c>
      <c r="I978" s="0" t="n">
        <f aca="false">VLOOKUP(F978,Rates!$D$4:$E$8,2)</f>
        <v>0.85</v>
      </c>
      <c r="J978" s="0" t="n">
        <f aca="false">ROUND(E978*I978,2)</f>
        <v>6662.56</v>
      </c>
      <c r="K978" s="1" t="n">
        <f aca="false">PV(H978/12,F978/30,0,-E978)</f>
        <v>7494.6899495228</v>
      </c>
      <c r="L978" s="0" t="n">
        <f aca="false">ROUND(E978-K978,2)</f>
        <v>343.61</v>
      </c>
      <c r="M978" s="0" t="n">
        <f aca="false">F978/E978</f>
        <v>0.0179885944656367</v>
      </c>
    </row>
    <row r="979" customFormat="false" ht="12.8" hidden="false" customHeight="false" outlineLevel="0" collapsed="false">
      <c r="A979" s="0" t="s">
        <v>1474</v>
      </c>
      <c r="B979" s="0" t="s">
        <v>28</v>
      </c>
      <c r="C979" s="0" t="s">
        <v>15</v>
      </c>
      <c r="D979" s="0" t="s">
        <v>20</v>
      </c>
      <c r="E979" s="0" t="n">
        <v>26934.06</v>
      </c>
      <c r="F979" s="0" t="n">
        <v>331</v>
      </c>
      <c r="G979" s="0" t="str">
        <f aca="false">IF(F979&lt;=30,"Current",IF(F979&lt;=60,"31 to 60 days",IF(F979&lt;=90,"61 to 90 days",IF(F979&lt;=120,"91 to 120 days","Over 120 days"))))</f>
        <v>Over 120 days</v>
      </c>
      <c r="H979" s="0" t="n">
        <f aca="false">VLOOKUP(D979,Rates!$A$4:$B$7,2,FALSE())</f>
        <v>0.05</v>
      </c>
      <c r="I979" s="0" t="n">
        <f aca="false">VLOOKUP(F979,Rates!$D$4:$E$8,2)</f>
        <v>0.85</v>
      </c>
      <c r="J979" s="0" t="n">
        <f aca="false">ROUND(E979*I979,2)</f>
        <v>22893.95</v>
      </c>
      <c r="K979" s="1" t="n">
        <f aca="false">PV(H979/12,F979/30,0,-E979)</f>
        <v>25726.3290649884</v>
      </c>
      <c r="L979" s="0" t="n">
        <f aca="false">ROUND(E979-K979,2)</f>
        <v>1207.73</v>
      </c>
      <c r="M979" s="0" t="n">
        <f aca="false">F979/E979</f>
        <v>0.0122892723933933</v>
      </c>
    </row>
    <row r="980" customFormat="false" ht="12.8" hidden="false" customHeight="false" outlineLevel="0" collapsed="false">
      <c r="A980" s="0" t="s">
        <v>1475</v>
      </c>
      <c r="B980" s="0" t="s">
        <v>1476</v>
      </c>
      <c r="C980" s="0" t="s">
        <v>15</v>
      </c>
      <c r="D980" s="0" t="s">
        <v>49</v>
      </c>
      <c r="E980" s="0" t="n">
        <v>27751.65</v>
      </c>
      <c r="F980" s="0" t="n">
        <v>87</v>
      </c>
      <c r="G980" s="0" t="str">
        <f aca="false">IF(F980&lt;=30,"Current",IF(F980&lt;=60,"31 to 60 days",IF(F980&lt;=90,"61 to 90 days",IF(F980&lt;=120,"91 to 120 days","Over 120 days"))))</f>
        <v>61 to 90 days</v>
      </c>
      <c r="H980" s="0" t="n">
        <f aca="false">VLOOKUP(D980,Rates!$A$4:$B$7,2,FALSE())</f>
        <v>0.02</v>
      </c>
      <c r="I980" s="0" t="n">
        <f aca="false">VLOOKUP(F980,Rates!$D$4:$E$8,2)</f>
        <v>0.25</v>
      </c>
      <c r="J980" s="0" t="n">
        <f aca="false">ROUND(E980*I980,2)</f>
        <v>6937.91</v>
      </c>
      <c r="K980" s="1" t="n">
        <f aca="false">PV(H980/12,F980/30,0,-E980)</f>
        <v>27617.9517733751</v>
      </c>
      <c r="L980" s="0" t="n">
        <f aca="false">ROUND(E980-K980,2)</f>
        <v>133.7</v>
      </c>
      <c r="M980" s="0" t="n">
        <f aca="false">F980/E980</f>
        <v>0.00313494873277805</v>
      </c>
    </row>
    <row r="981" customFormat="false" ht="12.8" hidden="false" customHeight="false" outlineLevel="0" collapsed="false">
      <c r="A981" s="0" t="s">
        <v>1477</v>
      </c>
      <c r="B981" s="0" t="s">
        <v>1478</v>
      </c>
      <c r="C981" s="0" t="s">
        <v>42</v>
      </c>
      <c r="D981" s="0" t="s">
        <v>49</v>
      </c>
      <c r="E981" s="0" t="n">
        <v>31319.23</v>
      </c>
      <c r="F981" s="0" t="n">
        <v>245</v>
      </c>
      <c r="G981" s="0" t="str">
        <f aca="false">IF(F981&lt;=30,"Current",IF(F981&lt;=60,"31 to 60 days",IF(F981&lt;=90,"61 to 90 days",IF(F981&lt;=120,"91 to 120 days","Over 120 days"))))</f>
        <v>Over 120 days</v>
      </c>
      <c r="H981" s="0" t="n">
        <f aca="false">VLOOKUP(D981,Rates!$A$4:$B$7,2,FALSE())</f>
        <v>0.02</v>
      </c>
      <c r="I981" s="0" t="n">
        <f aca="false">VLOOKUP(F981,Rates!$D$4:$E$8,2)</f>
        <v>0.85</v>
      </c>
      <c r="J981" s="0" t="n">
        <f aca="false">ROUND(E981*I981,2)</f>
        <v>26621.35</v>
      </c>
      <c r="K981" s="1" t="n">
        <f aca="false">PV(H981/12,F981/30,0,-E981)</f>
        <v>30896.1785515526</v>
      </c>
      <c r="L981" s="0" t="n">
        <f aca="false">ROUND(E981-K981,2)</f>
        <v>423.05</v>
      </c>
      <c r="M981" s="0" t="n">
        <f aca="false">F981/E981</f>
        <v>0.00782266996985558</v>
      </c>
    </row>
    <row r="982" customFormat="false" ht="12.8" hidden="false" customHeight="false" outlineLevel="0" collapsed="false">
      <c r="A982" s="0" t="s">
        <v>1479</v>
      </c>
      <c r="B982" s="0" t="s">
        <v>526</v>
      </c>
      <c r="C982" s="0" t="s">
        <v>26</v>
      </c>
      <c r="D982" s="0" t="s">
        <v>23</v>
      </c>
      <c r="E982" s="0" t="n">
        <v>3254.46</v>
      </c>
      <c r="F982" s="0" t="n">
        <v>148</v>
      </c>
      <c r="G982" s="0" t="str">
        <f aca="false">IF(F982&lt;=30,"Current",IF(F982&lt;=60,"31 to 60 days",IF(F982&lt;=90,"61 to 90 days",IF(F982&lt;=120,"91 to 120 days","Over 120 days"))))</f>
        <v>Over 120 days</v>
      </c>
      <c r="H982" s="0" t="n">
        <f aca="false">VLOOKUP(D982,Rates!$A$4:$B$7,2,FALSE())</f>
        <v>0.115</v>
      </c>
      <c r="I982" s="0" t="n">
        <f aca="false">VLOOKUP(F982,Rates!$D$4:$E$8,2)</f>
        <v>0.85</v>
      </c>
      <c r="J982" s="0" t="n">
        <f aca="false">ROUND(E982*I982,2)</f>
        <v>2766.29</v>
      </c>
      <c r="K982" s="1" t="n">
        <f aca="false">PV(H982/12,F982/30,0,-E982)</f>
        <v>3104.87571696887</v>
      </c>
      <c r="L982" s="0" t="n">
        <f aca="false">ROUND(E982-K982,2)</f>
        <v>149.58</v>
      </c>
      <c r="M982" s="0" t="n">
        <f aca="false">F982/E982</f>
        <v>0.0454760543991937</v>
      </c>
    </row>
    <row r="983" customFormat="false" ht="12.8" hidden="false" customHeight="false" outlineLevel="0" collapsed="false">
      <c r="A983" s="0" t="s">
        <v>1480</v>
      </c>
      <c r="B983" s="0" t="s">
        <v>30</v>
      </c>
      <c r="C983" s="0" t="s">
        <v>31</v>
      </c>
      <c r="D983" s="0" t="s">
        <v>20</v>
      </c>
      <c r="E983" s="0" t="n">
        <v>28045.8</v>
      </c>
      <c r="F983" s="0" t="n">
        <v>111</v>
      </c>
      <c r="G983" s="0" t="str">
        <f aca="false">IF(F983&lt;=30,"Current",IF(F983&lt;=60,"31 to 60 days",IF(F983&lt;=90,"61 to 90 days",IF(F983&lt;=120,"91 to 120 days","Over 120 days"))))</f>
        <v>91 to 120 days</v>
      </c>
      <c r="H983" s="0" t="n">
        <f aca="false">VLOOKUP(D983,Rates!$A$4:$B$7,2,FALSE())</f>
        <v>0.05</v>
      </c>
      <c r="I983" s="0" t="n">
        <f aca="false">VLOOKUP(F983,Rates!$D$4:$E$8,2)</f>
        <v>0.5</v>
      </c>
      <c r="J983" s="0" t="n">
        <f aca="false">ROUND(E983*I983,2)</f>
        <v>14022.9</v>
      </c>
      <c r="K983" s="1" t="n">
        <f aca="false">PV(H983/12,F983/30,0,-E983)</f>
        <v>27617.6276158737</v>
      </c>
      <c r="L983" s="0" t="n">
        <f aca="false">ROUND(E983-K983,2)</f>
        <v>428.17</v>
      </c>
      <c r="M983" s="0" t="n">
        <f aca="false">F983/E983</f>
        <v>0.00395781186487816</v>
      </c>
    </row>
    <row r="984" customFormat="false" ht="12.8" hidden="false" customHeight="false" outlineLevel="0" collapsed="false">
      <c r="A984" s="0" t="s">
        <v>1481</v>
      </c>
      <c r="B984" s="0" t="s">
        <v>18</v>
      </c>
      <c r="C984" s="0" t="s">
        <v>19</v>
      </c>
      <c r="D984" s="0" t="s">
        <v>20</v>
      </c>
      <c r="E984" s="0" t="n">
        <v>26944.32</v>
      </c>
      <c r="F984" s="0" t="n">
        <v>177</v>
      </c>
      <c r="G984" s="0" t="str">
        <f aca="false">IF(F984&lt;=30,"Current",IF(F984&lt;=60,"31 to 60 days",IF(F984&lt;=90,"61 to 90 days",IF(F984&lt;=120,"91 to 120 days","Over 120 days"))))</f>
        <v>Over 120 days</v>
      </c>
      <c r="H984" s="0" t="n">
        <f aca="false">VLOOKUP(D984,Rates!$A$4:$B$7,2,FALSE())</f>
        <v>0.05</v>
      </c>
      <c r="I984" s="0" t="n">
        <f aca="false">VLOOKUP(F984,Rates!$D$4:$E$8,2)</f>
        <v>0.85</v>
      </c>
      <c r="J984" s="0" t="n">
        <f aca="false">ROUND(E984*I984,2)</f>
        <v>22902.67</v>
      </c>
      <c r="K984" s="1" t="n">
        <f aca="false">PV(H984/12,F984/30,0,-E984)</f>
        <v>26291.3570158506</v>
      </c>
      <c r="L984" s="0" t="n">
        <f aca="false">ROUND(E984-K984,2)</f>
        <v>652.96</v>
      </c>
      <c r="M984" s="0" t="n">
        <f aca="false">F984/E984</f>
        <v>0.00656910250472085</v>
      </c>
    </row>
    <row r="985" customFormat="false" ht="12.8" hidden="false" customHeight="false" outlineLevel="0" collapsed="false">
      <c r="A985" s="0" t="s">
        <v>1482</v>
      </c>
      <c r="B985" s="0" t="s">
        <v>82</v>
      </c>
      <c r="C985" s="0" t="s">
        <v>36</v>
      </c>
      <c r="D985" s="0" t="s">
        <v>23</v>
      </c>
      <c r="E985" s="0" t="n">
        <v>2154.13</v>
      </c>
      <c r="F985" s="0" t="n">
        <v>281</v>
      </c>
      <c r="G985" s="0" t="str">
        <f aca="false">IF(F985&lt;=30,"Current",IF(F985&lt;=60,"31 to 60 days",IF(F985&lt;=90,"61 to 90 days",IF(F985&lt;=120,"91 to 120 days","Over 120 days"))))</f>
        <v>Over 120 days</v>
      </c>
      <c r="H985" s="0" t="n">
        <f aca="false">VLOOKUP(D985,Rates!$A$4:$B$7,2,FALSE())</f>
        <v>0.115</v>
      </c>
      <c r="I985" s="0" t="n">
        <f aca="false">VLOOKUP(F985,Rates!$D$4:$E$8,2)</f>
        <v>0.85</v>
      </c>
      <c r="J985" s="0" t="n">
        <f aca="false">ROUND(E985*I985,2)</f>
        <v>1831.01</v>
      </c>
      <c r="K985" s="1" t="n">
        <f aca="false">PV(H985/12,F985/30,0,-E985)</f>
        <v>1970.03327035245</v>
      </c>
      <c r="L985" s="0" t="n">
        <f aca="false">ROUND(E985-K985,2)</f>
        <v>184.1</v>
      </c>
      <c r="M985" s="0" t="n">
        <f aca="false">F985/E985</f>
        <v>0.130447094650741</v>
      </c>
    </row>
    <row r="986" customFormat="false" ht="12.8" hidden="false" customHeight="false" outlineLevel="0" collapsed="false">
      <c r="A986" s="0" t="s">
        <v>1483</v>
      </c>
      <c r="B986" s="0" t="s">
        <v>30</v>
      </c>
      <c r="C986" s="0" t="s">
        <v>31</v>
      </c>
      <c r="D986" s="0" t="s">
        <v>20</v>
      </c>
      <c r="E986" s="0" t="n">
        <v>22598.65</v>
      </c>
      <c r="F986" s="0" t="n">
        <v>302</v>
      </c>
      <c r="G986" s="0" t="str">
        <f aca="false">IF(F986&lt;=30,"Current",IF(F986&lt;=60,"31 to 60 days",IF(F986&lt;=90,"61 to 90 days",IF(F986&lt;=120,"91 to 120 days","Over 120 days"))))</f>
        <v>Over 120 days</v>
      </c>
      <c r="H986" s="0" t="n">
        <f aca="false">VLOOKUP(D986,Rates!$A$4:$B$7,2,FALSE())</f>
        <v>0.05</v>
      </c>
      <c r="I986" s="0" t="n">
        <f aca="false">VLOOKUP(F986,Rates!$D$4:$E$8,2)</f>
        <v>0.85</v>
      </c>
      <c r="J986" s="0" t="n">
        <f aca="false">ROUND(E986*I986,2)</f>
        <v>19208.85</v>
      </c>
      <c r="K986" s="1" t="n">
        <f aca="false">PV(H986/12,F986/30,0,-E986)</f>
        <v>21672.2549299891</v>
      </c>
      <c r="L986" s="0" t="n">
        <f aca="false">ROUND(E986-K986,2)</f>
        <v>926.4</v>
      </c>
      <c r="M986" s="0" t="n">
        <f aca="false">F986/E986</f>
        <v>0.0133636301283484</v>
      </c>
    </row>
    <row r="987" customFormat="false" ht="12.8" hidden="false" customHeight="false" outlineLevel="0" collapsed="false">
      <c r="A987" s="0" t="s">
        <v>1484</v>
      </c>
      <c r="B987" s="0" t="s">
        <v>30</v>
      </c>
      <c r="C987" s="0" t="s">
        <v>31</v>
      </c>
      <c r="D987" s="0" t="s">
        <v>20</v>
      </c>
      <c r="E987" s="0" t="n">
        <v>27316.17</v>
      </c>
      <c r="F987" s="0" t="n">
        <v>395</v>
      </c>
      <c r="G987" s="0" t="str">
        <f aca="false">IF(F987&lt;=30,"Current",IF(F987&lt;=60,"31 to 60 days",IF(F987&lt;=90,"61 to 90 days",IF(F987&lt;=120,"91 to 120 days","Over 120 days"))))</f>
        <v>Over 120 days</v>
      </c>
      <c r="H987" s="0" t="n">
        <f aca="false">VLOOKUP(D987,Rates!$A$4:$B$7,2,FALSE())</f>
        <v>0.05</v>
      </c>
      <c r="I987" s="0" t="n">
        <f aca="false">VLOOKUP(F987,Rates!$D$4:$E$8,2)</f>
        <v>0.85</v>
      </c>
      <c r="J987" s="0" t="n">
        <f aca="false">ROUND(E987*I987,2)</f>
        <v>23218.74</v>
      </c>
      <c r="K987" s="1" t="n">
        <f aca="false">PV(H987/12,F987/30,0,-E987)</f>
        <v>25860.8877262091</v>
      </c>
      <c r="L987" s="0" t="n">
        <f aca="false">ROUND(E987-K987,2)</f>
        <v>1455.28</v>
      </c>
      <c r="M987" s="0" t="n">
        <f aca="false">F987/E987</f>
        <v>0.0144602995222244</v>
      </c>
    </row>
    <row r="988" customFormat="false" ht="12.8" hidden="false" customHeight="false" outlineLevel="0" collapsed="false">
      <c r="A988" s="0" t="s">
        <v>1485</v>
      </c>
      <c r="B988" s="0" t="s">
        <v>1486</v>
      </c>
      <c r="C988" s="0" t="s">
        <v>42</v>
      </c>
      <c r="D988" s="0" t="s">
        <v>16</v>
      </c>
      <c r="E988" s="0" t="n">
        <v>18560.42</v>
      </c>
      <c r="F988" s="0" t="n">
        <v>122</v>
      </c>
      <c r="G988" s="0" t="str">
        <f aca="false">IF(F988&lt;=30,"Current",IF(F988&lt;=60,"31 to 60 days",IF(F988&lt;=90,"61 to 90 days",IF(F988&lt;=120,"91 to 120 days","Over 120 days"))))</f>
        <v>Over 120 days</v>
      </c>
      <c r="H988" s="0" t="n">
        <f aca="false">VLOOKUP(D988,Rates!$A$4:$B$7,2,FALSE())</f>
        <v>0.085</v>
      </c>
      <c r="I988" s="0" t="n">
        <f aca="false">VLOOKUP(F988,Rates!$D$4:$E$8,2)</f>
        <v>0.85</v>
      </c>
      <c r="J988" s="0" t="n">
        <f aca="false">ROUND(E988*I988,2)</f>
        <v>15776.36</v>
      </c>
      <c r="K988" s="1" t="n">
        <f aca="false">PV(H988/12,F988/30,0,-E988)</f>
        <v>18035.2349428004</v>
      </c>
      <c r="L988" s="0" t="n">
        <f aca="false">ROUND(E988-K988,2)</f>
        <v>525.19</v>
      </c>
      <c r="M988" s="0" t="n">
        <f aca="false">F988/E988</f>
        <v>0.00657312711673551</v>
      </c>
    </row>
    <row r="989" customFormat="false" ht="12.8" hidden="false" customHeight="false" outlineLevel="0" collapsed="false">
      <c r="A989" s="0" t="s">
        <v>1487</v>
      </c>
      <c r="B989" s="0" t="s">
        <v>33</v>
      </c>
      <c r="C989" s="0" t="s">
        <v>26</v>
      </c>
      <c r="D989" s="0" t="s">
        <v>20</v>
      </c>
      <c r="E989" s="0" t="n">
        <v>0</v>
      </c>
      <c r="F989" s="0" t="n">
        <v>162</v>
      </c>
      <c r="G989" s="0" t="str">
        <f aca="false">IF(F989&lt;=30,"Current",IF(F989&lt;=60,"31 to 60 days",IF(F989&lt;=90,"61 to 90 days",IF(F989&lt;=120,"91 to 120 days","Over 120 days"))))</f>
        <v>Over 120 days</v>
      </c>
      <c r="H989" s="0" t="n">
        <f aca="false">VLOOKUP(D989,Rates!$A$4:$B$7,2,FALSE())</f>
        <v>0.05</v>
      </c>
      <c r="I989" s="0" t="n">
        <f aca="false">VLOOKUP(F989,Rates!$D$4:$E$8,2)</f>
        <v>0.85</v>
      </c>
      <c r="J989" s="0" t="n">
        <f aca="false">ROUND(E989*I989,2)</f>
        <v>0</v>
      </c>
      <c r="K989" s="1" t="n">
        <f aca="false">PV(H989/12,F989/30,0,-E989)</f>
        <v>-0</v>
      </c>
      <c r="L989" s="0" t="n">
        <f aca="false">ROUND(E989-K989,2)</f>
        <v>0</v>
      </c>
      <c r="M989" s="0" t="e">
        <f aca="false">F989/E989</f>
        <v>#DIV/0!</v>
      </c>
    </row>
    <row r="990" customFormat="false" ht="12.8" hidden="false" customHeight="false" outlineLevel="0" collapsed="false">
      <c r="A990" s="0" t="s">
        <v>1488</v>
      </c>
      <c r="B990" s="0" t="s">
        <v>239</v>
      </c>
      <c r="C990" s="0" t="s">
        <v>42</v>
      </c>
      <c r="D990" s="0" t="s">
        <v>23</v>
      </c>
      <c r="E990" s="0" t="n">
        <v>16553.46</v>
      </c>
      <c r="F990" s="0" t="n">
        <v>151</v>
      </c>
      <c r="G990" s="0" t="str">
        <f aca="false">IF(F990&lt;=30,"Current",IF(F990&lt;=60,"31 to 60 days",IF(F990&lt;=90,"61 to 90 days",IF(F990&lt;=120,"91 to 120 days","Over 120 days"))))</f>
        <v>Over 120 days</v>
      </c>
      <c r="H990" s="0" t="n">
        <f aca="false">VLOOKUP(D990,Rates!$A$4:$B$7,2,FALSE())</f>
        <v>0.115</v>
      </c>
      <c r="I990" s="0" t="n">
        <f aca="false">VLOOKUP(F990,Rates!$D$4:$E$8,2)</f>
        <v>0.85</v>
      </c>
      <c r="J990" s="0" t="n">
        <f aca="false">ROUND(E990*I990,2)</f>
        <v>14070.44</v>
      </c>
      <c r="K990" s="1" t="n">
        <f aca="false">PV(H990/12,F990/30,0,-E990)</f>
        <v>15777.5603183668</v>
      </c>
      <c r="L990" s="0" t="n">
        <f aca="false">ROUND(E990-K990,2)</f>
        <v>775.9</v>
      </c>
      <c r="M990" s="0" t="n">
        <f aca="false">F990/E990</f>
        <v>0.00912196000111155</v>
      </c>
    </row>
    <row r="991" customFormat="false" ht="12.8" hidden="false" customHeight="false" outlineLevel="0" collapsed="false">
      <c r="A991" s="0" t="s">
        <v>1489</v>
      </c>
      <c r="B991" s="0" t="s">
        <v>1490</v>
      </c>
      <c r="C991" s="0" t="s">
        <v>36</v>
      </c>
      <c r="D991" s="0" t="s">
        <v>49</v>
      </c>
      <c r="E991" s="0" t="n">
        <v>9754.49</v>
      </c>
      <c r="F991" s="0" t="n">
        <v>246</v>
      </c>
      <c r="G991" s="0" t="str">
        <f aca="false">IF(F991&lt;=30,"Current",IF(F991&lt;=60,"31 to 60 days",IF(F991&lt;=90,"61 to 90 days",IF(F991&lt;=120,"91 to 120 days","Over 120 days"))))</f>
        <v>Over 120 days</v>
      </c>
      <c r="H991" s="0" t="n">
        <f aca="false">VLOOKUP(D991,Rates!$A$4:$B$7,2,FALSE())</f>
        <v>0.02</v>
      </c>
      <c r="I991" s="0" t="n">
        <f aca="false">VLOOKUP(F991,Rates!$D$4:$E$8,2)</f>
        <v>0.85</v>
      </c>
      <c r="J991" s="0" t="n">
        <f aca="false">ROUND(E991*I991,2)</f>
        <v>8291.32</v>
      </c>
      <c r="K991" s="1" t="n">
        <f aca="false">PV(H991/12,F991/30,0,-E991)</f>
        <v>9622.19492573223</v>
      </c>
      <c r="L991" s="0" t="n">
        <f aca="false">ROUND(E991-K991,2)</f>
        <v>132.3</v>
      </c>
      <c r="M991" s="0" t="n">
        <f aca="false">F991/E991</f>
        <v>0.0252191554863453</v>
      </c>
    </row>
    <row r="992" customFormat="false" ht="12.8" hidden="false" customHeight="false" outlineLevel="0" collapsed="false">
      <c r="A992" s="0" t="s">
        <v>1491</v>
      </c>
      <c r="B992" s="0" t="s">
        <v>51</v>
      </c>
      <c r="C992" s="0" t="s">
        <v>36</v>
      </c>
      <c r="D992" s="0" t="s">
        <v>20</v>
      </c>
      <c r="E992" s="0" t="n">
        <v>14203.32</v>
      </c>
      <c r="F992" s="0" t="n">
        <v>7</v>
      </c>
      <c r="G992" s="0" t="str">
        <f aca="false">IF(F992&lt;=30,"Current",IF(F992&lt;=60,"31 to 60 days",IF(F992&lt;=90,"61 to 90 days",IF(F992&lt;=120,"91 to 120 days","Over 120 days"))))</f>
        <v>Current</v>
      </c>
      <c r="H992" s="0" t="n">
        <f aca="false">VLOOKUP(D992,Rates!$A$4:$B$7,2,FALSE())</f>
        <v>0.05</v>
      </c>
      <c r="I992" s="0" t="n">
        <f aca="false">VLOOKUP(F992,Rates!$D$4:$E$8,2)</f>
        <v>0.02</v>
      </c>
      <c r="J992" s="0" t="n">
        <f aca="false">ROUND(E992*I992,2)</f>
        <v>284.07</v>
      </c>
      <c r="K992" s="1" t="n">
        <f aca="false">PV(H992/12,F992/30,0,-E992)</f>
        <v>14189.5465878812</v>
      </c>
      <c r="L992" s="0" t="n">
        <f aca="false">ROUND(E992-K992,2)</f>
        <v>13.77</v>
      </c>
      <c r="M992" s="0" t="n">
        <f aca="false">F992/E992</f>
        <v>0.000492842518509757</v>
      </c>
    </row>
    <row r="993" customFormat="false" ht="12.8" hidden="false" customHeight="false" outlineLevel="0" collapsed="false">
      <c r="A993" s="0" t="s">
        <v>1492</v>
      </c>
      <c r="B993" s="0" t="s">
        <v>1493</v>
      </c>
      <c r="C993" s="0" t="s">
        <v>31</v>
      </c>
      <c r="D993" s="0" t="s">
        <v>49</v>
      </c>
      <c r="E993" s="0" t="n">
        <v>13102.23</v>
      </c>
      <c r="F993" s="0" t="n">
        <v>101</v>
      </c>
      <c r="G993" s="0" t="str">
        <f aca="false">IF(F993&lt;=30,"Current",IF(F993&lt;=60,"31 to 60 days",IF(F993&lt;=90,"61 to 90 days",IF(F993&lt;=120,"91 to 120 days","Over 120 days"))))</f>
        <v>91 to 120 days</v>
      </c>
      <c r="H993" s="0" t="n">
        <f aca="false">VLOOKUP(D993,Rates!$A$4:$B$7,2,FALSE())</f>
        <v>0.02</v>
      </c>
      <c r="I993" s="0" t="n">
        <f aca="false">VLOOKUP(F993,Rates!$D$4:$E$8,2)</f>
        <v>0.5</v>
      </c>
      <c r="J993" s="0" t="n">
        <f aca="false">ROUND(E993*I993,2)</f>
        <v>6551.12</v>
      </c>
      <c r="K993" s="1" t="n">
        <f aca="false">PV(H993/12,F993/30,0,-E993)</f>
        <v>13028.9786602413</v>
      </c>
      <c r="L993" s="0" t="n">
        <f aca="false">ROUND(E993-K993,2)</f>
        <v>73.25</v>
      </c>
      <c r="M993" s="0" t="n">
        <f aca="false">F993/E993</f>
        <v>0.00770861143484735</v>
      </c>
    </row>
    <row r="994" customFormat="false" ht="12.8" hidden="false" customHeight="false" outlineLevel="0" collapsed="false">
      <c r="A994" s="0" t="s">
        <v>1494</v>
      </c>
      <c r="B994" s="0" t="s">
        <v>1495</v>
      </c>
      <c r="C994" s="0" t="s">
        <v>31</v>
      </c>
      <c r="D994" s="0" t="s">
        <v>16</v>
      </c>
      <c r="E994" s="0" t="n">
        <v>10208.78</v>
      </c>
      <c r="F994" s="0" t="n">
        <v>74</v>
      </c>
      <c r="G994" s="0" t="str">
        <f aca="false">IF(F994&lt;=30,"Current",IF(F994&lt;=60,"31 to 60 days",IF(F994&lt;=90,"61 to 90 days",IF(F994&lt;=120,"91 to 120 days","Over 120 days"))))</f>
        <v>61 to 90 days</v>
      </c>
      <c r="H994" s="0" t="n">
        <f aca="false">VLOOKUP(D994,Rates!$A$4:$B$7,2,FALSE())</f>
        <v>0.085</v>
      </c>
      <c r="I994" s="0" t="n">
        <f aca="false">VLOOKUP(F994,Rates!$D$4:$E$8,2)</f>
        <v>0.25</v>
      </c>
      <c r="J994" s="0" t="n">
        <f aca="false">ROUND(E994*I994,2)</f>
        <v>2552.2</v>
      </c>
      <c r="K994" s="1" t="n">
        <f aca="false">PV(H994/12,F994/30,0,-E994)</f>
        <v>10032.5770406287</v>
      </c>
      <c r="L994" s="0" t="n">
        <f aca="false">ROUND(E994-K994,2)</f>
        <v>176.2</v>
      </c>
      <c r="M994" s="0" t="n">
        <f aca="false">F994/E994</f>
        <v>0.00724866242587263</v>
      </c>
    </row>
    <row r="995" customFormat="false" ht="12.8" hidden="false" customHeight="false" outlineLevel="0" collapsed="false">
      <c r="A995" s="0" t="s">
        <v>1496</v>
      </c>
      <c r="B995" s="0" t="s">
        <v>33</v>
      </c>
      <c r="C995" s="0" t="s">
        <v>26</v>
      </c>
      <c r="D995" s="0" t="s">
        <v>20</v>
      </c>
      <c r="E995" s="0" t="n">
        <v>26992.13</v>
      </c>
      <c r="F995" s="0" t="n">
        <v>364</v>
      </c>
      <c r="G995" s="0" t="str">
        <f aca="false">IF(F995&lt;=30,"Current",IF(F995&lt;=60,"31 to 60 days",IF(F995&lt;=90,"61 to 90 days",IF(F995&lt;=120,"91 to 120 days","Over 120 days"))))</f>
        <v>Over 120 days</v>
      </c>
      <c r="H995" s="0" t="n">
        <f aca="false">VLOOKUP(D995,Rates!$A$4:$B$7,2,FALSE())</f>
        <v>0.05</v>
      </c>
      <c r="I995" s="0" t="n">
        <f aca="false">VLOOKUP(F995,Rates!$D$4:$E$8,2)</f>
        <v>0.85</v>
      </c>
      <c r="J995" s="0" t="n">
        <f aca="false">ROUND(E995*I995,2)</f>
        <v>22943.31</v>
      </c>
      <c r="K995" s="1" t="n">
        <f aca="false">PV(H995/12,F995/30,0,-E995)</f>
        <v>25664.1433906258</v>
      </c>
      <c r="L995" s="0" t="n">
        <f aca="false">ROUND(E995-K995,2)</f>
        <v>1327.99</v>
      </c>
      <c r="M995" s="0" t="n">
        <f aca="false">F995/E995</f>
        <v>0.0134854122294165</v>
      </c>
    </row>
    <row r="996" customFormat="false" ht="12.8" hidden="false" customHeight="false" outlineLevel="0" collapsed="false">
      <c r="A996" s="0" t="s">
        <v>1497</v>
      </c>
      <c r="B996" s="0" t="s">
        <v>18</v>
      </c>
      <c r="C996" s="0" t="s">
        <v>19</v>
      </c>
      <c r="D996" s="0" t="s">
        <v>20</v>
      </c>
      <c r="E996" s="0" t="n">
        <v>42815.79</v>
      </c>
      <c r="F996" s="0" t="n">
        <v>344</v>
      </c>
      <c r="G996" s="0" t="str">
        <f aca="false">IF(F996&lt;=30,"Current",IF(F996&lt;=60,"31 to 60 days",IF(F996&lt;=90,"61 to 90 days",IF(F996&lt;=120,"91 to 120 days","Over 120 days"))))</f>
        <v>Over 120 days</v>
      </c>
      <c r="H996" s="0" t="n">
        <f aca="false">VLOOKUP(D996,Rates!$A$4:$B$7,2,FALSE())</f>
        <v>0.05</v>
      </c>
      <c r="I996" s="0" t="n">
        <f aca="false">VLOOKUP(F996,Rates!$D$4:$E$8,2)</f>
        <v>0.85</v>
      </c>
      <c r="J996" s="0" t="n">
        <f aca="false">ROUND(E996*I996,2)</f>
        <v>36393.42</v>
      </c>
      <c r="K996" s="1" t="n">
        <f aca="false">PV(H996/12,F996/30,0,-E996)</f>
        <v>40822.2976604958</v>
      </c>
      <c r="L996" s="0" t="n">
        <f aca="false">ROUND(E996-K996,2)</f>
        <v>1993.49</v>
      </c>
      <c r="M996" s="0" t="n">
        <f aca="false">F996/E996</f>
        <v>0.00803441907763468</v>
      </c>
    </row>
    <row r="997" customFormat="false" ht="12.8" hidden="false" customHeight="false" outlineLevel="0" collapsed="false">
      <c r="A997" s="0" t="s">
        <v>1498</v>
      </c>
      <c r="B997" s="0" t="s">
        <v>51</v>
      </c>
      <c r="C997" s="0" t="s">
        <v>36</v>
      </c>
      <c r="D997" s="0" t="s">
        <v>20</v>
      </c>
      <c r="E997" s="0" t="n">
        <v>27638.2</v>
      </c>
      <c r="F997" s="0" t="n">
        <v>271</v>
      </c>
      <c r="G997" s="0" t="str">
        <f aca="false">IF(F997&lt;=30,"Current",IF(F997&lt;=60,"31 to 60 days",IF(F997&lt;=90,"61 to 90 days",IF(F997&lt;=120,"91 to 120 days","Over 120 days"))))</f>
        <v>Over 120 days</v>
      </c>
      <c r="H997" s="0" t="n">
        <f aca="false">VLOOKUP(D997,Rates!$A$4:$B$7,2,FALSE())</f>
        <v>0.05</v>
      </c>
      <c r="I997" s="0" t="n">
        <f aca="false">VLOOKUP(F997,Rates!$D$4:$E$8,2)</f>
        <v>0.85</v>
      </c>
      <c r="J997" s="0" t="n">
        <f aca="false">ROUND(E997*I997,2)</f>
        <v>23492.47</v>
      </c>
      <c r="K997" s="1" t="n">
        <f aca="false">PV(H997/12,F997/30,0,-E997)</f>
        <v>26619.3443341961</v>
      </c>
      <c r="L997" s="0" t="n">
        <f aca="false">ROUND(E997-K997,2)</f>
        <v>1018.86</v>
      </c>
      <c r="M997" s="0" t="n">
        <f aca="false">F997/E997</f>
        <v>0.00980526951827543</v>
      </c>
    </row>
    <row r="998" customFormat="false" ht="12.8" hidden="false" customHeight="false" outlineLevel="0" collapsed="false">
      <c r="A998" s="0" t="s">
        <v>1499</v>
      </c>
      <c r="B998" s="0" t="s">
        <v>1500</v>
      </c>
      <c r="C998" s="0" t="s">
        <v>31</v>
      </c>
      <c r="D998" s="0" t="s">
        <v>49</v>
      </c>
      <c r="E998" s="0" t="n">
        <v>39472.9</v>
      </c>
      <c r="F998" s="0" t="n">
        <v>5</v>
      </c>
      <c r="G998" s="0" t="str">
        <f aca="false">IF(F998&lt;=30,"Current",IF(F998&lt;=60,"31 to 60 days",IF(F998&lt;=90,"61 to 90 days",IF(F998&lt;=120,"91 to 120 days","Over 120 days"))))</f>
        <v>Current</v>
      </c>
      <c r="H998" s="0" t="n">
        <f aca="false">VLOOKUP(D998,Rates!$A$4:$B$7,2,FALSE())</f>
        <v>0.02</v>
      </c>
      <c r="I998" s="0" t="n">
        <f aca="false">VLOOKUP(F998,Rates!$D$4:$E$8,2)</f>
        <v>0.02</v>
      </c>
      <c r="J998" s="0" t="n">
        <f aca="false">ROUND(E998*I998,2)</f>
        <v>789.46</v>
      </c>
      <c r="K998" s="1" t="n">
        <f aca="false">PV(H998/12,F998/30,0,-E998)</f>
        <v>39461.9459528604</v>
      </c>
      <c r="L998" s="0" t="n">
        <f aca="false">ROUND(E998-K998,2)</f>
        <v>10.95</v>
      </c>
      <c r="M998" s="0" t="n">
        <f aca="false">F998/E998</f>
        <v>0.000126669183161105</v>
      </c>
    </row>
    <row r="999" customFormat="false" ht="12.8" hidden="false" customHeight="false" outlineLevel="0" collapsed="false">
      <c r="A999" s="0" t="s">
        <v>1501</v>
      </c>
      <c r="B999" s="0" t="s">
        <v>28</v>
      </c>
      <c r="C999" s="0" t="s">
        <v>15</v>
      </c>
      <c r="D999" s="0" t="s">
        <v>20</v>
      </c>
      <c r="E999" s="0" t="n">
        <v>40741.19</v>
      </c>
      <c r="F999" s="0" t="n">
        <v>112</v>
      </c>
      <c r="G999" s="0" t="str">
        <f aca="false">IF(F999&lt;=30,"Current",IF(F999&lt;=60,"31 to 60 days",IF(F999&lt;=90,"61 to 90 days",IF(F999&lt;=120,"91 to 120 days","Over 120 days"))))</f>
        <v>91 to 120 days</v>
      </c>
      <c r="H999" s="0" t="n">
        <f aca="false">VLOOKUP(D999,Rates!$A$4:$B$7,2,FALSE())</f>
        <v>0.05</v>
      </c>
      <c r="I999" s="0" t="n">
        <f aca="false">VLOOKUP(F999,Rates!$D$4:$E$8,2)</f>
        <v>0.5</v>
      </c>
      <c r="J999" s="0" t="n">
        <f aca="false">ROUND(E999*I999,2)</f>
        <v>20370.6</v>
      </c>
      <c r="K999" s="1" t="n">
        <f aca="false">PV(H999/12,F999/30,0,-E999)</f>
        <v>40113.6382352015</v>
      </c>
      <c r="L999" s="0" t="n">
        <f aca="false">ROUND(E999-K999,2)</f>
        <v>627.55</v>
      </c>
      <c r="M999" s="0" t="n">
        <f aca="false">F999/E999</f>
        <v>0.00274906059444999</v>
      </c>
    </row>
    <row r="1000" customFormat="false" ht="12.8" hidden="false" customHeight="false" outlineLevel="0" collapsed="false">
      <c r="A1000" s="0" t="s">
        <v>1502</v>
      </c>
      <c r="B1000" s="0" t="s">
        <v>1503</v>
      </c>
      <c r="C1000" s="0" t="s">
        <v>42</v>
      </c>
      <c r="D1000" s="0" t="s">
        <v>49</v>
      </c>
      <c r="E1000" s="0" t="n">
        <v>32369.62</v>
      </c>
      <c r="F1000" s="0" t="n">
        <v>193</v>
      </c>
      <c r="G1000" s="0" t="str">
        <f aca="false">IF(F1000&lt;=30,"Current",IF(F1000&lt;=60,"31 to 60 days",IF(F1000&lt;=90,"61 to 90 days",IF(F1000&lt;=120,"91 to 120 days","Over 120 days"))))</f>
        <v>Over 120 days</v>
      </c>
      <c r="H1000" s="0" t="n">
        <f aca="false">VLOOKUP(D1000,Rates!$A$4:$B$7,2,FALSE())</f>
        <v>0.02</v>
      </c>
      <c r="I1000" s="0" t="n">
        <f aca="false">VLOOKUP(F1000,Rates!$D$4:$E$8,2)</f>
        <v>0.85</v>
      </c>
      <c r="J1000" s="0" t="n">
        <f aca="false">ROUND(E1000*I1000,2)</f>
        <v>27514.18</v>
      </c>
      <c r="K1000" s="1" t="n">
        <f aca="false">PV(H1000/12,F1000/30,0,-E1000)</f>
        <v>32024.6856399499</v>
      </c>
      <c r="L1000" s="0" t="n">
        <f aca="false">ROUND(E1000-K1000,2)</f>
        <v>344.93</v>
      </c>
      <c r="M1000" s="0" t="n">
        <f aca="false">F1000/E1000</f>
        <v>0.00596238077555436</v>
      </c>
    </row>
    <row r="1001" customFormat="false" ht="12.8" hidden="false" customHeight="false" outlineLevel="0" collapsed="false">
      <c r="A1001" s="0" t="s">
        <v>1504</v>
      </c>
      <c r="B1001" s="0" t="s">
        <v>1505</v>
      </c>
      <c r="C1001" s="0" t="s">
        <v>31</v>
      </c>
      <c r="D1001" s="0" t="s">
        <v>49</v>
      </c>
      <c r="E1001" s="0" t="n">
        <v>11376.64</v>
      </c>
      <c r="F1001" s="0" t="n">
        <v>214</v>
      </c>
      <c r="G1001" s="0" t="str">
        <f aca="false">IF(F1001&lt;=30,"Current",IF(F1001&lt;=60,"31 to 60 days",IF(F1001&lt;=90,"61 to 90 days",IF(F1001&lt;=120,"91 to 120 days","Over 120 days"))))</f>
        <v>Over 120 days</v>
      </c>
      <c r="H1001" s="0" t="n">
        <f aca="false">VLOOKUP(D1001,Rates!$A$4:$B$7,2,FALSE())</f>
        <v>0.02</v>
      </c>
      <c r="I1001" s="0" t="n">
        <f aca="false">VLOOKUP(F1001,Rates!$D$4:$E$8,2)</f>
        <v>0.85</v>
      </c>
      <c r="J1001" s="0" t="n">
        <f aca="false">ROUND(E1001*I1001,2)</f>
        <v>9670.14</v>
      </c>
      <c r="K1001" s="1" t="n">
        <f aca="false">PV(H1001/12,F1001/30,0,-E1001)</f>
        <v>11242.2964915703</v>
      </c>
      <c r="L1001" s="0" t="n">
        <f aca="false">ROUND(E1001-K1001,2)</f>
        <v>134.34</v>
      </c>
      <c r="M1001" s="0" t="n">
        <f aca="false">F1001/E1001</f>
        <v>0.0188104747974798</v>
      </c>
    </row>
    <row r="1002" customFormat="false" ht="12.8" hidden="false" customHeight="false" outlineLevel="0" collapsed="false">
      <c r="A1002" s="0" t="s">
        <v>1506</v>
      </c>
      <c r="B1002" s="0" t="s">
        <v>347</v>
      </c>
      <c r="C1002" s="0" t="s">
        <v>42</v>
      </c>
      <c r="D1002" s="0" t="s">
        <v>23</v>
      </c>
      <c r="E1002" s="0" t="n">
        <v>2225.73</v>
      </c>
      <c r="F1002" s="0" t="n">
        <v>241</v>
      </c>
      <c r="G1002" s="0" t="str">
        <f aca="false">IF(F1002&lt;=30,"Current",IF(F1002&lt;=60,"31 to 60 days",IF(F1002&lt;=90,"61 to 90 days",IF(F1002&lt;=120,"91 to 120 days","Over 120 days"))))</f>
        <v>Over 120 days</v>
      </c>
      <c r="H1002" s="0" t="n">
        <f aca="false">VLOOKUP(D1002,Rates!$A$4:$B$7,2,FALSE())</f>
        <v>0.115</v>
      </c>
      <c r="I1002" s="0" t="n">
        <f aca="false">VLOOKUP(F1002,Rates!$D$4:$E$8,2)</f>
        <v>0.85</v>
      </c>
      <c r="J1002" s="0" t="n">
        <f aca="false">ROUND(E1002*I1002,2)</f>
        <v>1891.87</v>
      </c>
      <c r="K1002" s="1" t="n">
        <f aca="false">PV(H1002/12,F1002/30,0,-E1002)</f>
        <v>2061.56497786454</v>
      </c>
      <c r="L1002" s="0" t="n">
        <f aca="false">ROUND(E1002-K1002,2)</f>
        <v>164.17</v>
      </c>
      <c r="M1002" s="0" t="n">
        <f aca="false">F1002/E1002</f>
        <v>0.1082790814699</v>
      </c>
    </row>
    <row r="1003" customFormat="false" ht="12.8" hidden="false" customHeight="false" outlineLevel="0" collapsed="false">
      <c r="A1003" s="0" t="s">
        <v>1507</v>
      </c>
      <c r="B1003" s="0" t="s">
        <v>1007</v>
      </c>
      <c r="C1003" s="0" t="s">
        <v>19</v>
      </c>
      <c r="D1003" s="0" t="s">
        <v>23</v>
      </c>
      <c r="E1003" s="0" t="n">
        <v>14551.39</v>
      </c>
      <c r="F1003" s="0" t="n">
        <v>317</v>
      </c>
      <c r="G1003" s="0" t="str">
        <f aca="false">IF(F1003&lt;=30,"Current",IF(F1003&lt;=60,"31 to 60 days",IF(F1003&lt;=90,"61 to 90 days",IF(F1003&lt;=120,"91 to 120 days","Over 120 days"))))</f>
        <v>Over 120 days</v>
      </c>
      <c r="H1003" s="0" t="n">
        <f aca="false">VLOOKUP(D1003,Rates!$A$4:$B$7,2,FALSE())</f>
        <v>0.115</v>
      </c>
      <c r="I1003" s="0" t="n">
        <f aca="false">VLOOKUP(F1003,Rates!$D$4:$E$8,2)</f>
        <v>0.85</v>
      </c>
      <c r="J1003" s="0" t="n">
        <f aca="false">ROUND(E1003*I1003,2)</f>
        <v>12368.68</v>
      </c>
      <c r="K1003" s="1" t="n">
        <f aca="false">PV(H1003/12,F1003/30,0,-E1003)</f>
        <v>13156.3532349655</v>
      </c>
      <c r="L1003" s="0" t="n">
        <f aca="false">ROUND(E1003-K1003,2)</f>
        <v>1395.04</v>
      </c>
      <c r="M1003" s="0" t="n">
        <f aca="false">F1003/E1003</f>
        <v>0.0217848604153967</v>
      </c>
    </row>
    <row r="1004" customFormat="false" ht="12.8" hidden="false" customHeight="false" outlineLevel="0" collapsed="false">
      <c r="A1004" s="0" t="s">
        <v>1508</v>
      </c>
      <c r="B1004" s="0" t="s">
        <v>1509</v>
      </c>
      <c r="C1004" s="0" t="s">
        <v>19</v>
      </c>
      <c r="D1004" s="0" t="s">
        <v>49</v>
      </c>
      <c r="E1004" s="0" t="n">
        <v>35904.81</v>
      </c>
      <c r="F1004" s="0" t="n">
        <v>236</v>
      </c>
      <c r="G1004" s="0" t="str">
        <f aca="false">IF(F1004&lt;=30,"Current",IF(F1004&lt;=60,"31 to 60 days",IF(F1004&lt;=90,"61 to 90 days",IF(F1004&lt;=120,"91 to 120 days","Over 120 days"))))</f>
        <v>Over 120 days</v>
      </c>
      <c r="H1004" s="0" t="n">
        <f aca="false">VLOOKUP(D1004,Rates!$A$4:$B$7,2,FALSE())</f>
        <v>0.02</v>
      </c>
      <c r="I1004" s="0" t="n">
        <f aca="false">VLOOKUP(F1004,Rates!$D$4:$E$8,2)</f>
        <v>0.85</v>
      </c>
      <c r="J1004" s="0" t="n">
        <f aca="false">ROUND(E1004*I1004,2)</f>
        <v>30519.09</v>
      </c>
      <c r="K1004" s="1" t="n">
        <f aca="false">PV(H1004/12,F1004/30,0,-E1004)</f>
        <v>35437.5174001096</v>
      </c>
      <c r="L1004" s="0" t="n">
        <f aca="false">ROUND(E1004-K1004,2)</f>
        <v>467.29</v>
      </c>
      <c r="M1004" s="0" t="n">
        <f aca="false">F1004/E1004</f>
        <v>0.00657293549248694</v>
      </c>
    </row>
    <row r="1005" customFormat="false" ht="12.8" hidden="false" customHeight="false" outlineLevel="0" collapsed="false">
      <c r="A1005" s="0" t="s">
        <v>1510</v>
      </c>
      <c r="B1005" s="0" t="s">
        <v>97</v>
      </c>
      <c r="C1005" s="0" t="s">
        <v>42</v>
      </c>
      <c r="D1005" s="0" t="s">
        <v>20</v>
      </c>
      <c r="E1005" s="0" t="n">
        <v>14973.6</v>
      </c>
      <c r="F1005" s="0" t="n">
        <v>281</v>
      </c>
      <c r="G1005" s="0" t="str">
        <f aca="false">IF(F1005&lt;=30,"Current",IF(F1005&lt;=60,"31 to 60 days",IF(F1005&lt;=90,"61 to 90 days",IF(F1005&lt;=120,"91 to 120 days","Over 120 days"))))</f>
        <v>Over 120 days</v>
      </c>
      <c r="H1005" s="0" t="n">
        <f aca="false">VLOOKUP(D1005,Rates!$A$4:$B$7,2,FALSE())</f>
        <v>0.05</v>
      </c>
      <c r="I1005" s="0" t="n">
        <f aca="false">VLOOKUP(F1005,Rates!$D$4:$E$8,2)</f>
        <v>0.85</v>
      </c>
      <c r="J1005" s="0" t="n">
        <f aca="false">ROUND(E1005*I1005,2)</f>
        <v>12727.56</v>
      </c>
      <c r="K1005" s="1" t="n">
        <f aca="false">PV(H1005/12,F1005/30,0,-E1005)</f>
        <v>14401.6380764797</v>
      </c>
      <c r="L1005" s="0" t="n">
        <f aca="false">ROUND(E1005-K1005,2)</f>
        <v>571.96</v>
      </c>
      <c r="M1005" s="0" t="n">
        <f aca="false">F1005/E1005</f>
        <v>0.0187663621306833</v>
      </c>
    </row>
    <row r="1006" customFormat="false" ht="12.8" hidden="false" customHeight="false" outlineLevel="0" collapsed="false">
      <c r="A1006" s="0" t="s">
        <v>1511</v>
      </c>
      <c r="B1006" s="0" t="s">
        <v>18</v>
      </c>
      <c r="C1006" s="0" t="s">
        <v>19</v>
      </c>
      <c r="D1006" s="0" t="s">
        <v>20</v>
      </c>
      <c r="E1006" s="0" t="n">
        <v>22813.64</v>
      </c>
      <c r="F1006" s="0" t="n">
        <v>32</v>
      </c>
      <c r="G1006" s="0" t="str">
        <f aca="false">IF(F1006&lt;=30,"Current",IF(F1006&lt;=60,"31 to 60 days",IF(F1006&lt;=90,"61 to 90 days",IF(F1006&lt;=120,"91 to 120 days","Over 120 days"))))</f>
        <v>31 to 60 days</v>
      </c>
      <c r="H1006" s="0" t="n">
        <f aca="false">VLOOKUP(D1006,Rates!$A$4:$B$7,2,FALSE())</f>
        <v>0.05</v>
      </c>
      <c r="I1006" s="0" t="n">
        <f aca="false">VLOOKUP(F1006,Rates!$D$4:$E$8,2)</f>
        <v>0.1</v>
      </c>
      <c r="J1006" s="0" t="n">
        <f aca="false">ROUND(E1006*I1006,2)</f>
        <v>2281.36</v>
      </c>
      <c r="K1006" s="1" t="n">
        <f aca="false">PV(H1006/12,F1006/30,0,-E1006)</f>
        <v>22712.6807501859</v>
      </c>
      <c r="L1006" s="0" t="n">
        <f aca="false">ROUND(E1006-K1006,2)</f>
        <v>100.96</v>
      </c>
      <c r="M1006" s="0" t="n">
        <f aca="false">F1006/E1006</f>
        <v>0.00140266963097515</v>
      </c>
    </row>
    <row r="1007" customFormat="false" ht="12.8" hidden="false" customHeight="false" outlineLevel="0" collapsed="false">
      <c r="A1007" s="0" t="s">
        <v>1512</v>
      </c>
      <c r="B1007" s="0" t="s">
        <v>51</v>
      </c>
      <c r="C1007" s="0" t="s">
        <v>36</v>
      </c>
      <c r="D1007" s="0" t="s">
        <v>20</v>
      </c>
      <c r="E1007" s="0" t="n">
        <v>21814.38</v>
      </c>
      <c r="F1007" s="0" t="n">
        <v>285</v>
      </c>
      <c r="G1007" s="0" t="str">
        <f aca="false">IF(F1007&lt;=30,"Current",IF(F1007&lt;=60,"31 to 60 days",IF(F1007&lt;=90,"61 to 90 days",IF(F1007&lt;=120,"91 to 120 days","Over 120 days"))))</f>
        <v>Over 120 days</v>
      </c>
      <c r="H1007" s="0" t="n">
        <f aca="false">VLOOKUP(D1007,Rates!$A$4:$B$7,2,FALSE())</f>
        <v>0.05</v>
      </c>
      <c r="I1007" s="0" t="n">
        <f aca="false">VLOOKUP(F1007,Rates!$D$4:$E$8,2)</f>
        <v>0.85</v>
      </c>
      <c r="J1007" s="0" t="n">
        <f aca="false">ROUND(E1007*I1007,2)</f>
        <v>18542.22</v>
      </c>
      <c r="K1007" s="1" t="n">
        <f aca="false">PV(H1007/12,F1007/30,0,-E1007)</f>
        <v>20969.4850677194</v>
      </c>
      <c r="L1007" s="0" t="n">
        <f aca="false">ROUND(E1007-K1007,2)</f>
        <v>844.89</v>
      </c>
      <c r="M1007" s="0" t="n">
        <f aca="false">F1007/E1007</f>
        <v>0.0130647765373116</v>
      </c>
    </row>
    <row r="1008" customFormat="false" ht="12.8" hidden="false" customHeight="false" outlineLevel="0" collapsed="false">
      <c r="A1008" s="0" t="s">
        <v>1513</v>
      </c>
      <c r="B1008" s="0" t="s">
        <v>1514</v>
      </c>
      <c r="C1008" s="0" t="s">
        <v>42</v>
      </c>
      <c r="D1008" s="0" t="s">
        <v>49</v>
      </c>
      <c r="E1008" s="0" t="n">
        <v>5191.42</v>
      </c>
      <c r="F1008" s="0" t="n">
        <v>72</v>
      </c>
      <c r="G1008" s="0" t="str">
        <f aca="false">IF(F1008&lt;=30,"Current",IF(F1008&lt;=60,"31 to 60 days",IF(F1008&lt;=90,"61 to 90 days",IF(F1008&lt;=120,"91 to 120 days","Over 120 days"))))</f>
        <v>61 to 90 days</v>
      </c>
      <c r="H1008" s="0" t="n">
        <f aca="false">VLOOKUP(D1008,Rates!$A$4:$B$7,2,FALSE())</f>
        <v>0.02</v>
      </c>
      <c r="I1008" s="0" t="n">
        <f aca="false">VLOOKUP(F1008,Rates!$D$4:$E$8,2)</f>
        <v>0.25</v>
      </c>
      <c r="J1008" s="0" t="n">
        <f aca="false">ROUND(E1008*I1008,2)</f>
        <v>1297.86</v>
      </c>
      <c r="K1008" s="1" t="n">
        <f aca="false">PV(H1008/12,F1008/30,0,-E1008)</f>
        <v>5170.71301259468</v>
      </c>
      <c r="L1008" s="0" t="n">
        <f aca="false">ROUND(E1008-K1008,2)</f>
        <v>20.71</v>
      </c>
      <c r="M1008" s="0" t="n">
        <f aca="false">F1008/E1008</f>
        <v>0.0138690377584553</v>
      </c>
    </row>
    <row r="1009" customFormat="false" ht="12.8" hidden="false" customHeight="false" outlineLevel="0" collapsed="false">
      <c r="A1009" s="0" t="s">
        <v>1515</v>
      </c>
      <c r="B1009" s="0" t="s">
        <v>53</v>
      </c>
      <c r="C1009" s="0" t="s">
        <v>19</v>
      </c>
      <c r="D1009" s="0" t="s">
        <v>23</v>
      </c>
      <c r="E1009" s="0" t="n">
        <v>38354.44</v>
      </c>
      <c r="F1009" s="0" t="n">
        <v>373</v>
      </c>
      <c r="G1009" s="0" t="str">
        <f aca="false">IF(F1009&lt;=30,"Current",IF(F1009&lt;=60,"31 to 60 days",IF(F1009&lt;=90,"61 to 90 days",IF(F1009&lt;=120,"91 to 120 days","Over 120 days"))))</f>
        <v>Over 120 days</v>
      </c>
      <c r="H1009" s="0" t="n">
        <f aca="false">VLOOKUP(D1009,Rates!$A$4:$B$7,2,FALSE())</f>
        <v>0.115</v>
      </c>
      <c r="I1009" s="0" t="n">
        <f aca="false">VLOOKUP(F1009,Rates!$D$4:$E$8,2)</f>
        <v>0.85</v>
      </c>
      <c r="J1009" s="0" t="n">
        <f aca="false">ROUND(E1009*I1009,2)</f>
        <v>32601.27</v>
      </c>
      <c r="K1009" s="1" t="n">
        <f aca="false">PV(H1009/12,F1009/30,0,-E1009)</f>
        <v>34065.489640035</v>
      </c>
      <c r="L1009" s="0" t="n">
        <f aca="false">ROUND(E1009-K1009,2)</f>
        <v>4288.95</v>
      </c>
      <c r="M1009" s="0" t="n">
        <f aca="false">F1009/E1009</f>
        <v>0.00972508006895681</v>
      </c>
    </row>
    <row r="1010" customFormat="false" ht="12.8" hidden="false" customHeight="false" outlineLevel="0" collapsed="false">
      <c r="A1010" s="0" t="s">
        <v>1516</v>
      </c>
      <c r="B1010" s="0" t="s">
        <v>33</v>
      </c>
      <c r="C1010" s="0" t="s">
        <v>26</v>
      </c>
      <c r="D1010" s="0" t="s">
        <v>20</v>
      </c>
      <c r="E1010" s="0" t="n">
        <v>3362.02</v>
      </c>
      <c r="F1010" s="0" t="n">
        <v>124</v>
      </c>
      <c r="G1010" s="0" t="str">
        <f aca="false">IF(F1010&lt;=30,"Current",IF(F1010&lt;=60,"31 to 60 days",IF(F1010&lt;=90,"61 to 90 days",IF(F1010&lt;=120,"91 to 120 days","Over 120 days"))))</f>
        <v>Over 120 days</v>
      </c>
      <c r="H1010" s="0" t="n">
        <f aca="false">VLOOKUP(D1010,Rates!$A$4:$B$7,2,FALSE())</f>
        <v>0.05</v>
      </c>
      <c r="I1010" s="0" t="n">
        <f aca="false">VLOOKUP(F1010,Rates!$D$4:$E$8,2)</f>
        <v>0.85</v>
      </c>
      <c r="J1010" s="0" t="n">
        <f aca="false">ROUND(E1010*I1010,2)</f>
        <v>2857.72</v>
      </c>
      <c r="K1010" s="1" t="n">
        <f aca="false">PV(H1010/12,F1010/30,0,-E1010)</f>
        <v>3304.73253240511</v>
      </c>
      <c r="L1010" s="0" t="n">
        <f aca="false">ROUND(E1010-K1010,2)</f>
        <v>57.29</v>
      </c>
      <c r="M1010" s="0" t="n">
        <f aca="false">F1010/E1010</f>
        <v>0.0368825884438522</v>
      </c>
    </row>
    <row r="1011" customFormat="false" ht="12.8" hidden="false" customHeight="false" outlineLevel="0" collapsed="false">
      <c r="A1011" s="0" t="s">
        <v>1517</v>
      </c>
      <c r="B1011" s="0" t="s">
        <v>22</v>
      </c>
      <c r="C1011" s="0" t="s">
        <v>15</v>
      </c>
      <c r="D1011" s="0" t="s">
        <v>23</v>
      </c>
      <c r="E1011" s="0" t="n">
        <v>21868.04</v>
      </c>
      <c r="F1011" s="0" t="n">
        <v>37</v>
      </c>
      <c r="G1011" s="0" t="str">
        <f aca="false">IF(F1011&lt;=30,"Current",IF(F1011&lt;=60,"31 to 60 days",IF(F1011&lt;=90,"61 to 90 days",IF(F1011&lt;=120,"91 to 120 days","Over 120 days"))))</f>
        <v>31 to 60 days</v>
      </c>
      <c r="H1011" s="0" t="n">
        <f aca="false">VLOOKUP(D1011,Rates!$A$4:$B$7,2,FALSE())</f>
        <v>0.115</v>
      </c>
      <c r="I1011" s="0" t="n">
        <f aca="false">VLOOKUP(F1011,Rates!$D$4:$E$8,2)</f>
        <v>0.1</v>
      </c>
      <c r="J1011" s="0" t="n">
        <f aca="false">ROUND(E1011*I1011,2)</f>
        <v>2186.8</v>
      </c>
      <c r="K1011" s="1" t="n">
        <f aca="false">PV(H1011/12,F1011/30,0,-E1011)</f>
        <v>21612.3096016115</v>
      </c>
      <c r="L1011" s="0" t="n">
        <f aca="false">ROUND(E1011-K1011,2)</f>
        <v>255.73</v>
      </c>
      <c r="M1011" s="0" t="n">
        <f aca="false">F1011/E1011</f>
        <v>0.00169196690695645</v>
      </c>
    </row>
    <row r="1012" customFormat="false" ht="12.8" hidden="false" customHeight="false" outlineLevel="0" collapsed="false">
      <c r="A1012" s="0" t="s">
        <v>1518</v>
      </c>
      <c r="B1012" s="0" t="s">
        <v>1519</v>
      </c>
      <c r="C1012" s="0" t="s">
        <v>15</v>
      </c>
      <c r="D1012" s="0" t="s">
        <v>16</v>
      </c>
      <c r="E1012" s="0" t="n">
        <v>35834.58</v>
      </c>
      <c r="F1012" s="0" t="n">
        <v>247</v>
      </c>
      <c r="G1012" s="0" t="str">
        <f aca="false">IF(F1012&lt;=30,"Current",IF(F1012&lt;=60,"31 to 60 days",IF(F1012&lt;=90,"61 to 90 days",IF(F1012&lt;=120,"91 to 120 days","Over 120 days"))))</f>
        <v>Over 120 days</v>
      </c>
      <c r="H1012" s="0" t="n">
        <f aca="false">VLOOKUP(D1012,Rates!$A$4:$B$7,2,FALSE())</f>
        <v>0.085</v>
      </c>
      <c r="I1012" s="0" t="n">
        <f aca="false">VLOOKUP(F1012,Rates!$D$4:$E$8,2)</f>
        <v>0.85</v>
      </c>
      <c r="J1012" s="0" t="n">
        <f aca="false">ROUND(E1012*I1012,2)</f>
        <v>30459.39</v>
      </c>
      <c r="K1012" s="1" t="n">
        <f aca="false">PV(H1012/12,F1012/30,0,-E1012)</f>
        <v>33811.4493185878</v>
      </c>
      <c r="L1012" s="0" t="n">
        <f aca="false">ROUND(E1012-K1012,2)</f>
        <v>2023.13</v>
      </c>
      <c r="M1012" s="0" t="n">
        <f aca="false">F1012/E1012</f>
        <v>0.00689278345106877</v>
      </c>
    </row>
    <row r="1013" customFormat="false" ht="12.8" hidden="false" customHeight="false" outlineLevel="0" collapsed="false">
      <c r="A1013" s="0" t="s">
        <v>1520</v>
      </c>
      <c r="B1013" s="0" t="s">
        <v>53</v>
      </c>
      <c r="C1013" s="0" t="s">
        <v>19</v>
      </c>
      <c r="D1013" s="0" t="s">
        <v>23</v>
      </c>
      <c r="E1013" s="0" t="n">
        <v>31985.06</v>
      </c>
      <c r="F1013" s="0" t="n">
        <v>62</v>
      </c>
      <c r="G1013" s="0" t="str">
        <f aca="false">IF(F1013&lt;=30,"Current",IF(F1013&lt;=60,"31 to 60 days",IF(F1013&lt;=90,"61 to 90 days",IF(F1013&lt;=120,"91 to 120 days","Over 120 days"))))</f>
        <v>61 to 90 days</v>
      </c>
      <c r="H1013" s="0" t="n">
        <f aca="false">VLOOKUP(D1013,Rates!$A$4:$B$7,2,FALSE())</f>
        <v>0.115</v>
      </c>
      <c r="I1013" s="0" t="n">
        <f aca="false">VLOOKUP(F1013,Rates!$D$4:$E$8,2)</f>
        <v>0.25</v>
      </c>
      <c r="J1013" s="0" t="n">
        <f aca="false">ROUND(E1013*I1013,2)</f>
        <v>7996.27</v>
      </c>
      <c r="K1013" s="1" t="n">
        <f aca="false">PV(H1013/12,F1013/30,0,-E1013)</f>
        <v>31360.7673061449</v>
      </c>
      <c r="L1013" s="0" t="n">
        <f aca="false">ROUND(E1013-K1013,2)</f>
        <v>624.29</v>
      </c>
      <c r="M1013" s="0" t="n">
        <f aca="false">F1013/E1013</f>
        <v>0.00193840499283103</v>
      </c>
    </row>
    <row r="1014" customFormat="false" ht="12.8" hidden="false" customHeight="false" outlineLevel="0" collapsed="false">
      <c r="A1014" s="0" t="s">
        <v>1521</v>
      </c>
      <c r="B1014" s="0" t="s">
        <v>1522</v>
      </c>
      <c r="C1014" s="0" t="s">
        <v>26</v>
      </c>
      <c r="D1014" s="0" t="s">
        <v>16</v>
      </c>
      <c r="E1014" s="0" t="n">
        <v>26365.98</v>
      </c>
      <c r="F1014" s="0" t="n">
        <v>48</v>
      </c>
      <c r="G1014" s="0" t="str">
        <f aca="false">IF(F1014&lt;=30,"Current",IF(F1014&lt;=60,"31 to 60 days",IF(F1014&lt;=90,"61 to 90 days",IF(F1014&lt;=120,"91 to 120 days","Over 120 days"))))</f>
        <v>31 to 60 days</v>
      </c>
      <c r="H1014" s="0" t="n">
        <f aca="false">VLOOKUP(D1014,Rates!$A$4:$B$7,2,FALSE())</f>
        <v>0.085</v>
      </c>
      <c r="I1014" s="0" t="n">
        <f aca="false">VLOOKUP(F1014,Rates!$D$4:$E$8,2)</f>
        <v>0.1</v>
      </c>
      <c r="J1014" s="0" t="n">
        <f aca="false">ROUND(E1014*I1014,2)</f>
        <v>2636.6</v>
      </c>
      <c r="K1014" s="1" t="n">
        <f aca="false">PV(H1014/12,F1014/30,0,-E1014)</f>
        <v>26069.8939435318</v>
      </c>
      <c r="L1014" s="0" t="n">
        <f aca="false">ROUND(E1014-K1014,2)</f>
        <v>296.09</v>
      </c>
      <c r="M1014" s="0" t="n">
        <f aca="false">F1014/E1014</f>
        <v>0.00182052781652721</v>
      </c>
    </row>
    <row r="1015" customFormat="false" ht="12.8" hidden="false" customHeight="false" outlineLevel="0" collapsed="false">
      <c r="A1015" s="0" t="s">
        <v>1523</v>
      </c>
      <c r="B1015" s="0" t="s">
        <v>28</v>
      </c>
      <c r="C1015" s="0" t="s">
        <v>15</v>
      </c>
      <c r="D1015" s="0" t="s">
        <v>20</v>
      </c>
      <c r="E1015" s="0" t="n">
        <v>20780.4</v>
      </c>
      <c r="F1015" s="0" t="n">
        <v>384</v>
      </c>
      <c r="G1015" s="0" t="str">
        <f aca="false">IF(F1015&lt;=30,"Current",IF(F1015&lt;=60,"31 to 60 days",IF(F1015&lt;=90,"61 to 90 days",IF(F1015&lt;=120,"91 to 120 days","Over 120 days"))))</f>
        <v>Over 120 days</v>
      </c>
      <c r="H1015" s="0" t="n">
        <f aca="false">VLOOKUP(D1015,Rates!$A$4:$B$7,2,FALSE())</f>
        <v>0.05</v>
      </c>
      <c r="I1015" s="0" t="n">
        <f aca="false">VLOOKUP(F1015,Rates!$D$4:$E$8,2)</f>
        <v>0.85</v>
      </c>
      <c r="J1015" s="0" t="n">
        <f aca="false">ROUND(E1015*I1015,2)</f>
        <v>17663.34</v>
      </c>
      <c r="K1015" s="1" t="n">
        <f aca="false">PV(H1015/12,F1015/30,0,-E1015)</f>
        <v>19703.3309431794</v>
      </c>
      <c r="L1015" s="0" t="n">
        <f aca="false">ROUND(E1015-K1015,2)</f>
        <v>1077.07</v>
      </c>
      <c r="M1015" s="0" t="n">
        <f aca="false">F1015/E1015</f>
        <v>0.0184789513195126</v>
      </c>
    </row>
    <row r="1016" customFormat="false" ht="12.8" hidden="false" customHeight="false" outlineLevel="0" collapsed="false">
      <c r="A1016" s="0" t="s">
        <v>1524</v>
      </c>
      <c r="B1016" s="0" t="s">
        <v>55</v>
      </c>
      <c r="C1016" s="0" t="s">
        <v>26</v>
      </c>
      <c r="D1016" s="0" t="s">
        <v>23</v>
      </c>
      <c r="E1016" s="0" t="n">
        <v>9567.61</v>
      </c>
      <c r="F1016" s="0" t="n">
        <v>340</v>
      </c>
      <c r="G1016" s="0" t="str">
        <f aca="false">IF(F1016&lt;=30,"Current",IF(F1016&lt;=60,"31 to 60 days",IF(F1016&lt;=90,"61 to 90 days",IF(F1016&lt;=120,"91 to 120 days","Over 120 days"))))</f>
        <v>Over 120 days</v>
      </c>
      <c r="H1016" s="0" t="n">
        <f aca="false">VLOOKUP(D1016,Rates!$A$4:$B$7,2,FALSE())</f>
        <v>0.115</v>
      </c>
      <c r="I1016" s="0" t="n">
        <f aca="false">VLOOKUP(F1016,Rates!$D$4:$E$8,2)</f>
        <v>0.85</v>
      </c>
      <c r="J1016" s="0" t="n">
        <f aca="false">ROUND(E1016*I1016,2)</f>
        <v>8132.47</v>
      </c>
      <c r="K1016" s="1" t="n">
        <f aca="false">PV(H1016/12,F1016/30,0,-E1016)</f>
        <v>8587.34365608683</v>
      </c>
      <c r="L1016" s="0" t="n">
        <f aca="false">ROUND(E1016-K1016,2)</f>
        <v>980.27</v>
      </c>
      <c r="M1016" s="0" t="n">
        <f aca="false">F1016/E1016</f>
        <v>0.0355365655581697</v>
      </c>
    </row>
    <row r="1017" customFormat="false" ht="12.8" hidden="false" customHeight="false" outlineLevel="0" collapsed="false">
      <c r="A1017" s="0" t="s">
        <v>1525</v>
      </c>
      <c r="B1017" s="0" t="s">
        <v>74</v>
      </c>
      <c r="C1017" s="0" t="s">
        <v>31</v>
      </c>
      <c r="D1017" s="0" t="s">
        <v>23</v>
      </c>
      <c r="E1017" s="0" t="n">
        <v>24350.22</v>
      </c>
      <c r="F1017" s="0" t="n">
        <v>10</v>
      </c>
      <c r="G1017" s="0" t="str">
        <f aca="false">IF(F1017&lt;=30,"Current",IF(F1017&lt;=60,"31 to 60 days",IF(F1017&lt;=90,"61 to 90 days",IF(F1017&lt;=120,"91 to 120 days","Over 120 days"))))</f>
        <v>Current</v>
      </c>
      <c r="H1017" s="0" t="n">
        <f aca="false">VLOOKUP(D1017,Rates!$A$4:$B$7,2,FALSE())</f>
        <v>0.115</v>
      </c>
      <c r="I1017" s="0" t="n">
        <f aca="false">VLOOKUP(F1017,Rates!$D$4:$E$8,2)</f>
        <v>0.02</v>
      </c>
      <c r="J1017" s="0" t="n">
        <f aca="false">ROUND(E1017*I1017,2)</f>
        <v>487</v>
      </c>
      <c r="K1017" s="1" t="n">
        <f aca="false">PV(H1017/12,F1017/30,0,-E1017)</f>
        <v>24272.9278625654</v>
      </c>
      <c r="L1017" s="0" t="n">
        <f aca="false">ROUND(E1017-K1017,2)</f>
        <v>77.29</v>
      </c>
      <c r="M1017" s="0" t="n">
        <f aca="false">F1017/E1017</f>
        <v>0.000410673907669007</v>
      </c>
    </row>
    <row r="1018" customFormat="false" ht="12.8" hidden="false" customHeight="false" outlineLevel="0" collapsed="false">
      <c r="A1018" s="0" t="s">
        <v>1526</v>
      </c>
      <c r="B1018" s="0" t="s">
        <v>1527</v>
      </c>
      <c r="C1018" s="0" t="s">
        <v>26</v>
      </c>
      <c r="D1018" s="0" t="s">
        <v>49</v>
      </c>
      <c r="E1018" s="0" t="n">
        <v>43345.51</v>
      </c>
      <c r="F1018" s="0" t="n">
        <v>309</v>
      </c>
      <c r="G1018" s="0" t="str">
        <f aca="false">IF(F1018&lt;=30,"Current",IF(F1018&lt;=60,"31 to 60 days",IF(F1018&lt;=90,"61 to 90 days",IF(F1018&lt;=120,"91 to 120 days","Over 120 days"))))</f>
        <v>Over 120 days</v>
      </c>
      <c r="H1018" s="0" t="n">
        <f aca="false">VLOOKUP(D1018,Rates!$A$4:$B$7,2,FALSE())</f>
        <v>0.02</v>
      </c>
      <c r="I1018" s="0" t="n">
        <f aca="false">VLOOKUP(F1018,Rates!$D$4:$E$8,2)</f>
        <v>0.85</v>
      </c>
      <c r="J1018" s="0" t="n">
        <f aca="false">ROUND(E1018*I1018,2)</f>
        <v>36843.68</v>
      </c>
      <c r="K1018" s="1" t="n">
        <f aca="false">PV(H1018/12,F1018/30,0,-E1018)</f>
        <v>42608.3713838738</v>
      </c>
      <c r="L1018" s="0" t="n">
        <f aca="false">ROUND(E1018-K1018,2)</f>
        <v>737.14</v>
      </c>
      <c r="M1018" s="0" t="n">
        <f aca="false">F1018/E1018</f>
        <v>0.00712876604750988</v>
      </c>
    </row>
    <row r="1019" customFormat="false" ht="12.8" hidden="false" customHeight="false" outlineLevel="0" collapsed="false">
      <c r="A1019" s="0" t="s">
        <v>1528</v>
      </c>
      <c r="B1019" s="0" t="s">
        <v>1529</v>
      </c>
      <c r="C1019" s="0" t="s">
        <v>31</v>
      </c>
      <c r="D1019" s="0" t="s">
        <v>16</v>
      </c>
      <c r="E1019" s="0" t="n">
        <v>32694.12</v>
      </c>
      <c r="F1019" s="0" t="n">
        <v>209</v>
      </c>
      <c r="G1019" s="0" t="str">
        <f aca="false">IF(F1019&lt;=30,"Current",IF(F1019&lt;=60,"31 to 60 days",IF(F1019&lt;=90,"61 to 90 days",IF(F1019&lt;=120,"91 to 120 days","Over 120 days"))))</f>
        <v>Over 120 days</v>
      </c>
      <c r="H1019" s="0" t="n">
        <f aca="false">VLOOKUP(D1019,Rates!$A$4:$B$7,2,FALSE())</f>
        <v>0.085</v>
      </c>
      <c r="I1019" s="0" t="n">
        <f aca="false">VLOOKUP(F1019,Rates!$D$4:$E$8,2)</f>
        <v>0.85</v>
      </c>
      <c r="J1019" s="0" t="n">
        <f aca="false">ROUND(E1019*I1019,2)</f>
        <v>27790</v>
      </c>
      <c r="K1019" s="1" t="n">
        <f aca="false">PV(H1019/12,F1019/30,0,-E1019)</f>
        <v>31125.3305080382</v>
      </c>
      <c r="L1019" s="0" t="n">
        <f aca="false">ROUND(E1019-K1019,2)</f>
        <v>1568.79</v>
      </c>
      <c r="M1019" s="0" t="n">
        <f aca="false">F1019/E1019</f>
        <v>0.00639258680154107</v>
      </c>
    </row>
    <row r="1020" customFormat="false" ht="12.8" hidden="false" customHeight="false" outlineLevel="0" collapsed="false">
      <c r="A1020" s="0" t="s">
        <v>1530</v>
      </c>
      <c r="B1020" s="0" t="s">
        <v>534</v>
      </c>
      <c r="C1020" s="0" t="s">
        <v>26</v>
      </c>
      <c r="D1020" s="0" t="s">
        <v>23</v>
      </c>
      <c r="E1020" s="0" t="n">
        <v>34389.51</v>
      </c>
      <c r="F1020" s="0" t="n">
        <v>153</v>
      </c>
      <c r="G1020" s="0" t="str">
        <f aca="false">IF(F1020&lt;=30,"Current",IF(F1020&lt;=60,"31 to 60 days",IF(F1020&lt;=90,"61 to 90 days",IF(F1020&lt;=120,"91 to 120 days","Over 120 days"))))</f>
        <v>Over 120 days</v>
      </c>
      <c r="H1020" s="0" t="n">
        <f aca="false">VLOOKUP(D1020,Rates!$A$4:$B$7,2,FALSE())</f>
        <v>0.115</v>
      </c>
      <c r="I1020" s="0" t="n">
        <f aca="false">VLOOKUP(F1020,Rates!$D$4:$E$8,2)</f>
        <v>0.85</v>
      </c>
      <c r="J1020" s="0" t="n">
        <f aca="false">ROUND(E1020*I1020,2)</f>
        <v>29231.08</v>
      </c>
      <c r="K1020" s="1" t="n">
        <f aca="false">PV(H1020/12,F1020/30,0,-E1020)</f>
        <v>32756.7577125707</v>
      </c>
      <c r="L1020" s="0" t="n">
        <f aca="false">ROUND(E1020-K1020,2)</f>
        <v>1632.75</v>
      </c>
      <c r="M1020" s="0" t="n">
        <f aca="false">F1020/E1020</f>
        <v>0.00444903111442995</v>
      </c>
    </row>
    <row r="1021" customFormat="false" ht="12.8" hidden="false" customHeight="false" outlineLevel="0" collapsed="false">
      <c r="A1021" s="0" t="s">
        <v>1531</v>
      </c>
      <c r="B1021" s="0" t="s">
        <v>22</v>
      </c>
      <c r="C1021" s="0" t="s">
        <v>15</v>
      </c>
      <c r="D1021" s="0" t="s">
        <v>23</v>
      </c>
      <c r="E1021" s="0" t="n">
        <v>3391.09</v>
      </c>
      <c r="F1021" s="0" t="n">
        <v>332</v>
      </c>
      <c r="G1021" s="0" t="str">
        <f aca="false">IF(F1021&lt;=30,"Current",IF(F1021&lt;=60,"31 to 60 days",IF(F1021&lt;=90,"61 to 90 days",IF(F1021&lt;=120,"91 to 120 days","Over 120 days"))))</f>
        <v>Over 120 days</v>
      </c>
      <c r="H1021" s="0" t="n">
        <f aca="false">VLOOKUP(D1021,Rates!$A$4:$B$7,2,FALSE())</f>
        <v>0.115</v>
      </c>
      <c r="I1021" s="0" t="n">
        <f aca="false">VLOOKUP(F1021,Rates!$D$4:$E$8,2)</f>
        <v>0.85</v>
      </c>
      <c r="J1021" s="0" t="n">
        <f aca="false">ROUND(E1021*I1021,2)</f>
        <v>2882.43</v>
      </c>
      <c r="K1021" s="1" t="n">
        <f aca="false">PV(H1021/12,F1021/30,0,-E1021)</f>
        <v>3051.40093277346</v>
      </c>
      <c r="L1021" s="0" t="n">
        <f aca="false">ROUND(E1021-K1021,2)</f>
        <v>339.69</v>
      </c>
      <c r="M1021" s="0" t="n">
        <f aca="false">F1021/E1021</f>
        <v>0.0979036239085368</v>
      </c>
    </row>
    <row r="1022" customFormat="false" ht="12.8" hidden="false" customHeight="false" outlineLevel="0" collapsed="false">
      <c r="A1022" s="0" t="s">
        <v>1532</v>
      </c>
      <c r="B1022" s="0" t="s">
        <v>120</v>
      </c>
      <c r="C1022" s="0" t="s">
        <v>31</v>
      </c>
      <c r="D1022" s="0" t="s">
        <v>23</v>
      </c>
      <c r="E1022" s="0" t="n">
        <v>35639.44</v>
      </c>
      <c r="F1022" s="0" t="n">
        <v>183</v>
      </c>
      <c r="G1022" s="0" t="str">
        <f aca="false">IF(F1022&lt;=30,"Current",IF(F1022&lt;=60,"31 to 60 days",IF(F1022&lt;=90,"61 to 90 days",IF(F1022&lt;=120,"91 to 120 days","Over 120 days"))))</f>
        <v>Over 120 days</v>
      </c>
      <c r="H1022" s="0" t="n">
        <f aca="false">VLOOKUP(D1022,Rates!$A$4:$B$7,2,FALSE())</f>
        <v>0.115</v>
      </c>
      <c r="I1022" s="0" t="n">
        <f aca="false">VLOOKUP(F1022,Rates!$D$4:$E$8,2)</f>
        <v>0.85</v>
      </c>
      <c r="J1022" s="0" t="n">
        <f aca="false">ROUND(E1022*I1022,2)</f>
        <v>30293.52</v>
      </c>
      <c r="K1022" s="1" t="n">
        <f aca="false">PV(H1022/12,F1022/30,0,-E1022)</f>
        <v>33625.1027091921</v>
      </c>
      <c r="L1022" s="0" t="n">
        <f aca="false">ROUND(E1022-K1022,2)</f>
        <v>2014.34</v>
      </c>
      <c r="M1022" s="0" t="n">
        <f aca="false">F1022/E1022</f>
        <v>0.00513476081554592</v>
      </c>
    </row>
    <row r="1023" customFormat="false" ht="12.8" hidden="false" customHeight="false" outlineLevel="0" collapsed="false">
      <c r="A1023" s="0" t="s">
        <v>1533</v>
      </c>
      <c r="B1023" s="0" t="s">
        <v>1534</v>
      </c>
      <c r="C1023" s="0" t="s">
        <v>15</v>
      </c>
      <c r="D1023" s="0" t="s">
        <v>16</v>
      </c>
      <c r="E1023" s="0" t="n">
        <v>26241.09</v>
      </c>
      <c r="F1023" s="0" t="n">
        <v>122</v>
      </c>
      <c r="G1023" s="0" t="str">
        <f aca="false">IF(F1023&lt;=30,"Current",IF(F1023&lt;=60,"31 to 60 days",IF(F1023&lt;=90,"61 to 90 days",IF(F1023&lt;=120,"91 to 120 days","Over 120 days"))))</f>
        <v>Over 120 days</v>
      </c>
      <c r="H1023" s="0" t="n">
        <f aca="false">VLOOKUP(D1023,Rates!$A$4:$B$7,2,FALSE())</f>
        <v>0.085</v>
      </c>
      <c r="I1023" s="0" t="n">
        <f aca="false">VLOOKUP(F1023,Rates!$D$4:$E$8,2)</f>
        <v>0.85</v>
      </c>
      <c r="J1023" s="0" t="n">
        <f aca="false">ROUND(E1023*I1023,2)</f>
        <v>22304.93</v>
      </c>
      <c r="K1023" s="1" t="n">
        <f aca="false">PV(H1023/12,F1023/30,0,-E1023)</f>
        <v>25498.5729474424</v>
      </c>
      <c r="L1023" s="0" t="n">
        <f aca="false">ROUND(E1023-K1023,2)</f>
        <v>742.52</v>
      </c>
      <c r="M1023" s="0" t="n">
        <f aca="false">F1023/E1023</f>
        <v>0.00464919711795509</v>
      </c>
    </row>
    <row r="1024" customFormat="false" ht="12.8" hidden="false" customHeight="false" outlineLevel="0" collapsed="false">
      <c r="A1024" s="0" t="s">
        <v>1535</v>
      </c>
      <c r="B1024" s="0" t="s">
        <v>1536</v>
      </c>
      <c r="C1024" s="0" t="s">
        <v>31</v>
      </c>
      <c r="D1024" s="0" t="s">
        <v>49</v>
      </c>
      <c r="E1024" s="0" t="n">
        <v>656.35</v>
      </c>
      <c r="F1024" s="0" t="n">
        <v>351</v>
      </c>
      <c r="G1024" s="0" t="str">
        <f aca="false">IF(F1024&lt;=30,"Current",IF(F1024&lt;=60,"31 to 60 days",IF(F1024&lt;=90,"61 to 90 days",IF(F1024&lt;=120,"91 to 120 days","Over 120 days"))))</f>
        <v>Over 120 days</v>
      </c>
      <c r="H1024" s="0" t="n">
        <f aca="false">VLOOKUP(D1024,Rates!$A$4:$B$7,2,FALSE())</f>
        <v>0.02</v>
      </c>
      <c r="I1024" s="0" t="n">
        <f aca="false">VLOOKUP(F1024,Rates!$D$4:$E$8,2)</f>
        <v>0.85</v>
      </c>
      <c r="J1024" s="0" t="n">
        <f aca="false">ROUND(E1024*I1024,2)</f>
        <v>557.9</v>
      </c>
      <c r="K1024" s="1" t="n">
        <f aca="false">PV(H1024/12,F1024/30,0,-E1024)</f>
        <v>643.685604555764</v>
      </c>
      <c r="L1024" s="0" t="n">
        <f aca="false">ROUND(E1024-K1024,2)</f>
        <v>12.66</v>
      </c>
      <c r="M1024" s="0" t="n">
        <f aca="false">F1024/E1024</f>
        <v>0.534775653233793</v>
      </c>
    </row>
    <row r="1025" customFormat="false" ht="12.8" hidden="false" customHeight="false" outlineLevel="0" collapsed="false">
      <c r="A1025" s="0" t="s">
        <v>1537</v>
      </c>
      <c r="B1025" s="0" t="s">
        <v>1538</v>
      </c>
      <c r="C1025" s="0" t="s">
        <v>26</v>
      </c>
      <c r="D1025" s="0" t="s">
        <v>49</v>
      </c>
      <c r="E1025" s="0" t="n">
        <v>1057.82</v>
      </c>
      <c r="F1025" s="0" t="n">
        <v>175</v>
      </c>
      <c r="G1025" s="0" t="str">
        <f aca="false">IF(F1025&lt;=30,"Current",IF(F1025&lt;=60,"31 to 60 days",IF(F1025&lt;=90,"61 to 90 days",IF(F1025&lt;=120,"91 to 120 days","Over 120 days"))))</f>
        <v>Over 120 days</v>
      </c>
      <c r="H1025" s="0" t="n">
        <f aca="false">VLOOKUP(D1025,Rates!$A$4:$B$7,2,FALSE())</f>
        <v>0.02</v>
      </c>
      <c r="I1025" s="0" t="n">
        <f aca="false">VLOOKUP(F1025,Rates!$D$4:$E$8,2)</f>
        <v>0.85</v>
      </c>
      <c r="J1025" s="0" t="n">
        <f aca="false">ROUND(E1025*I1025,2)</f>
        <v>899.15</v>
      </c>
      <c r="K1025" s="1" t="n">
        <f aca="false">PV(H1025/12,F1025/30,0,-E1025)</f>
        <v>1047.5939486862</v>
      </c>
      <c r="L1025" s="0" t="n">
        <f aca="false">ROUND(E1025-K1025,2)</f>
        <v>10.23</v>
      </c>
      <c r="M1025" s="0" t="n">
        <f aca="false">F1025/E1025</f>
        <v>0.165434572989734</v>
      </c>
    </row>
    <row r="1026" customFormat="false" ht="12.8" hidden="false" customHeight="false" outlineLevel="0" collapsed="false">
      <c r="A1026" s="0" t="s">
        <v>1539</v>
      </c>
      <c r="B1026" s="0" t="s">
        <v>97</v>
      </c>
      <c r="C1026" s="0" t="s">
        <v>42</v>
      </c>
      <c r="D1026" s="0" t="s">
        <v>20</v>
      </c>
      <c r="E1026" s="0" t="n">
        <v>9690.6</v>
      </c>
      <c r="F1026" s="0" t="n">
        <v>275</v>
      </c>
      <c r="G1026" s="0" t="str">
        <f aca="false">IF(F1026&lt;=30,"Current",IF(F1026&lt;=60,"31 to 60 days",IF(F1026&lt;=90,"61 to 90 days",IF(F1026&lt;=120,"91 to 120 days","Over 120 days"))))</f>
        <v>Over 120 days</v>
      </c>
      <c r="H1026" s="0" t="n">
        <f aca="false">VLOOKUP(D1026,Rates!$A$4:$B$7,2,FALSE())</f>
        <v>0.05</v>
      </c>
      <c r="I1026" s="0" t="n">
        <f aca="false">VLOOKUP(F1026,Rates!$D$4:$E$8,2)</f>
        <v>0.85</v>
      </c>
      <c r="J1026" s="0" t="n">
        <f aca="false">ROUND(E1026*I1026,2)</f>
        <v>8237.01</v>
      </c>
      <c r="K1026" s="1" t="n">
        <f aca="false">PV(H1026/12,F1026/30,0,-E1026)</f>
        <v>9328.19235329846</v>
      </c>
      <c r="L1026" s="0" t="n">
        <f aca="false">ROUND(E1026-K1026,2)</f>
        <v>362.41</v>
      </c>
      <c r="M1026" s="0" t="n">
        <f aca="false">F1026/E1026</f>
        <v>0.0283780158091346</v>
      </c>
    </row>
    <row r="1027" customFormat="false" ht="12.8" hidden="false" customHeight="false" outlineLevel="0" collapsed="false">
      <c r="A1027" s="0" t="s">
        <v>1540</v>
      </c>
      <c r="B1027" s="0" t="s">
        <v>1541</v>
      </c>
      <c r="C1027" s="0" t="s">
        <v>36</v>
      </c>
      <c r="D1027" s="0" t="s">
        <v>49</v>
      </c>
      <c r="E1027" s="0" t="n">
        <v>29139.15</v>
      </c>
      <c r="F1027" s="0" t="n">
        <v>281</v>
      </c>
      <c r="G1027" s="0" t="str">
        <f aca="false">IF(F1027&lt;=30,"Current",IF(F1027&lt;=60,"31 to 60 days",IF(F1027&lt;=90,"61 to 90 days",IF(F1027&lt;=120,"91 to 120 days","Over 120 days"))))</f>
        <v>Over 120 days</v>
      </c>
      <c r="H1027" s="0" t="n">
        <f aca="false">VLOOKUP(D1027,Rates!$A$4:$B$7,2,FALSE())</f>
        <v>0.02</v>
      </c>
      <c r="I1027" s="0" t="n">
        <f aca="false">VLOOKUP(F1027,Rates!$D$4:$E$8,2)</f>
        <v>0.85</v>
      </c>
      <c r="J1027" s="0" t="n">
        <f aca="false">ROUND(E1027*I1027,2)</f>
        <v>24768.28</v>
      </c>
      <c r="K1027" s="1" t="n">
        <f aca="false">PV(H1027/12,F1027/30,0,-E1027)</f>
        <v>28688.1605862308</v>
      </c>
      <c r="L1027" s="0" t="n">
        <f aca="false">ROUND(E1027-K1027,2)</f>
        <v>450.99</v>
      </c>
      <c r="M1027" s="0" t="n">
        <f aca="false">F1027/E1027</f>
        <v>0.00964338355785944</v>
      </c>
    </row>
    <row r="1028" customFormat="false" ht="12.8" hidden="false" customHeight="false" outlineLevel="0" collapsed="false">
      <c r="A1028" s="0" t="s">
        <v>1542</v>
      </c>
      <c r="B1028" s="0" t="s">
        <v>441</v>
      </c>
      <c r="C1028" s="0" t="s">
        <v>15</v>
      </c>
      <c r="D1028" s="0" t="s">
        <v>23</v>
      </c>
      <c r="E1028" s="0" t="n">
        <v>30803.97</v>
      </c>
      <c r="F1028" s="0" t="n">
        <v>224</v>
      </c>
      <c r="G1028" s="0" t="str">
        <f aca="false">IF(F1028&lt;=30,"Current",IF(F1028&lt;=60,"31 to 60 days",IF(F1028&lt;=90,"61 to 90 days",IF(F1028&lt;=120,"91 to 120 days","Over 120 days"))))</f>
        <v>Over 120 days</v>
      </c>
      <c r="H1028" s="0" t="n">
        <f aca="false">VLOOKUP(D1028,Rates!$A$4:$B$7,2,FALSE())</f>
        <v>0.115</v>
      </c>
      <c r="I1028" s="0" t="n">
        <f aca="false">VLOOKUP(F1028,Rates!$D$4:$E$8,2)</f>
        <v>0.85</v>
      </c>
      <c r="J1028" s="0" t="n">
        <f aca="false">ROUND(E1028*I1028,2)</f>
        <v>26183.37</v>
      </c>
      <c r="K1028" s="1" t="n">
        <f aca="false">PV(H1028/12,F1028/30,0,-E1028)</f>
        <v>28686.5599213032</v>
      </c>
      <c r="L1028" s="0" t="n">
        <f aca="false">ROUND(E1028-K1028,2)</f>
        <v>2117.41</v>
      </c>
      <c r="M1028" s="0" t="n">
        <f aca="false">F1028/E1028</f>
        <v>0.00727178996733213</v>
      </c>
    </row>
    <row r="1029" customFormat="false" ht="12.8" hidden="false" customHeight="false" outlineLevel="0" collapsed="false">
      <c r="A1029" s="0" t="s">
        <v>1543</v>
      </c>
      <c r="B1029" s="0" t="s">
        <v>30</v>
      </c>
      <c r="C1029" s="0" t="s">
        <v>31</v>
      </c>
      <c r="D1029" s="0" t="s">
        <v>20</v>
      </c>
      <c r="E1029" s="0" t="n">
        <v>8134.45</v>
      </c>
      <c r="F1029" s="0" t="n">
        <v>328</v>
      </c>
      <c r="G1029" s="0" t="str">
        <f aca="false">IF(F1029&lt;=30,"Current",IF(F1029&lt;=60,"31 to 60 days",IF(F1029&lt;=90,"61 to 90 days",IF(F1029&lt;=120,"91 to 120 days","Over 120 days"))))</f>
        <v>Over 120 days</v>
      </c>
      <c r="H1029" s="0" t="n">
        <f aca="false">VLOOKUP(D1029,Rates!$A$4:$B$7,2,FALSE())</f>
        <v>0.05</v>
      </c>
      <c r="I1029" s="0" t="n">
        <f aca="false">VLOOKUP(F1029,Rates!$D$4:$E$8,2)</f>
        <v>0.85</v>
      </c>
      <c r="J1029" s="0" t="n">
        <f aca="false">ROUND(E1029*I1029,2)</f>
        <v>6914.28</v>
      </c>
      <c r="K1029" s="1" t="n">
        <f aca="false">PV(H1029/12,F1029/30,0,-E1029)</f>
        <v>7772.93026159502</v>
      </c>
      <c r="L1029" s="0" t="n">
        <f aca="false">ROUND(E1029-K1029,2)</f>
        <v>361.52</v>
      </c>
      <c r="M1029" s="0" t="n">
        <f aca="false">F1029/E1029</f>
        <v>0.0403223327944729</v>
      </c>
    </row>
    <row r="1030" customFormat="false" ht="12.8" hidden="false" customHeight="false" outlineLevel="0" collapsed="false">
      <c r="A1030" s="0" t="s">
        <v>1544</v>
      </c>
      <c r="B1030" s="0" t="s">
        <v>1545</v>
      </c>
      <c r="C1030" s="0" t="s">
        <v>26</v>
      </c>
      <c r="D1030" s="0" t="s">
        <v>16</v>
      </c>
      <c r="E1030" s="0" t="n">
        <v>16462.79</v>
      </c>
      <c r="F1030" s="0" t="n">
        <v>293</v>
      </c>
      <c r="G1030" s="0" t="str">
        <f aca="false">IF(F1030&lt;=30,"Current",IF(F1030&lt;=60,"31 to 60 days",IF(F1030&lt;=90,"61 to 90 days",IF(F1030&lt;=120,"91 to 120 days","Over 120 days"))))</f>
        <v>Over 120 days</v>
      </c>
      <c r="H1030" s="0" t="n">
        <f aca="false">VLOOKUP(D1030,Rates!$A$4:$B$7,2,FALSE())</f>
        <v>0.085</v>
      </c>
      <c r="I1030" s="0" t="n">
        <f aca="false">VLOOKUP(F1030,Rates!$D$4:$E$8,2)</f>
        <v>0.85</v>
      </c>
      <c r="J1030" s="0" t="n">
        <f aca="false">ROUND(E1030*I1030,2)</f>
        <v>13993.37</v>
      </c>
      <c r="K1030" s="1" t="n">
        <f aca="false">PV(H1030/12,F1030/30,0,-E1030)</f>
        <v>15366.1339041108</v>
      </c>
      <c r="L1030" s="0" t="n">
        <f aca="false">ROUND(E1030-K1030,2)</f>
        <v>1096.66</v>
      </c>
      <c r="M1030" s="0" t="n">
        <f aca="false">F1030/E1030</f>
        <v>0.017797712295425</v>
      </c>
    </row>
    <row r="1031" customFormat="false" ht="12.8" hidden="false" customHeight="false" outlineLevel="0" collapsed="false">
      <c r="A1031" s="0" t="s">
        <v>1546</v>
      </c>
      <c r="B1031" s="0" t="s">
        <v>1547</v>
      </c>
      <c r="C1031" s="0" t="s">
        <v>15</v>
      </c>
      <c r="D1031" s="0" t="s">
        <v>16</v>
      </c>
      <c r="E1031" s="0" t="n">
        <v>38477.75</v>
      </c>
      <c r="F1031" s="0" t="n">
        <v>250</v>
      </c>
      <c r="G1031" s="0" t="str">
        <f aca="false">IF(F1031&lt;=30,"Current",IF(F1031&lt;=60,"31 to 60 days",IF(F1031&lt;=90,"61 to 90 days",IF(F1031&lt;=120,"91 to 120 days","Over 120 days"))))</f>
        <v>Over 120 days</v>
      </c>
      <c r="H1031" s="0" t="n">
        <f aca="false">VLOOKUP(D1031,Rates!$A$4:$B$7,2,FALSE())</f>
        <v>0.085</v>
      </c>
      <c r="I1031" s="0" t="n">
        <f aca="false">VLOOKUP(F1031,Rates!$D$4:$E$8,2)</f>
        <v>0.85</v>
      </c>
      <c r="J1031" s="0" t="n">
        <f aca="false">ROUND(E1031*I1031,2)</f>
        <v>32706.09</v>
      </c>
      <c r="K1031" s="1" t="n">
        <f aca="false">PV(H1031/12,F1031/30,0,-E1031)</f>
        <v>36279.7759298066</v>
      </c>
      <c r="L1031" s="0" t="n">
        <f aca="false">ROUND(E1031-K1031,2)</f>
        <v>2197.97</v>
      </c>
      <c r="M1031" s="0" t="n">
        <f aca="false">F1031/E1031</f>
        <v>0.00649726140431808</v>
      </c>
    </row>
    <row r="1032" customFormat="false" ht="12.8" hidden="false" customHeight="false" outlineLevel="0" collapsed="false">
      <c r="A1032" s="0" t="s">
        <v>1548</v>
      </c>
      <c r="B1032" s="0" t="s">
        <v>371</v>
      </c>
      <c r="C1032" s="0" t="s">
        <v>42</v>
      </c>
      <c r="D1032" s="0" t="s">
        <v>16</v>
      </c>
      <c r="E1032" s="0" t="n">
        <v>27508</v>
      </c>
      <c r="F1032" s="0" t="n">
        <v>132</v>
      </c>
      <c r="G1032" s="0" t="str">
        <f aca="false">IF(F1032&lt;=30,"Current",IF(F1032&lt;=60,"31 to 60 days",IF(F1032&lt;=90,"61 to 90 days",IF(F1032&lt;=120,"91 to 120 days","Over 120 days"))))</f>
        <v>Over 120 days</v>
      </c>
      <c r="H1032" s="0" t="n">
        <f aca="false">VLOOKUP(D1032,Rates!$A$4:$B$7,2,FALSE())</f>
        <v>0.085</v>
      </c>
      <c r="I1032" s="0" t="n">
        <f aca="false">VLOOKUP(F1032,Rates!$D$4:$E$8,2)</f>
        <v>0.85</v>
      </c>
      <c r="J1032" s="0" t="n">
        <f aca="false">ROUND(E1032*I1032,2)</f>
        <v>23381.8</v>
      </c>
      <c r="K1032" s="1" t="n">
        <f aca="false">PV(H1032/12,F1032/30,0,-E1032)</f>
        <v>26666.8192600381</v>
      </c>
      <c r="L1032" s="0" t="n">
        <f aca="false">ROUND(E1032-K1032,2)</f>
        <v>841.18</v>
      </c>
      <c r="M1032" s="0" t="n">
        <f aca="false">F1032/E1032</f>
        <v>0.00479860404246038</v>
      </c>
    </row>
    <row r="1033" customFormat="false" ht="12.8" hidden="false" customHeight="false" outlineLevel="0" collapsed="false">
      <c r="A1033" s="0" t="s">
        <v>1549</v>
      </c>
      <c r="B1033" s="0" t="s">
        <v>330</v>
      </c>
      <c r="C1033" s="0" t="s">
        <v>15</v>
      </c>
      <c r="D1033" s="0" t="s">
        <v>23</v>
      </c>
      <c r="E1033" s="0" t="n">
        <v>42608.45</v>
      </c>
      <c r="F1033" s="0" t="n">
        <v>186</v>
      </c>
      <c r="G1033" s="0" t="str">
        <f aca="false">IF(F1033&lt;=30,"Current",IF(F1033&lt;=60,"31 to 60 days",IF(F1033&lt;=90,"61 to 90 days",IF(F1033&lt;=120,"91 to 120 days","Over 120 days"))))</f>
        <v>Over 120 days</v>
      </c>
      <c r="H1033" s="0" t="n">
        <f aca="false">VLOOKUP(D1033,Rates!$A$4:$B$7,2,FALSE())</f>
        <v>0.115</v>
      </c>
      <c r="I1033" s="0" t="n">
        <f aca="false">VLOOKUP(F1033,Rates!$D$4:$E$8,2)</f>
        <v>0.85</v>
      </c>
      <c r="J1033" s="0" t="n">
        <f aca="false">ROUND(E1033*I1033,2)</f>
        <v>36217.18</v>
      </c>
      <c r="K1033" s="1" t="n">
        <f aca="false">PV(H1033/12,F1033/30,0,-E1033)</f>
        <v>40161.9015105842</v>
      </c>
      <c r="L1033" s="0" t="n">
        <f aca="false">ROUND(E1033-K1033,2)</f>
        <v>2446.55</v>
      </c>
      <c r="M1033" s="0" t="n">
        <f aca="false">F1033/E1033</f>
        <v>0.00436533128992019</v>
      </c>
    </row>
    <row r="1034" customFormat="false" ht="12.8" hidden="false" customHeight="false" outlineLevel="0" collapsed="false">
      <c r="A1034" s="0" t="s">
        <v>1550</v>
      </c>
      <c r="B1034" s="0" t="s">
        <v>78</v>
      </c>
      <c r="C1034" s="0" t="s">
        <v>19</v>
      </c>
      <c r="D1034" s="0" t="s">
        <v>23</v>
      </c>
      <c r="E1034" s="0" t="n">
        <v>43251.97</v>
      </c>
      <c r="F1034" s="0" t="n">
        <v>387</v>
      </c>
      <c r="G1034" s="0" t="str">
        <f aca="false">IF(F1034&lt;=30,"Current",IF(F1034&lt;=60,"31 to 60 days",IF(F1034&lt;=90,"61 to 90 days",IF(F1034&lt;=120,"91 to 120 days","Over 120 days"))))</f>
        <v>Over 120 days</v>
      </c>
      <c r="H1034" s="0" t="n">
        <f aca="false">VLOOKUP(D1034,Rates!$A$4:$B$7,2,FALSE())</f>
        <v>0.115</v>
      </c>
      <c r="I1034" s="0" t="n">
        <f aca="false">VLOOKUP(F1034,Rates!$D$4:$E$8,2)</f>
        <v>0.85</v>
      </c>
      <c r="J1034" s="0" t="n">
        <f aca="false">ROUND(E1034*I1034,2)</f>
        <v>36764.17</v>
      </c>
      <c r="K1034" s="1" t="n">
        <f aca="false">PV(H1034/12,F1034/30,0,-E1034)</f>
        <v>38244.7537374659</v>
      </c>
      <c r="L1034" s="0" t="n">
        <f aca="false">ROUND(E1034-K1034,2)</f>
        <v>5007.22</v>
      </c>
      <c r="M1034" s="0" t="n">
        <f aca="false">F1034/E1034</f>
        <v>0.00894756932458799</v>
      </c>
    </row>
    <row r="1035" customFormat="false" ht="12.8" hidden="false" customHeight="false" outlineLevel="0" collapsed="false">
      <c r="A1035" s="0" t="s">
        <v>1551</v>
      </c>
      <c r="B1035" s="0" t="s">
        <v>51</v>
      </c>
      <c r="C1035" s="0" t="s">
        <v>36</v>
      </c>
      <c r="D1035" s="0" t="s">
        <v>20</v>
      </c>
      <c r="E1035" s="0" t="n">
        <v>12104.32</v>
      </c>
      <c r="F1035" s="0" t="n">
        <v>64</v>
      </c>
      <c r="G1035" s="0" t="str">
        <f aca="false">IF(F1035&lt;=30,"Current",IF(F1035&lt;=60,"31 to 60 days",IF(F1035&lt;=90,"61 to 90 days",IF(F1035&lt;=120,"91 to 120 days","Over 120 days"))))</f>
        <v>61 to 90 days</v>
      </c>
      <c r="H1035" s="0" t="n">
        <f aca="false">VLOOKUP(D1035,Rates!$A$4:$B$7,2,FALSE())</f>
        <v>0.05</v>
      </c>
      <c r="I1035" s="0" t="n">
        <f aca="false">VLOOKUP(F1035,Rates!$D$4:$E$8,2)</f>
        <v>0.25</v>
      </c>
      <c r="J1035" s="0" t="n">
        <f aca="false">ROUND(E1035*I1035,2)</f>
        <v>3026.08</v>
      </c>
      <c r="K1035" s="1" t="n">
        <f aca="false">PV(H1035/12,F1035/30,0,-E1035)</f>
        <v>11997.4243833209</v>
      </c>
      <c r="L1035" s="0" t="n">
        <f aca="false">ROUND(E1035-K1035,2)</f>
        <v>106.9</v>
      </c>
      <c r="M1035" s="0" t="n">
        <f aca="false">F1035/E1035</f>
        <v>0.00528736847670914</v>
      </c>
    </row>
    <row r="1036" customFormat="false" ht="12.8" hidden="false" customHeight="false" outlineLevel="0" collapsed="false">
      <c r="A1036" s="0" t="s">
        <v>1552</v>
      </c>
      <c r="B1036" s="0" t="s">
        <v>18</v>
      </c>
      <c r="C1036" s="0" t="s">
        <v>19</v>
      </c>
      <c r="D1036" s="0" t="s">
        <v>20</v>
      </c>
      <c r="E1036" s="0" t="n">
        <v>0</v>
      </c>
      <c r="F1036" s="0" t="n">
        <v>286</v>
      </c>
      <c r="G1036" s="0" t="str">
        <f aca="false">IF(F1036&lt;=30,"Current",IF(F1036&lt;=60,"31 to 60 days",IF(F1036&lt;=90,"61 to 90 days",IF(F1036&lt;=120,"91 to 120 days","Over 120 days"))))</f>
        <v>Over 120 days</v>
      </c>
      <c r="H1036" s="0" t="n">
        <f aca="false">VLOOKUP(D1036,Rates!$A$4:$B$7,2,FALSE())</f>
        <v>0.05</v>
      </c>
      <c r="I1036" s="0" t="n">
        <f aca="false">VLOOKUP(F1036,Rates!$D$4:$E$8,2)</f>
        <v>0.85</v>
      </c>
      <c r="J1036" s="0" t="n">
        <f aca="false">ROUND(E1036*I1036,2)</f>
        <v>0</v>
      </c>
      <c r="K1036" s="1" t="n">
        <f aca="false">PV(H1036/12,F1036/30,0,-E1036)</f>
        <v>-0</v>
      </c>
      <c r="L1036" s="0" t="n">
        <f aca="false">ROUND(E1036-K1036,2)</f>
        <v>0</v>
      </c>
      <c r="M1036" s="0" t="e">
        <f aca="false">F1036/E1036</f>
        <v>#DIV/0!</v>
      </c>
    </row>
    <row r="1037" customFormat="false" ht="12.8" hidden="false" customHeight="false" outlineLevel="0" collapsed="false">
      <c r="A1037" s="0" t="s">
        <v>1553</v>
      </c>
      <c r="B1037" s="0" t="s">
        <v>78</v>
      </c>
      <c r="C1037" s="0" t="s">
        <v>19</v>
      </c>
      <c r="D1037" s="0" t="s">
        <v>23</v>
      </c>
      <c r="E1037" s="0" t="n">
        <v>6612.48</v>
      </c>
      <c r="F1037" s="0" t="n">
        <v>193</v>
      </c>
      <c r="G1037" s="0" t="str">
        <f aca="false">IF(F1037&lt;=30,"Current",IF(F1037&lt;=60,"31 to 60 days",IF(F1037&lt;=90,"61 to 90 days",IF(F1037&lt;=120,"91 to 120 days","Over 120 days"))))</f>
        <v>Over 120 days</v>
      </c>
      <c r="H1037" s="0" t="n">
        <f aca="false">VLOOKUP(D1037,Rates!$A$4:$B$7,2,FALSE())</f>
        <v>0.115</v>
      </c>
      <c r="I1037" s="0" t="n">
        <f aca="false">VLOOKUP(F1037,Rates!$D$4:$E$8,2)</f>
        <v>0.85</v>
      </c>
      <c r="J1037" s="0" t="n">
        <f aca="false">ROUND(E1037*I1037,2)</f>
        <v>5620.61</v>
      </c>
      <c r="K1037" s="1" t="n">
        <f aca="false">PV(H1037/12,F1037/30,0,-E1037)</f>
        <v>6218.94041185246</v>
      </c>
      <c r="L1037" s="0" t="n">
        <f aca="false">ROUND(E1037-K1037,2)</f>
        <v>393.54</v>
      </c>
      <c r="M1037" s="0" t="n">
        <f aca="false">F1037/E1037</f>
        <v>0.0291872338366241</v>
      </c>
    </row>
    <row r="1038" customFormat="false" ht="12.8" hidden="false" customHeight="false" outlineLevel="0" collapsed="false">
      <c r="A1038" s="0" t="s">
        <v>1554</v>
      </c>
      <c r="B1038" s="0" t="s">
        <v>120</v>
      </c>
      <c r="C1038" s="0" t="s">
        <v>31</v>
      </c>
      <c r="D1038" s="0" t="s">
        <v>23</v>
      </c>
      <c r="E1038" s="0" t="n">
        <v>26734.27</v>
      </c>
      <c r="F1038" s="0" t="n">
        <v>136</v>
      </c>
      <c r="G1038" s="0" t="str">
        <f aca="false">IF(F1038&lt;=30,"Current",IF(F1038&lt;=60,"31 to 60 days",IF(F1038&lt;=90,"61 to 90 days",IF(F1038&lt;=120,"91 to 120 days","Over 120 days"))))</f>
        <v>Over 120 days</v>
      </c>
      <c r="H1038" s="0" t="n">
        <f aca="false">VLOOKUP(D1038,Rates!$A$4:$B$7,2,FALSE())</f>
        <v>0.115</v>
      </c>
      <c r="I1038" s="0" t="n">
        <f aca="false">VLOOKUP(F1038,Rates!$D$4:$E$8,2)</f>
        <v>0.85</v>
      </c>
      <c r="J1038" s="0" t="n">
        <f aca="false">ROUND(E1038*I1038,2)</f>
        <v>22724.13</v>
      </c>
      <c r="K1038" s="1" t="n">
        <f aca="false">PV(H1038/12,F1038/30,0,-E1038)</f>
        <v>25602.9779105749</v>
      </c>
      <c r="L1038" s="0" t="n">
        <f aca="false">ROUND(E1038-K1038,2)</f>
        <v>1131.29</v>
      </c>
      <c r="M1038" s="0" t="n">
        <f aca="false">F1038/E1038</f>
        <v>0.00508710355659608</v>
      </c>
    </row>
    <row r="1039" customFormat="false" ht="12.8" hidden="false" customHeight="false" outlineLevel="0" collapsed="false">
      <c r="A1039" s="0" t="s">
        <v>1555</v>
      </c>
      <c r="B1039" s="0" t="s">
        <v>30</v>
      </c>
      <c r="C1039" s="0" t="s">
        <v>31</v>
      </c>
      <c r="D1039" s="0" t="s">
        <v>20</v>
      </c>
      <c r="E1039" s="0" t="n">
        <v>1358.25</v>
      </c>
      <c r="F1039" s="0" t="n">
        <v>263</v>
      </c>
      <c r="G1039" s="0" t="str">
        <f aca="false">IF(F1039&lt;=30,"Current",IF(F1039&lt;=60,"31 to 60 days",IF(F1039&lt;=90,"61 to 90 days",IF(F1039&lt;=120,"91 to 120 days","Over 120 days"))))</f>
        <v>Over 120 days</v>
      </c>
      <c r="H1039" s="0" t="n">
        <f aca="false">VLOOKUP(D1039,Rates!$A$4:$B$7,2,FALSE())</f>
        <v>0.05</v>
      </c>
      <c r="I1039" s="0" t="n">
        <f aca="false">VLOOKUP(F1039,Rates!$D$4:$E$8,2)</f>
        <v>0.85</v>
      </c>
      <c r="J1039" s="0" t="n">
        <f aca="false">ROUND(E1039*I1039,2)</f>
        <v>1154.51</v>
      </c>
      <c r="K1039" s="1" t="n">
        <f aca="false">PV(H1039/12,F1039/30,0,-E1039)</f>
        <v>1309.63073720277</v>
      </c>
      <c r="L1039" s="0" t="n">
        <f aca="false">ROUND(E1039-K1039,2)</f>
        <v>48.62</v>
      </c>
      <c r="M1039" s="0" t="n">
        <f aca="false">F1039/E1039</f>
        <v>0.193631511135653</v>
      </c>
    </row>
    <row r="1040" customFormat="false" ht="12.8" hidden="false" customHeight="false" outlineLevel="0" collapsed="false">
      <c r="A1040" s="0" t="s">
        <v>1556</v>
      </c>
      <c r="B1040" s="0" t="s">
        <v>28</v>
      </c>
      <c r="C1040" s="0" t="s">
        <v>15</v>
      </c>
      <c r="D1040" s="0" t="s">
        <v>20</v>
      </c>
      <c r="E1040" s="0" t="n">
        <v>30386.31</v>
      </c>
      <c r="F1040" s="0" t="n">
        <v>207</v>
      </c>
      <c r="G1040" s="0" t="str">
        <f aca="false">IF(F1040&lt;=30,"Current",IF(F1040&lt;=60,"31 to 60 days",IF(F1040&lt;=90,"61 to 90 days",IF(F1040&lt;=120,"91 to 120 days","Over 120 days"))))</f>
        <v>Over 120 days</v>
      </c>
      <c r="H1040" s="0" t="n">
        <f aca="false">VLOOKUP(D1040,Rates!$A$4:$B$7,2,FALSE())</f>
        <v>0.05</v>
      </c>
      <c r="I1040" s="0" t="n">
        <f aca="false">VLOOKUP(F1040,Rates!$D$4:$E$8,2)</f>
        <v>0.85</v>
      </c>
      <c r="J1040" s="0" t="n">
        <f aca="false">ROUND(E1040*I1040,2)</f>
        <v>25828.36</v>
      </c>
      <c r="K1040" s="1" t="n">
        <f aca="false">PV(H1040/12,F1040/30,0,-E1040)</f>
        <v>29526.9057800012</v>
      </c>
      <c r="L1040" s="0" t="n">
        <f aca="false">ROUND(E1040-K1040,2)</f>
        <v>859.4</v>
      </c>
      <c r="M1040" s="0" t="n">
        <f aca="false">F1040/E1040</f>
        <v>0.0068122782924284</v>
      </c>
    </row>
    <row r="1041" customFormat="false" ht="12.8" hidden="false" customHeight="false" outlineLevel="0" collapsed="false">
      <c r="A1041" s="0" t="s">
        <v>1557</v>
      </c>
      <c r="B1041" s="0" t="s">
        <v>1558</v>
      </c>
      <c r="C1041" s="0" t="s">
        <v>15</v>
      </c>
      <c r="D1041" s="0" t="s">
        <v>49</v>
      </c>
      <c r="E1041" s="0" t="n">
        <v>42344.21</v>
      </c>
      <c r="F1041" s="0" t="n">
        <v>314</v>
      </c>
      <c r="G1041" s="0" t="str">
        <f aca="false">IF(F1041&lt;=30,"Current",IF(F1041&lt;=60,"31 to 60 days",IF(F1041&lt;=90,"61 to 90 days",IF(F1041&lt;=120,"91 to 120 days","Over 120 days"))))</f>
        <v>Over 120 days</v>
      </c>
      <c r="H1041" s="0" t="n">
        <f aca="false">VLOOKUP(D1041,Rates!$A$4:$B$7,2,FALSE())</f>
        <v>0.02</v>
      </c>
      <c r="I1041" s="0" t="n">
        <f aca="false">VLOOKUP(F1041,Rates!$D$4:$E$8,2)</f>
        <v>0.85</v>
      </c>
      <c r="J1041" s="0" t="n">
        <f aca="false">ROUND(E1041*I1041,2)</f>
        <v>35992.58</v>
      </c>
      <c r="K1041" s="1" t="n">
        <f aca="false">PV(H1041/12,F1041/30,0,-E1041)</f>
        <v>41612.5485819168</v>
      </c>
      <c r="L1041" s="0" t="n">
        <f aca="false">ROUND(E1041-K1041,2)</f>
        <v>731.66</v>
      </c>
      <c r="M1041" s="0" t="n">
        <f aca="false">F1041/E1041</f>
        <v>0.00741541759782506</v>
      </c>
    </row>
    <row r="1042" customFormat="false" ht="12.8" hidden="false" customHeight="false" outlineLevel="0" collapsed="false">
      <c r="A1042" s="0" t="s">
        <v>1559</v>
      </c>
      <c r="B1042" s="0" t="s">
        <v>475</v>
      </c>
      <c r="C1042" s="0" t="s">
        <v>31</v>
      </c>
      <c r="D1042" s="0" t="s">
        <v>23</v>
      </c>
      <c r="E1042" s="0" t="n">
        <v>44063.44</v>
      </c>
      <c r="F1042" s="0" t="n">
        <v>178</v>
      </c>
      <c r="G1042" s="0" t="str">
        <f aca="false">IF(F1042&lt;=30,"Current",IF(F1042&lt;=60,"31 to 60 days",IF(F1042&lt;=90,"61 to 90 days",IF(F1042&lt;=120,"91 to 120 days","Over 120 days"))))</f>
        <v>Over 120 days</v>
      </c>
      <c r="H1042" s="0" t="n">
        <f aca="false">VLOOKUP(D1042,Rates!$A$4:$B$7,2,FALSE())</f>
        <v>0.115</v>
      </c>
      <c r="I1042" s="0" t="n">
        <f aca="false">VLOOKUP(F1042,Rates!$D$4:$E$8,2)</f>
        <v>0.85</v>
      </c>
      <c r="J1042" s="0" t="n">
        <f aca="false">ROUND(E1042*I1042,2)</f>
        <v>37453.92</v>
      </c>
      <c r="K1042" s="1" t="n">
        <f aca="false">PV(H1042/12,F1042/30,0,-E1042)</f>
        <v>41639.1168255463</v>
      </c>
      <c r="L1042" s="0" t="n">
        <f aca="false">ROUND(E1042-K1042,2)</f>
        <v>2424.32</v>
      </c>
      <c r="M1042" s="0" t="n">
        <f aca="false">F1042/E1042</f>
        <v>0.00403963013328056</v>
      </c>
    </row>
    <row r="1043" customFormat="false" ht="12.8" hidden="false" customHeight="false" outlineLevel="0" collapsed="false">
      <c r="A1043" s="0" t="s">
        <v>1560</v>
      </c>
      <c r="B1043" s="0" t="s">
        <v>1561</v>
      </c>
      <c r="C1043" s="0" t="s">
        <v>19</v>
      </c>
      <c r="D1043" s="0" t="s">
        <v>16</v>
      </c>
      <c r="E1043" s="0" t="n">
        <v>8878.49</v>
      </c>
      <c r="F1043" s="0" t="n">
        <v>331</v>
      </c>
      <c r="G1043" s="0" t="str">
        <f aca="false">IF(F1043&lt;=30,"Current",IF(F1043&lt;=60,"31 to 60 days",IF(F1043&lt;=90,"61 to 90 days",IF(F1043&lt;=120,"91 to 120 days","Over 120 days"))))</f>
        <v>Over 120 days</v>
      </c>
      <c r="H1043" s="0" t="n">
        <f aca="false">VLOOKUP(D1043,Rates!$A$4:$B$7,2,FALSE())</f>
        <v>0.085</v>
      </c>
      <c r="I1043" s="0" t="n">
        <f aca="false">VLOOKUP(F1043,Rates!$D$4:$E$8,2)</f>
        <v>0.85</v>
      </c>
      <c r="J1043" s="0" t="n">
        <f aca="false">ROUND(E1043*I1043,2)</f>
        <v>7546.72</v>
      </c>
      <c r="K1043" s="1" t="n">
        <f aca="false">PV(H1043/12,F1043/30,0,-E1043)</f>
        <v>8213.29522888035</v>
      </c>
      <c r="L1043" s="0" t="n">
        <f aca="false">ROUND(E1043-K1043,2)</f>
        <v>665.19</v>
      </c>
      <c r="M1043" s="0" t="n">
        <f aca="false">F1043/E1043</f>
        <v>0.0372811142435257</v>
      </c>
    </row>
    <row r="1044" customFormat="false" ht="12.8" hidden="false" customHeight="false" outlineLevel="0" collapsed="false">
      <c r="A1044" s="0" t="s">
        <v>1562</v>
      </c>
      <c r="B1044" s="0" t="s">
        <v>742</v>
      </c>
      <c r="C1044" s="0" t="s">
        <v>42</v>
      </c>
      <c r="D1044" s="0" t="s">
        <v>49</v>
      </c>
      <c r="E1044" s="0" t="n">
        <v>18260.56</v>
      </c>
      <c r="F1044" s="0" t="n">
        <v>379</v>
      </c>
      <c r="G1044" s="0" t="str">
        <f aca="false">IF(F1044&lt;=30,"Current",IF(F1044&lt;=60,"31 to 60 days",IF(F1044&lt;=90,"61 to 90 days",IF(F1044&lt;=120,"91 to 120 days","Over 120 days"))))</f>
        <v>Over 120 days</v>
      </c>
      <c r="H1044" s="0" t="n">
        <f aca="false">VLOOKUP(D1044,Rates!$A$4:$B$7,2,FALSE())</f>
        <v>0.02</v>
      </c>
      <c r="I1044" s="0" t="n">
        <f aca="false">VLOOKUP(F1044,Rates!$D$4:$E$8,2)</f>
        <v>0.85</v>
      </c>
      <c r="J1044" s="0" t="n">
        <f aca="false">ROUND(E1044*I1044,2)</f>
        <v>15521.48</v>
      </c>
      <c r="K1044" s="1" t="n">
        <f aca="false">PV(H1044/12,F1044/30,0,-E1044)</f>
        <v>17880.406673557</v>
      </c>
      <c r="L1044" s="0" t="n">
        <f aca="false">ROUND(E1044-K1044,2)</f>
        <v>380.15</v>
      </c>
      <c r="M1044" s="0" t="n">
        <f aca="false">F1044/E1044</f>
        <v>0.020755113753357</v>
      </c>
    </row>
    <row r="1045" customFormat="false" ht="12.8" hidden="false" customHeight="false" outlineLevel="0" collapsed="false">
      <c r="A1045" s="0" t="s">
        <v>1563</v>
      </c>
      <c r="B1045" s="0" t="s">
        <v>526</v>
      </c>
      <c r="C1045" s="0" t="s">
        <v>26</v>
      </c>
      <c r="D1045" s="0" t="s">
        <v>23</v>
      </c>
      <c r="E1045" s="0" t="n">
        <v>15784.48</v>
      </c>
      <c r="F1045" s="0" t="n">
        <v>141</v>
      </c>
      <c r="G1045" s="0" t="str">
        <f aca="false">IF(F1045&lt;=30,"Current",IF(F1045&lt;=60,"31 to 60 days",IF(F1045&lt;=90,"61 to 90 days",IF(F1045&lt;=120,"91 to 120 days","Over 120 days"))))</f>
        <v>Over 120 days</v>
      </c>
      <c r="H1045" s="0" t="n">
        <f aca="false">VLOOKUP(D1045,Rates!$A$4:$B$7,2,FALSE())</f>
        <v>0.115</v>
      </c>
      <c r="I1045" s="0" t="n">
        <f aca="false">VLOOKUP(F1045,Rates!$D$4:$E$8,2)</f>
        <v>0.85</v>
      </c>
      <c r="J1045" s="0" t="n">
        <f aca="false">ROUND(E1045*I1045,2)</f>
        <v>13416.81</v>
      </c>
      <c r="K1045" s="1" t="n">
        <f aca="false">PV(H1045/12,F1045/30,0,-E1045)</f>
        <v>15092.5307291688</v>
      </c>
      <c r="L1045" s="0" t="n">
        <f aca="false">ROUND(E1045-K1045,2)</f>
        <v>691.95</v>
      </c>
      <c r="M1045" s="0" t="n">
        <f aca="false">F1045/E1045</f>
        <v>0.00893282515483564</v>
      </c>
    </row>
    <row r="1046" customFormat="false" ht="12.8" hidden="false" customHeight="false" outlineLevel="0" collapsed="false">
      <c r="A1046" s="0" t="s">
        <v>1564</v>
      </c>
      <c r="B1046" s="0" t="s">
        <v>269</v>
      </c>
      <c r="C1046" s="0" t="s">
        <v>42</v>
      </c>
      <c r="D1046" s="0" t="s">
        <v>23</v>
      </c>
      <c r="E1046" s="0" t="n">
        <v>26669.17</v>
      </c>
      <c r="F1046" s="0" t="n">
        <v>0</v>
      </c>
      <c r="G1046" s="0" t="str">
        <f aca="false">IF(F1046&lt;=30,"Current",IF(F1046&lt;=60,"31 to 60 days",IF(F1046&lt;=90,"61 to 90 days",IF(F1046&lt;=120,"91 to 120 days","Over 120 days"))))</f>
        <v>Current</v>
      </c>
      <c r="H1046" s="0" t="n">
        <f aca="false">VLOOKUP(D1046,Rates!$A$4:$B$7,2,FALSE())</f>
        <v>0.115</v>
      </c>
      <c r="I1046" s="0" t="n">
        <f aca="false">VLOOKUP(F1046,Rates!$D$4:$E$8,2)</f>
        <v>0.02</v>
      </c>
      <c r="J1046" s="0" t="n">
        <f aca="false">ROUND(E1046*I1046,2)</f>
        <v>533.38</v>
      </c>
      <c r="K1046" s="1" t="n">
        <f aca="false">PV(H1046/12,F1046/30,0,-E1046)</f>
        <v>26669.17</v>
      </c>
      <c r="L1046" s="0" t="n">
        <f aca="false">ROUND(E1046-K1046,2)</f>
        <v>0</v>
      </c>
      <c r="M1046" s="0" t="n">
        <f aca="false">F1046/E1046</f>
        <v>0</v>
      </c>
    </row>
    <row r="1047" customFormat="false" ht="12.8" hidden="false" customHeight="false" outlineLevel="0" collapsed="false">
      <c r="A1047" s="0" t="s">
        <v>1565</v>
      </c>
      <c r="B1047" s="0" t="s">
        <v>475</v>
      </c>
      <c r="C1047" s="0" t="s">
        <v>31</v>
      </c>
      <c r="D1047" s="0" t="s">
        <v>23</v>
      </c>
      <c r="E1047" s="0" t="n">
        <v>40070.57</v>
      </c>
      <c r="F1047" s="0" t="n">
        <v>378</v>
      </c>
      <c r="G1047" s="0" t="str">
        <f aca="false">IF(F1047&lt;=30,"Current",IF(F1047&lt;=60,"31 to 60 days",IF(F1047&lt;=90,"61 to 90 days",IF(F1047&lt;=120,"91 to 120 days","Over 120 days"))))</f>
        <v>Over 120 days</v>
      </c>
      <c r="H1047" s="0" t="n">
        <f aca="false">VLOOKUP(D1047,Rates!$A$4:$B$7,2,FALSE())</f>
        <v>0.115</v>
      </c>
      <c r="I1047" s="0" t="n">
        <f aca="false">VLOOKUP(F1047,Rates!$D$4:$E$8,2)</f>
        <v>0.85</v>
      </c>
      <c r="J1047" s="0" t="n">
        <f aca="false">ROUND(E1047*I1047,2)</f>
        <v>34059.98</v>
      </c>
      <c r="K1047" s="1" t="n">
        <f aca="false">PV(H1047/12,F1047/30,0,-E1047)</f>
        <v>35533.1858751083</v>
      </c>
      <c r="L1047" s="0" t="n">
        <f aca="false">ROUND(E1047-K1047,2)</f>
        <v>4537.38</v>
      </c>
      <c r="M1047" s="0" t="n">
        <f aca="false">F1047/E1047</f>
        <v>0.00943335719956068</v>
      </c>
    </row>
    <row r="1048" customFormat="false" ht="12.8" hidden="false" customHeight="false" outlineLevel="0" collapsed="false">
      <c r="A1048" s="0" t="s">
        <v>1566</v>
      </c>
      <c r="B1048" s="0" t="s">
        <v>1167</v>
      </c>
      <c r="C1048" s="0" t="s">
        <v>36</v>
      </c>
      <c r="D1048" s="0" t="s">
        <v>16</v>
      </c>
      <c r="E1048" s="0" t="n">
        <v>40371.88</v>
      </c>
      <c r="F1048" s="0" t="n">
        <v>1</v>
      </c>
      <c r="G1048" s="0" t="str">
        <f aca="false">IF(F1048&lt;=30,"Current",IF(F1048&lt;=60,"31 to 60 days",IF(F1048&lt;=90,"61 to 90 days",IF(F1048&lt;=120,"91 to 120 days","Over 120 days"))))</f>
        <v>Current</v>
      </c>
      <c r="H1048" s="0" t="n">
        <f aca="false">VLOOKUP(D1048,Rates!$A$4:$B$7,2,FALSE())</f>
        <v>0.085</v>
      </c>
      <c r="I1048" s="0" t="n">
        <f aca="false">VLOOKUP(F1048,Rates!$D$4:$E$8,2)</f>
        <v>0.02</v>
      </c>
      <c r="J1048" s="0" t="n">
        <f aca="false">ROUND(E1048*I1048,2)</f>
        <v>807.44</v>
      </c>
      <c r="K1048" s="1" t="n">
        <f aca="false">PV(H1048/12,F1048/30,0,-E1048)</f>
        <v>40362.3824693531</v>
      </c>
      <c r="L1048" s="0" t="n">
        <f aca="false">ROUND(E1048-K1048,2)</f>
        <v>9.5</v>
      </c>
      <c r="M1048" s="0" t="n">
        <f aca="false">F1048/E1048</f>
        <v>2.47697159508054E-005</v>
      </c>
    </row>
    <row r="1049" customFormat="false" ht="12.8" hidden="false" customHeight="false" outlineLevel="0" collapsed="false">
      <c r="A1049" s="0" t="s">
        <v>1567</v>
      </c>
      <c r="B1049" s="0" t="s">
        <v>1568</v>
      </c>
      <c r="C1049" s="0" t="s">
        <v>36</v>
      </c>
      <c r="D1049" s="0" t="s">
        <v>16</v>
      </c>
      <c r="E1049" s="0" t="n">
        <v>11401.65</v>
      </c>
      <c r="F1049" s="0" t="n">
        <v>212</v>
      </c>
      <c r="G1049" s="0" t="str">
        <f aca="false">IF(F1049&lt;=30,"Current",IF(F1049&lt;=60,"31 to 60 days",IF(F1049&lt;=90,"61 to 90 days",IF(F1049&lt;=120,"91 to 120 days","Over 120 days"))))</f>
        <v>Over 120 days</v>
      </c>
      <c r="H1049" s="0" t="n">
        <f aca="false">VLOOKUP(D1049,Rates!$A$4:$B$7,2,FALSE())</f>
        <v>0.085</v>
      </c>
      <c r="I1049" s="0" t="n">
        <f aca="false">VLOOKUP(F1049,Rates!$D$4:$E$8,2)</f>
        <v>0.85</v>
      </c>
      <c r="J1049" s="0" t="n">
        <f aca="false">ROUND(E1049*I1049,2)</f>
        <v>9691.4</v>
      </c>
      <c r="K1049" s="1" t="n">
        <f aca="false">PV(H1049/12,F1049/30,0,-E1049)</f>
        <v>10846.8961894404</v>
      </c>
      <c r="L1049" s="0" t="n">
        <f aca="false">ROUND(E1049-K1049,2)</f>
        <v>554.75</v>
      </c>
      <c r="M1049" s="0" t="n">
        <f aca="false">F1049/E1049</f>
        <v>0.0185938000201725</v>
      </c>
    </row>
    <row r="1050" customFormat="false" ht="12.8" hidden="false" customHeight="false" outlineLevel="0" collapsed="false">
      <c r="A1050" s="0" t="s">
        <v>1569</v>
      </c>
      <c r="B1050" s="0" t="s">
        <v>1570</v>
      </c>
      <c r="C1050" s="0" t="s">
        <v>36</v>
      </c>
      <c r="D1050" s="0" t="s">
        <v>49</v>
      </c>
      <c r="E1050" s="0" t="n">
        <v>38811.71</v>
      </c>
      <c r="F1050" s="0" t="n">
        <v>51</v>
      </c>
      <c r="G1050" s="0" t="str">
        <f aca="false">IF(F1050&lt;=30,"Current",IF(F1050&lt;=60,"31 to 60 days",IF(F1050&lt;=90,"61 to 90 days",IF(F1050&lt;=120,"91 to 120 days","Over 120 days"))))</f>
        <v>31 to 60 days</v>
      </c>
      <c r="H1050" s="0" t="n">
        <f aca="false">VLOOKUP(D1050,Rates!$A$4:$B$7,2,FALSE())</f>
        <v>0.02</v>
      </c>
      <c r="I1050" s="0" t="n">
        <f aca="false">VLOOKUP(F1050,Rates!$D$4:$E$8,2)</f>
        <v>0.1</v>
      </c>
      <c r="J1050" s="0" t="n">
        <f aca="false">ROUND(E1050*I1050,2)</f>
        <v>3881.17</v>
      </c>
      <c r="K1050" s="1" t="n">
        <f aca="false">PV(H1050/12,F1050/30,0,-E1050)</f>
        <v>38701.9904053836</v>
      </c>
      <c r="L1050" s="0" t="n">
        <f aca="false">ROUND(E1050-K1050,2)</f>
        <v>109.72</v>
      </c>
      <c r="M1050" s="0" t="n">
        <f aca="false">F1050/E1050</f>
        <v>0.00131403640808406</v>
      </c>
    </row>
    <row r="1051" customFormat="false" ht="12.8" hidden="false" customHeight="false" outlineLevel="0" collapsed="false">
      <c r="A1051" s="0" t="s">
        <v>1571</v>
      </c>
      <c r="B1051" s="0" t="s">
        <v>375</v>
      </c>
      <c r="C1051" s="0" t="s">
        <v>42</v>
      </c>
      <c r="D1051" s="0" t="s">
        <v>23</v>
      </c>
      <c r="E1051" s="0" t="n">
        <v>40169.35</v>
      </c>
      <c r="F1051" s="0" t="n">
        <v>50</v>
      </c>
      <c r="G1051" s="0" t="str">
        <f aca="false">IF(F1051&lt;=30,"Current",IF(F1051&lt;=60,"31 to 60 days",IF(F1051&lt;=90,"61 to 90 days",IF(F1051&lt;=120,"91 to 120 days","Over 120 days"))))</f>
        <v>31 to 60 days</v>
      </c>
      <c r="H1051" s="0" t="n">
        <f aca="false">VLOOKUP(D1051,Rates!$A$4:$B$7,2,FALSE())</f>
        <v>0.115</v>
      </c>
      <c r="I1051" s="0" t="n">
        <f aca="false">VLOOKUP(F1051,Rates!$D$4:$E$8,2)</f>
        <v>0.1</v>
      </c>
      <c r="J1051" s="0" t="n">
        <f aca="false">ROUND(E1051*I1051,2)</f>
        <v>4016.94</v>
      </c>
      <c r="K1051" s="1" t="n">
        <f aca="false">PV(H1051/12,F1051/30,0,-E1051)</f>
        <v>39535.8593956096</v>
      </c>
      <c r="L1051" s="0" t="n">
        <f aca="false">ROUND(E1051-K1051,2)</f>
        <v>633.49</v>
      </c>
      <c r="M1051" s="0" t="n">
        <f aca="false">F1051/E1051</f>
        <v>0.0012447301238382</v>
      </c>
    </row>
    <row r="1052" customFormat="false" ht="12.8" hidden="false" customHeight="false" outlineLevel="0" collapsed="false">
      <c r="A1052" s="0" t="s">
        <v>1572</v>
      </c>
      <c r="B1052" s="0" t="s">
        <v>33</v>
      </c>
      <c r="C1052" s="0" t="s">
        <v>26</v>
      </c>
      <c r="D1052" s="0" t="s">
        <v>20</v>
      </c>
      <c r="E1052" s="0" t="n">
        <v>29540.28</v>
      </c>
      <c r="F1052" s="0" t="n">
        <v>276</v>
      </c>
      <c r="G1052" s="0" t="str">
        <f aca="false">IF(F1052&lt;=30,"Current",IF(F1052&lt;=60,"31 to 60 days",IF(F1052&lt;=90,"61 to 90 days",IF(F1052&lt;=120,"91 to 120 days","Over 120 days"))))</f>
        <v>Over 120 days</v>
      </c>
      <c r="H1052" s="0" t="n">
        <f aca="false">VLOOKUP(D1052,Rates!$A$4:$B$7,2,FALSE())</f>
        <v>0.05</v>
      </c>
      <c r="I1052" s="0" t="n">
        <f aca="false">VLOOKUP(F1052,Rates!$D$4:$E$8,2)</f>
        <v>0.85</v>
      </c>
      <c r="J1052" s="0" t="n">
        <f aca="false">ROUND(E1052*I1052,2)</f>
        <v>25109.24</v>
      </c>
      <c r="K1052" s="1" t="n">
        <f aca="false">PV(H1052/12,F1052/30,0,-E1052)</f>
        <v>28431.5960111974</v>
      </c>
      <c r="L1052" s="0" t="n">
        <f aca="false">ROUND(E1052-K1052,2)</f>
        <v>1108.68</v>
      </c>
      <c r="M1052" s="0" t="n">
        <f aca="false">F1052/E1052</f>
        <v>0.00934317481080071</v>
      </c>
    </row>
    <row r="1053" customFormat="false" ht="12.8" hidden="false" customHeight="false" outlineLevel="0" collapsed="false">
      <c r="A1053" s="0" t="s">
        <v>1573</v>
      </c>
      <c r="B1053" s="0" t="s">
        <v>1574</v>
      </c>
      <c r="C1053" s="0" t="s">
        <v>15</v>
      </c>
      <c r="D1053" s="0" t="s">
        <v>49</v>
      </c>
      <c r="E1053" s="0" t="n">
        <v>10578.27</v>
      </c>
      <c r="F1053" s="0" t="n">
        <v>93</v>
      </c>
      <c r="G1053" s="0" t="str">
        <f aca="false">IF(F1053&lt;=30,"Current",IF(F1053&lt;=60,"31 to 60 days",IF(F1053&lt;=90,"61 to 90 days",IF(F1053&lt;=120,"91 to 120 days","Over 120 days"))))</f>
        <v>91 to 120 days</v>
      </c>
      <c r="H1053" s="0" t="n">
        <f aca="false">VLOOKUP(D1053,Rates!$A$4:$B$7,2,FALSE())</f>
        <v>0.02</v>
      </c>
      <c r="I1053" s="0" t="n">
        <f aca="false">VLOOKUP(F1053,Rates!$D$4:$E$8,2)</f>
        <v>0.5</v>
      </c>
      <c r="J1053" s="0" t="n">
        <f aca="false">ROUND(E1053*I1053,2)</f>
        <v>5289.14</v>
      </c>
      <c r="K1053" s="1" t="n">
        <f aca="false">PV(H1053/12,F1053/30,0,-E1053)</f>
        <v>10523.8018131063</v>
      </c>
      <c r="L1053" s="0" t="n">
        <f aca="false">ROUND(E1053-K1053,2)</f>
        <v>54.47</v>
      </c>
      <c r="M1053" s="0" t="n">
        <f aca="false">F1053/E1053</f>
        <v>0.00879160770144835</v>
      </c>
    </row>
    <row r="1054" customFormat="false" ht="12.8" hidden="false" customHeight="false" outlineLevel="0" collapsed="false">
      <c r="A1054" s="0" t="s">
        <v>1575</v>
      </c>
      <c r="B1054" s="0" t="s">
        <v>28</v>
      </c>
      <c r="C1054" s="0" t="s">
        <v>15</v>
      </c>
      <c r="D1054" s="0" t="s">
        <v>20</v>
      </c>
      <c r="E1054" s="0" t="n">
        <v>32040.47</v>
      </c>
      <c r="F1054" s="0" t="n">
        <v>104</v>
      </c>
      <c r="G1054" s="0" t="str">
        <f aca="false">IF(F1054&lt;=30,"Current",IF(F1054&lt;=60,"31 to 60 days",IF(F1054&lt;=90,"61 to 90 days",IF(F1054&lt;=120,"91 to 120 days","Over 120 days"))))</f>
        <v>91 to 120 days</v>
      </c>
      <c r="H1054" s="0" t="n">
        <f aca="false">VLOOKUP(D1054,Rates!$A$4:$B$7,2,FALSE())</f>
        <v>0.05</v>
      </c>
      <c r="I1054" s="0" t="n">
        <f aca="false">VLOOKUP(F1054,Rates!$D$4:$E$8,2)</f>
        <v>0.5</v>
      </c>
      <c r="J1054" s="0" t="n">
        <f aca="false">ROUND(E1054*I1054,2)</f>
        <v>16020.24</v>
      </c>
      <c r="K1054" s="1" t="n">
        <f aca="false">PV(H1054/12,F1054/30,0,-E1054)</f>
        <v>31581.9374054737</v>
      </c>
      <c r="L1054" s="0" t="n">
        <f aca="false">ROUND(E1054-K1054,2)</f>
        <v>458.53</v>
      </c>
      <c r="M1054" s="0" t="n">
        <f aca="false">F1054/E1054</f>
        <v>0.00324589495722129</v>
      </c>
    </row>
    <row r="1055" customFormat="false" ht="12.8" hidden="false" customHeight="false" outlineLevel="0" collapsed="false">
      <c r="A1055" s="0" t="s">
        <v>1576</v>
      </c>
      <c r="B1055" s="0" t="s">
        <v>205</v>
      </c>
      <c r="C1055" s="0" t="s">
        <v>42</v>
      </c>
      <c r="D1055" s="0" t="s">
        <v>23</v>
      </c>
      <c r="E1055" s="0" t="n">
        <v>41147.87</v>
      </c>
      <c r="F1055" s="0" t="n">
        <v>215</v>
      </c>
      <c r="G1055" s="0" t="str">
        <f aca="false">IF(F1055&lt;=30,"Current",IF(F1055&lt;=60,"31 to 60 days",IF(F1055&lt;=90,"61 to 90 days",IF(F1055&lt;=120,"91 to 120 days","Over 120 days"))))</f>
        <v>Over 120 days</v>
      </c>
      <c r="H1055" s="0" t="n">
        <f aca="false">VLOOKUP(D1055,Rates!$A$4:$B$7,2,FALSE())</f>
        <v>0.115</v>
      </c>
      <c r="I1055" s="0" t="n">
        <f aca="false">VLOOKUP(F1055,Rates!$D$4:$E$8,2)</f>
        <v>0.85</v>
      </c>
      <c r="J1055" s="0" t="n">
        <f aca="false">ROUND(E1055*I1055,2)</f>
        <v>34975.69</v>
      </c>
      <c r="K1055" s="1" t="n">
        <f aca="false">PV(H1055/12,F1055/30,0,-E1055)</f>
        <v>38429.2395002257</v>
      </c>
      <c r="L1055" s="0" t="n">
        <f aca="false">ROUND(E1055-K1055,2)</f>
        <v>2718.63</v>
      </c>
      <c r="M1055" s="0" t="n">
        <f aca="false">F1055/E1055</f>
        <v>0.00522505782194801</v>
      </c>
    </row>
    <row r="1056" customFormat="false" ht="12.8" hidden="false" customHeight="false" outlineLevel="0" collapsed="false">
      <c r="A1056" s="0" t="s">
        <v>1577</v>
      </c>
      <c r="B1056" s="0" t="s">
        <v>113</v>
      </c>
      <c r="C1056" s="0" t="s">
        <v>26</v>
      </c>
      <c r="D1056" s="0" t="s">
        <v>23</v>
      </c>
      <c r="E1056" s="0" t="n">
        <v>28537.45</v>
      </c>
      <c r="F1056" s="0" t="n">
        <v>395</v>
      </c>
      <c r="G1056" s="0" t="str">
        <f aca="false">IF(F1056&lt;=30,"Current",IF(F1056&lt;=60,"31 to 60 days",IF(F1056&lt;=90,"61 to 90 days",IF(F1056&lt;=120,"91 to 120 days","Over 120 days"))))</f>
        <v>Over 120 days</v>
      </c>
      <c r="H1056" s="0" t="n">
        <f aca="false">VLOOKUP(D1056,Rates!$A$4:$B$7,2,FALSE())</f>
        <v>0.115</v>
      </c>
      <c r="I1056" s="0" t="n">
        <f aca="false">VLOOKUP(F1056,Rates!$D$4:$E$8,2)</f>
        <v>0.85</v>
      </c>
      <c r="J1056" s="0" t="n">
        <f aca="false">ROUND(E1056*I1056,2)</f>
        <v>24256.83</v>
      </c>
      <c r="K1056" s="1" t="n">
        <f aca="false">PV(H1056/12,F1056/30,0,-E1056)</f>
        <v>25169.6142718698</v>
      </c>
      <c r="L1056" s="0" t="n">
        <f aca="false">ROUND(E1056-K1056,2)</f>
        <v>3367.84</v>
      </c>
      <c r="M1056" s="0" t="n">
        <f aca="false">F1056/E1056</f>
        <v>0.0138414609574436</v>
      </c>
    </row>
    <row r="1057" customFormat="false" ht="12.8" hidden="false" customHeight="false" outlineLevel="0" collapsed="false">
      <c r="A1057" s="0" t="s">
        <v>1578</v>
      </c>
      <c r="B1057" s="0" t="s">
        <v>28</v>
      </c>
      <c r="C1057" s="0" t="s">
        <v>15</v>
      </c>
      <c r="D1057" s="0" t="s">
        <v>20</v>
      </c>
      <c r="E1057" s="0" t="n">
        <v>21058.02</v>
      </c>
      <c r="F1057" s="0" t="n">
        <v>230</v>
      </c>
      <c r="G1057" s="0" t="str">
        <f aca="false">IF(F1057&lt;=30,"Current",IF(F1057&lt;=60,"31 to 60 days",IF(F1057&lt;=90,"61 to 90 days",IF(F1057&lt;=120,"91 to 120 days","Over 120 days"))))</f>
        <v>Over 120 days</v>
      </c>
      <c r="H1057" s="0" t="n">
        <f aca="false">VLOOKUP(D1057,Rates!$A$4:$B$7,2,FALSE())</f>
        <v>0.05</v>
      </c>
      <c r="I1057" s="0" t="n">
        <f aca="false">VLOOKUP(F1057,Rates!$D$4:$E$8,2)</f>
        <v>0.85</v>
      </c>
      <c r="J1057" s="0" t="n">
        <f aca="false">ROUND(E1057*I1057,2)</f>
        <v>17899.32</v>
      </c>
      <c r="K1057" s="1" t="n">
        <f aca="false">PV(H1057/12,F1057/30,0,-E1057)</f>
        <v>20397.3177096765</v>
      </c>
      <c r="L1057" s="0" t="n">
        <f aca="false">ROUND(E1057-K1057,2)</f>
        <v>660.7</v>
      </c>
      <c r="M1057" s="0" t="n">
        <f aca="false">F1057/E1057</f>
        <v>0.010922204461768</v>
      </c>
    </row>
    <row r="1058" customFormat="false" ht="12.8" hidden="false" customHeight="false" outlineLevel="0" collapsed="false">
      <c r="A1058" s="0" t="s">
        <v>1579</v>
      </c>
      <c r="B1058" s="0" t="s">
        <v>1580</v>
      </c>
      <c r="C1058" s="0" t="s">
        <v>36</v>
      </c>
      <c r="D1058" s="0" t="s">
        <v>49</v>
      </c>
      <c r="E1058" s="0" t="n">
        <v>13695.98</v>
      </c>
      <c r="F1058" s="0" t="n">
        <v>390</v>
      </c>
      <c r="G1058" s="0" t="str">
        <f aca="false">IF(F1058&lt;=30,"Current",IF(F1058&lt;=60,"31 to 60 days",IF(F1058&lt;=90,"61 to 90 days",IF(F1058&lt;=120,"91 to 120 days","Over 120 days"))))</f>
        <v>Over 120 days</v>
      </c>
      <c r="H1058" s="0" t="n">
        <f aca="false">VLOOKUP(D1058,Rates!$A$4:$B$7,2,FALSE())</f>
        <v>0.02</v>
      </c>
      <c r="I1058" s="0" t="n">
        <f aca="false">VLOOKUP(F1058,Rates!$D$4:$E$8,2)</f>
        <v>0.85</v>
      </c>
      <c r="J1058" s="0" t="n">
        <f aca="false">ROUND(E1058*I1058,2)</f>
        <v>11641.58</v>
      </c>
      <c r="K1058" s="1" t="n">
        <f aca="false">PV(H1058/12,F1058/30,0,-E1058)</f>
        <v>13402.6671469784</v>
      </c>
      <c r="L1058" s="0" t="n">
        <f aca="false">ROUND(E1058-K1058,2)</f>
        <v>293.31</v>
      </c>
      <c r="M1058" s="0" t="n">
        <f aca="false">F1058/E1058</f>
        <v>0.0284755088719464</v>
      </c>
    </row>
    <row r="1059" customFormat="false" ht="12.8" hidden="false" customHeight="false" outlineLevel="0" collapsed="false">
      <c r="A1059" s="0" t="s">
        <v>1581</v>
      </c>
      <c r="B1059" s="0" t="s">
        <v>1582</v>
      </c>
      <c r="C1059" s="0" t="s">
        <v>31</v>
      </c>
      <c r="D1059" s="0" t="s">
        <v>16</v>
      </c>
      <c r="E1059" s="0" t="n">
        <v>29773.81</v>
      </c>
      <c r="F1059" s="0" t="n">
        <v>245</v>
      </c>
      <c r="G1059" s="0" t="str">
        <f aca="false">IF(F1059&lt;=30,"Current",IF(F1059&lt;=60,"31 to 60 days",IF(F1059&lt;=90,"61 to 90 days",IF(F1059&lt;=120,"91 to 120 days","Over 120 days"))))</f>
        <v>Over 120 days</v>
      </c>
      <c r="H1059" s="0" t="n">
        <f aca="false">VLOOKUP(D1059,Rates!$A$4:$B$7,2,FALSE())</f>
        <v>0.085</v>
      </c>
      <c r="I1059" s="0" t="n">
        <f aca="false">VLOOKUP(F1059,Rates!$D$4:$E$8,2)</f>
        <v>0.85</v>
      </c>
      <c r="J1059" s="0" t="n">
        <f aca="false">ROUND(E1059*I1059,2)</f>
        <v>25307.74</v>
      </c>
      <c r="K1059" s="1" t="n">
        <f aca="false">PV(H1059/12,F1059/30,0,-E1059)</f>
        <v>28106.0776386755</v>
      </c>
      <c r="L1059" s="0" t="n">
        <f aca="false">ROUND(E1059-K1059,2)</f>
        <v>1667.73</v>
      </c>
      <c r="M1059" s="0" t="n">
        <f aca="false">F1059/E1059</f>
        <v>0.00822870838498667</v>
      </c>
    </row>
    <row r="1060" customFormat="false" ht="12.8" hidden="false" customHeight="false" outlineLevel="0" collapsed="false">
      <c r="A1060" s="0" t="s">
        <v>1583</v>
      </c>
      <c r="B1060" s="0" t="s">
        <v>1584</v>
      </c>
      <c r="C1060" s="0" t="s">
        <v>19</v>
      </c>
      <c r="D1060" s="0" t="s">
        <v>16</v>
      </c>
      <c r="E1060" s="0" t="n">
        <v>39583.8</v>
      </c>
      <c r="F1060" s="0" t="n">
        <v>248</v>
      </c>
      <c r="G1060" s="0" t="str">
        <f aca="false">IF(F1060&lt;=30,"Current",IF(F1060&lt;=60,"31 to 60 days",IF(F1060&lt;=90,"61 to 90 days",IF(F1060&lt;=120,"91 to 120 days","Over 120 days"))))</f>
        <v>Over 120 days</v>
      </c>
      <c r="H1060" s="0" t="n">
        <f aca="false">VLOOKUP(D1060,Rates!$A$4:$B$7,2,FALSE())</f>
        <v>0.085</v>
      </c>
      <c r="I1060" s="0" t="n">
        <f aca="false">VLOOKUP(F1060,Rates!$D$4:$E$8,2)</f>
        <v>0.85</v>
      </c>
      <c r="J1060" s="0" t="n">
        <f aca="false">ROUND(E1060*I1060,2)</f>
        <v>33646.23</v>
      </c>
      <c r="K1060" s="1" t="n">
        <f aca="false">PV(H1060/12,F1060/30,0,-E1060)</f>
        <v>37340.2113487209</v>
      </c>
      <c r="L1060" s="0" t="n">
        <f aca="false">ROUND(E1060-K1060,2)</f>
        <v>2243.59</v>
      </c>
      <c r="M1060" s="0" t="n">
        <f aca="false">F1060/E1060</f>
        <v>0.00626518929461042</v>
      </c>
    </row>
    <row r="1061" customFormat="false" ht="12.8" hidden="false" customHeight="false" outlineLevel="0" collapsed="false">
      <c r="A1061" s="0" t="s">
        <v>1585</v>
      </c>
      <c r="B1061" s="0" t="s">
        <v>25</v>
      </c>
      <c r="C1061" s="0" t="s">
        <v>26</v>
      </c>
      <c r="D1061" s="0" t="s">
        <v>23</v>
      </c>
      <c r="E1061" s="0" t="n">
        <v>12510.14</v>
      </c>
      <c r="F1061" s="0" t="n">
        <v>129</v>
      </c>
      <c r="G1061" s="0" t="str">
        <f aca="false">IF(F1061&lt;=30,"Current",IF(F1061&lt;=60,"31 to 60 days",IF(F1061&lt;=90,"61 to 90 days",IF(F1061&lt;=120,"91 to 120 days","Over 120 days"))))</f>
        <v>Over 120 days</v>
      </c>
      <c r="H1061" s="0" t="n">
        <f aca="false">VLOOKUP(D1061,Rates!$A$4:$B$7,2,FALSE())</f>
        <v>0.115</v>
      </c>
      <c r="I1061" s="0" t="n">
        <f aca="false">VLOOKUP(F1061,Rates!$D$4:$E$8,2)</f>
        <v>0.85</v>
      </c>
      <c r="J1061" s="0" t="n">
        <f aca="false">ROUND(E1061*I1061,2)</f>
        <v>10633.62</v>
      </c>
      <c r="K1061" s="1" t="n">
        <f aca="false">PV(H1061/12,F1061/30,0,-E1061)</f>
        <v>12007.4511492717</v>
      </c>
      <c r="L1061" s="0" t="n">
        <f aca="false">ROUND(E1061-K1061,2)</f>
        <v>502.69</v>
      </c>
      <c r="M1061" s="0" t="n">
        <f aca="false">F1061/E1061</f>
        <v>0.0103116352015245</v>
      </c>
    </row>
    <row r="1062" customFormat="false" ht="12.8" hidden="false" customHeight="false" outlineLevel="0" collapsed="false">
      <c r="A1062" s="0" t="s">
        <v>1586</v>
      </c>
      <c r="B1062" s="0" t="s">
        <v>33</v>
      </c>
      <c r="C1062" s="0" t="s">
        <v>26</v>
      </c>
      <c r="D1062" s="0" t="s">
        <v>20</v>
      </c>
      <c r="E1062" s="0" t="n">
        <v>40799.38</v>
      </c>
      <c r="F1062" s="0" t="n">
        <v>257</v>
      </c>
      <c r="G1062" s="0" t="str">
        <f aca="false">IF(F1062&lt;=30,"Current",IF(F1062&lt;=60,"31 to 60 days",IF(F1062&lt;=90,"61 to 90 days",IF(F1062&lt;=120,"91 to 120 days","Over 120 days"))))</f>
        <v>Over 120 days</v>
      </c>
      <c r="H1062" s="0" t="n">
        <f aca="false">VLOOKUP(D1062,Rates!$A$4:$B$7,2,FALSE())</f>
        <v>0.05</v>
      </c>
      <c r="I1062" s="0" t="n">
        <f aca="false">VLOOKUP(F1062,Rates!$D$4:$E$8,2)</f>
        <v>0.85</v>
      </c>
      <c r="J1062" s="0" t="n">
        <f aca="false">ROUND(E1062*I1062,2)</f>
        <v>34679.47</v>
      </c>
      <c r="K1062" s="1" t="n">
        <f aca="false">PV(H1062/12,F1062/30,0,-E1062)</f>
        <v>39371.6729975679</v>
      </c>
      <c r="L1062" s="0" t="n">
        <f aca="false">ROUND(E1062-K1062,2)</f>
        <v>1427.71</v>
      </c>
      <c r="M1062" s="0" t="n">
        <f aca="false">F1062/E1062</f>
        <v>0.00629911532969374</v>
      </c>
    </row>
    <row r="1063" customFormat="false" ht="12.8" hidden="false" customHeight="false" outlineLevel="0" collapsed="false">
      <c r="A1063" s="0" t="s">
        <v>1587</v>
      </c>
      <c r="B1063" s="0" t="s">
        <v>1588</v>
      </c>
      <c r="C1063" s="0" t="s">
        <v>31</v>
      </c>
      <c r="D1063" s="0" t="s">
        <v>49</v>
      </c>
      <c r="E1063" s="0" t="n">
        <v>4640.22</v>
      </c>
      <c r="F1063" s="0" t="n">
        <v>143</v>
      </c>
      <c r="G1063" s="0" t="str">
        <f aca="false">IF(F1063&lt;=30,"Current",IF(F1063&lt;=60,"31 to 60 days",IF(F1063&lt;=90,"61 to 90 days",IF(F1063&lt;=120,"91 to 120 days","Over 120 days"))))</f>
        <v>Over 120 days</v>
      </c>
      <c r="H1063" s="0" t="n">
        <f aca="false">VLOOKUP(D1063,Rates!$A$4:$B$7,2,FALSE())</f>
        <v>0.02</v>
      </c>
      <c r="I1063" s="0" t="n">
        <f aca="false">VLOOKUP(F1063,Rates!$D$4:$E$8,2)</f>
        <v>0.85</v>
      </c>
      <c r="J1063" s="0" t="n">
        <f aca="false">ROUND(E1063*I1063,2)</f>
        <v>3944.19</v>
      </c>
      <c r="K1063" s="1" t="n">
        <f aca="false">PV(H1063/12,F1063/30,0,-E1063)</f>
        <v>4603.53251804492</v>
      </c>
      <c r="L1063" s="0" t="n">
        <f aca="false">ROUND(E1063-K1063,2)</f>
        <v>36.69</v>
      </c>
      <c r="M1063" s="0" t="n">
        <f aca="false">F1063/E1063</f>
        <v>0.0308175043424665</v>
      </c>
    </row>
    <row r="1064" customFormat="false" ht="12.8" hidden="false" customHeight="false" outlineLevel="0" collapsed="false">
      <c r="A1064" s="0" t="s">
        <v>1589</v>
      </c>
      <c r="B1064" s="0" t="s">
        <v>28</v>
      </c>
      <c r="C1064" s="0" t="s">
        <v>15</v>
      </c>
      <c r="D1064" s="0" t="s">
        <v>20</v>
      </c>
      <c r="E1064" s="0" t="n">
        <v>20874.81</v>
      </c>
      <c r="F1064" s="0" t="n">
        <v>247</v>
      </c>
      <c r="G1064" s="0" t="str">
        <f aca="false">IF(F1064&lt;=30,"Current",IF(F1064&lt;=60,"31 to 60 days",IF(F1064&lt;=90,"61 to 90 days",IF(F1064&lt;=120,"91 to 120 days","Over 120 days"))))</f>
        <v>Over 120 days</v>
      </c>
      <c r="H1064" s="0" t="n">
        <f aca="false">VLOOKUP(D1064,Rates!$A$4:$B$7,2,FALSE())</f>
        <v>0.05</v>
      </c>
      <c r="I1064" s="0" t="n">
        <f aca="false">VLOOKUP(F1064,Rates!$D$4:$E$8,2)</f>
        <v>0.85</v>
      </c>
      <c r="J1064" s="0" t="n">
        <f aca="false">ROUND(E1064*I1064,2)</f>
        <v>17743.59</v>
      </c>
      <c r="K1064" s="1" t="n">
        <f aca="false">PV(H1064/12,F1064/30,0,-E1064)</f>
        <v>20172.2699259055</v>
      </c>
      <c r="L1064" s="0" t="n">
        <f aca="false">ROUND(E1064-K1064,2)</f>
        <v>702.54</v>
      </c>
      <c r="M1064" s="0" t="n">
        <f aca="false">F1064/E1064</f>
        <v>0.0118324430258287</v>
      </c>
    </row>
    <row r="1065" customFormat="false" ht="12.8" hidden="false" customHeight="false" outlineLevel="0" collapsed="false">
      <c r="A1065" s="0" t="s">
        <v>1590</v>
      </c>
      <c r="B1065" s="0" t="s">
        <v>1591</v>
      </c>
      <c r="C1065" s="0" t="s">
        <v>36</v>
      </c>
      <c r="D1065" s="0" t="s">
        <v>16</v>
      </c>
      <c r="E1065" s="0" t="n">
        <v>24441.48</v>
      </c>
      <c r="F1065" s="0" t="n">
        <v>151</v>
      </c>
      <c r="G1065" s="0" t="str">
        <f aca="false">IF(F1065&lt;=30,"Current",IF(F1065&lt;=60,"31 to 60 days",IF(F1065&lt;=90,"61 to 90 days",IF(F1065&lt;=120,"91 to 120 days","Over 120 days"))))</f>
        <v>Over 120 days</v>
      </c>
      <c r="H1065" s="0" t="n">
        <f aca="false">VLOOKUP(D1065,Rates!$A$4:$B$7,2,FALSE())</f>
        <v>0.085</v>
      </c>
      <c r="I1065" s="0" t="n">
        <f aca="false">VLOOKUP(F1065,Rates!$D$4:$E$8,2)</f>
        <v>0.85</v>
      </c>
      <c r="J1065" s="0" t="n">
        <f aca="false">ROUND(E1065*I1065,2)</f>
        <v>20775.26</v>
      </c>
      <c r="K1065" s="1" t="n">
        <f aca="false">PV(H1065/12,F1065/30,0,-E1065)</f>
        <v>23588.3887369107</v>
      </c>
      <c r="L1065" s="0" t="n">
        <f aca="false">ROUND(E1065-K1065,2)</f>
        <v>853.09</v>
      </c>
      <c r="M1065" s="0" t="n">
        <f aca="false">F1065/E1065</f>
        <v>0.0061780219528441</v>
      </c>
    </row>
    <row r="1066" customFormat="false" ht="12.8" hidden="false" customHeight="false" outlineLevel="0" collapsed="false">
      <c r="A1066" s="0" t="s">
        <v>1592</v>
      </c>
      <c r="B1066" s="0" t="s">
        <v>33</v>
      </c>
      <c r="C1066" s="0" t="s">
        <v>26</v>
      </c>
      <c r="D1066" s="0" t="s">
        <v>20</v>
      </c>
      <c r="E1066" s="0" t="n">
        <v>42050.11</v>
      </c>
      <c r="F1066" s="0" t="n">
        <v>222</v>
      </c>
      <c r="G1066" s="0" t="str">
        <f aca="false">IF(F1066&lt;=30,"Current",IF(F1066&lt;=60,"31 to 60 days",IF(F1066&lt;=90,"61 to 90 days",IF(F1066&lt;=120,"91 to 120 days","Over 120 days"))))</f>
        <v>Over 120 days</v>
      </c>
      <c r="H1066" s="0" t="n">
        <f aca="false">VLOOKUP(D1066,Rates!$A$4:$B$7,2,FALSE())</f>
        <v>0.05</v>
      </c>
      <c r="I1066" s="0" t="n">
        <f aca="false">VLOOKUP(F1066,Rates!$D$4:$E$8,2)</f>
        <v>0.85</v>
      </c>
      <c r="J1066" s="0" t="n">
        <f aca="false">ROUND(E1066*I1066,2)</f>
        <v>35742.59</v>
      </c>
      <c r="K1066" s="1" t="n">
        <f aca="false">PV(H1066/12,F1066/30,0,-E1066)</f>
        <v>40775.9614345299</v>
      </c>
      <c r="L1066" s="0" t="n">
        <f aca="false">ROUND(E1066-K1066,2)</f>
        <v>1274.15</v>
      </c>
      <c r="M1066" s="0" t="n">
        <f aca="false">F1066/E1066</f>
        <v>0.00527941544029255</v>
      </c>
    </row>
    <row r="1067" customFormat="false" ht="12.8" hidden="false" customHeight="false" outlineLevel="0" collapsed="false">
      <c r="A1067" s="0" t="s">
        <v>1593</v>
      </c>
      <c r="B1067" s="0" t="s">
        <v>120</v>
      </c>
      <c r="C1067" s="0" t="s">
        <v>31</v>
      </c>
      <c r="D1067" s="0" t="s">
        <v>23</v>
      </c>
      <c r="E1067" s="0" t="n">
        <v>25269.98</v>
      </c>
      <c r="F1067" s="0" t="n">
        <v>128</v>
      </c>
      <c r="G1067" s="0" t="str">
        <f aca="false">IF(F1067&lt;=30,"Current",IF(F1067&lt;=60,"31 to 60 days",IF(F1067&lt;=90,"61 to 90 days",IF(F1067&lt;=120,"91 to 120 days","Over 120 days"))))</f>
        <v>Over 120 days</v>
      </c>
      <c r="H1067" s="0" t="n">
        <f aca="false">VLOOKUP(D1067,Rates!$A$4:$B$7,2,FALSE())</f>
        <v>0.115</v>
      </c>
      <c r="I1067" s="0" t="n">
        <f aca="false">VLOOKUP(F1067,Rates!$D$4:$E$8,2)</f>
        <v>0.85</v>
      </c>
      <c r="J1067" s="0" t="n">
        <f aca="false">ROUND(E1067*I1067,2)</f>
        <v>21479.48</v>
      </c>
      <c r="K1067" s="1" t="n">
        <f aca="false">PV(H1067/12,F1067/30,0,-E1067)</f>
        <v>24262.2810481553</v>
      </c>
      <c r="L1067" s="0" t="n">
        <f aca="false">ROUND(E1067-K1067,2)</f>
        <v>1007.7</v>
      </c>
      <c r="M1067" s="0" t="n">
        <f aca="false">F1067/E1067</f>
        <v>0.00506529882492982</v>
      </c>
    </row>
    <row r="1068" customFormat="false" ht="12.8" hidden="false" customHeight="false" outlineLevel="0" collapsed="false">
      <c r="A1068" s="0" t="s">
        <v>1594</v>
      </c>
      <c r="B1068" s="0" t="s">
        <v>368</v>
      </c>
      <c r="C1068" s="0" t="s">
        <v>42</v>
      </c>
      <c r="D1068" s="0" t="s">
        <v>23</v>
      </c>
      <c r="E1068" s="0" t="n">
        <v>9681.05</v>
      </c>
      <c r="F1068" s="0" t="n">
        <v>168</v>
      </c>
      <c r="G1068" s="0" t="str">
        <f aca="false">IF(F1068&lt;=30,"Current",IF(F1068&lt;=60,"31 to 60 days",IF(F1068&lt;=90,"61 to 90 days",IF(F1068&lt;=120,"91 to 120 days","Over 120 days"))))</f>
        <v>Over 120 days</v>
      </c>
      <c r="H1068" s="0" t="n">
        <f aca="false">VLOOKUP(D1068,Rates!$A$4:$B$7,2,FALSE())</f>
        <v>0.115</v>
      </c>
      <c r="I1068" s="0" t="n">
        <f aca="false">VLOOKUP(F1068,Rates!$D$4:$E$8,2)</f>
        <v>0.85</v>
      </c>
      <c r="J1068" s="0" t="n">
        <f aca="false">ROUND(E1068*I1068,2)</f>
        <v>8228.89</v>
      </c>
      <c r="K1068" s="1" t="n">
        <f aca="false">PV(H1068/12,F1068/30,0,-E1068)</f>
        <v>9177.5402434323</v>
      </c>
      <c r="L1068" s="0" t="n">
        <f aca="false">ROUND(E1068-K1068,2)</f>
        <v>503.51</v>
      </c>
      <c r="M1068" s="0" t="n">
        <f aca="false">F1068/E1068</f>
        <v>0.0173534895491708</v>
      </c>
    </row>
    <row r="1069" customFormat="false" ht="12.8" hidden="false" customHeight="false" outlineLevel="0" collapsed="false">
      <c r="A1069" s="0" t="s">
        <v>1595</v>
      </c>
      <c r="B1069" s="0" t="s">
        <v>1596</v>
      </c>
      <c r="C1069" s="0" t="s">
        <v>42</v>
      </c>
      <c r="D1069" s="0" t="s">
        <v>49</v>
      </c>
      <c r="E1069" s="0" t="n">
        <v>24745.21</v>
      </c>
      <c r="F1069" s="0" t="n">
        <v>92</v>
      </c>
      <c r="G1069" s="0" t="str">
        <f aca="false">IF(F1069&lt;=30,"Current",IF(F1069&lt;=60,"31 to 60 days",IF(F1069&lt;=90,"61 to 90 days",IF(F1069&lt;=120,"91 to 120 days","Over 120 days"))))</f>
        <v>91 to 120 days</v>
      </c>
      <c r="H1069" s="0" t="n">
        <f aca="false">VLOOKUP(D1069,Rates!$A$4:$B$7,2,FALSE())</f>
        <v>0.02</v>
      </c>
      <c r="I1069" s="0" t="n">
        <f aca="false">VLOOKUP(F1069,Rates!$D$4:$E$8,2)</f>
        <v>0.5</v>
      </c>
      <c r="J1069" s="0" t="n">
        <f aca="false">ROUND(E1069*I1069,2)</f>
        <v>12372.61</v>
      </c>
      <c r="K1069" s="1" t="n">
        <f aca="false">PV(H1069/12,F1069/30,0,-E1069)</f>
        <v>24619.1618902797</v>
      </c>
      <c r="L1069" s="0" t="n">
        <f aca="false">ROUND(E1069-K1069,2)</f>
        <v>126.05</v>
      </c>
      <c r="M1069" s="0" t="n">
        <f aca="false">F1069/E1069</f>
        <v>0.00371789126057124</v>
      </c>
    </row>
    <row r="1070" customFormat="false" ht="12.8" hidden="false" customHeight="false" outlineLevel="0" collapsed="false">
      <c r="A1070" s="0" t="s">
        <v>1597</v>
      </c>
      <c r="B1070" s="0" t="s">
        <v>51</v>
      </c>
      <c r="C1070" s="0" t="s">
        <v>36</v>
      </c>
      <c r="D1070" s="0" t="s">
        <v>20</v>
      </c>
      <c r="E1070" s="0" t="n">
        <v>31159.08</v>
      </c>
      <c r="F1070" s="0" t="n">
        <v>141</v>
      </c>
      <c r="G1070" s="0" t="str">
        <f aca="false">IF(F1070&lt;=30,"Current",IF(F1070&lt;=60,"31 to 60 days",IF(F1070&lt;=90,"61 to 90 days",IF(F1070&lt;=120,"91 to 120 days","Over 120 days"))))</f>
        <v>Over 120 days</v>
      </c>
      <c r="H1070" s="0" t="n">
        <f aca="false">VLOOKUP(D1070,Rates!$A$4:$B$7,2,FALSE())</f>
        <v>0.05</v>
      </c>
      <c r="I1070" s="0" t="n">
        <f aca="false">VLOOKUP(F1070,Rates!$D$4:$E$8,2)</f>
        <v>0.85</v>
      </c>
      <c r="J1070" s="0" t="n">
        <f aca="false">ROUND(E1070*I1070,2)</f>
        <v>26485.22</v>
      </c>
      <c r="K1070" s="1" t="n">
        <f aca="false">PV(H1070/12,F1070/30,0,-E1070)</f>
        <v>30556.0605668417</v>
      </c>
      <c r="L1070" s="0" t="n">
        <f aca="false">ROUND(E1070-K1070,2)</f>
        <v>603.02</v>
      </c>
      <c r="M1070" s="0" t="n">
        <f aca="false">F1070/E1070</f>
        <v>0.00452516569808865</v>
      </c>
    </row>
    <row r="1071" customFormat="false" ht="12.8" hidden="false" customHeight="false" outlineLevel="0" collapsed="false">
      <c r="A1071" s="0" t="s">
        <v>1598</v>
      </c>
      <c r="B1071" s="0" t="s">
        <v>1599</v>
      </c>
      <c r="C1071" s="0" t="s">
        <v>31</v>
      </c>
      <c r="D1071" s="0" t="s">
        <v>49</v>
      </c>
      <c r="E1071" s="0" t="n">
        <v>27513.13</v>
      </c>
      <c r="F1071" s="0" t="n">
        <v>47</v>
      </c>
      <c r="G1071" s="0" t="str">
        <f aca="false">IF(F1071&lt;=30,"Current",IF(F1071&lt;=60,"31 to 60 days",IF(F1071&lt;=90,"61 to 90 days",IF(F1071&lt;=120,"91 to 120 days","Over 120 days"))))</f>
        <v>31 to 60 days</v>
      </c>
      <c r="H1071" s="0" t="n">
        <f aca="false">VLOOKUP(D1071,Rates!$A$4:$B$7,2,FALSE())</f>
        <v>0.02</v>
      </c>
      <c r="I1071" s="0" t="n">
        <f aca="false">VLOOKUP(F1071,Rates!$D$4:$E$8,2)</f>
        <v>0.1</v>
      </c>
      <c r="J1071" s="0" t="n">
        <f aca="false">ROUND(E1071*I1071,2)</f>
        <v>2751.31</v>
      </c>
      <c r="K1071" s="1" t="n">
        <f aca="false">PV(H1071/12,F1071/30,0,-E1071)</f>
        <v>27441.4435140988</v>
      </c>
      <c r="L1071" s="0" t="n">
        <f aca="false">ROUND(E1071-K1071,2)</f>
        <v>71.69</v>
      </c>
      <c r="M1071" s="0" t="n">
        <f aca="false">F1071/E1071</f>
        <v>0.00170827528529106</v>
      </c>
    </row>
    <row r="1072" customFormat="false" ht="12.8" hidden="false" customHeight="false" outlineLevel="0" collapsed="false">
      <c r="A1072" s="0" t="s">
        <v>1600</v>
      </c>
      <c r="B1072" s="0" t="s">
        <v>97</v>
      </c>
      <c r="C1072" s="0" t="s">
        <v>42</v>
      </c>
      <c r="D1072" s="0" t="s">
        <v>20</v>
      </c>
      <c r="E1072" s="0" t="n">
        <v>25446.06</v>
      </c>
      <c r="F1072" s="0" t="n">
        <v>369</v>
      </c>
      <c r="G1072" s="0" t="str">
        <f aca="false">IF(F1072&lt;=30,"Current",IF(F1072&lt;=60,"31 to 60 days",IF(F1072&lt;=90,"61 to 90 days",IF(F1072&lt;=120,"91 to 120 days","Over 120 days"))))</f>
        <v>Over 120 days</v>
      </c>
      <c r="H1072" s="0" t="n">
        <f aca="false">VLOOKUP(D1072,Rates!$A$4:$B$7,2,FALSE())</f>
        <v>0.05</v>
      </c>
      <c r="I1072" s="0" t="n">
        <f aca="false">VLOOKUP(F1072,Rates!$D$4:$E$8,2)</f>
        <v>0.85</v>
      </c>
      <c r="J1072" s="0" t="n">
        <f aca="false">ROUND(E1072*I1072,2)</f>
        <v>21629.15</v>
      </c>
      <c r="K1072" s="1" t="n">
        <f aca="false">PV(H1072/12,F1072/30,0,-E1072)</f>
        <v>24177.3777640583</v>
      </c>
      <c r="L1072" s="0" t="n">
        <f aca="false">ROUND(E1072-K1072,2)</f>
        <v>1268.68</v>
      </c>
      <c r="M1072" s="0" t="n">
        <f aca="false">F1072/E1072</f>
        <v>0.0145012626709204</v>
      </c>
    </row>
    <row r="1073" customFormat="false" ht="12.8" hidden="false" customHeight="false" outlineLevel="0" collapsed="false">
      <c r="A1073" s="0" t="s">
        <v>1601</v>
      </c>
      <c r="B1073" s="0" t="s">
        <v>1602</v>
      </c>
      <c r="C1073" s="0" t="s">
        <v>42</v>
      </c>
      <c r="D1073" s="0" t="s">
        <v>49</v>
      </c>
      <c r="E1073" s="0" t="n">
        <v>8996.01</v>
      </c>
      <c r="F1073" s="0" t="n">
        <v>12</v>
      </c>
      <c r="G1073" s="0" t="str">
        <f aca="false">IF(F1073&lt;=30,"Current",IF(F1073&lt;=60,"31 to 60 days",IF(F1073&lt;=90,"61 to 90 days",IF(F1073&lt;=120,"91 to 120 days","Over 120 days"))))</f>
        <v>Current</v>
      </c>
      <c r="H1073" s="0" t="n">
        <f aca="false">VLOOKUP(D1073,Rates!$A$4:$B$7,2,FALSE())</f>
        <v>0.02</v>
      </c>
      <c r="I1073" s="0" t="n">
        <f aca="false">VLOOKUP(F1073,Rates!$D$4:$E$8,2)</f>
        <v>0.02</v>
      </c>
      <c r="J1073" s="0" t="n">
        <f aca="false">ROUND(E1073*I1073,2)</f>
        <v>179.92</v>
      </c>
      <c r="K1073" s="1" t="n">
        <f aca="false">PV(H1073/12,F1073/30,0,-E1073)</f>
        <v>8990.01964758067</v>
      </c>
      <c r="L1073" s="0" t="n">
        <f aca="false">ROUND(E1073-K1073,2)</f>
        <v>5.99</v>
      </c>
      <c r="M1073" s="0" t="n">
        <f aca="false">F1073/E1073</f>
        <v>0.00133392470661993</v>
      </c>
    </row>
    <row r="1074" customFormat="false" ht="12.8" hidden="false" customHeight="false" outlineLevel="0" collapsed="false">
      <c r="A1074" s="0" t="s">
        <v>1603</v>
      </c>
      <c r="B1074" s="0" t="s">
        <v>1536</v>
      </c>
      <c r="C1074" s="0" t="s">
        <v>31</v>
      </c>
      <c r="D1074" s="0" t="s">
        <v>16</v>
      </c>
      <c r="E1074" s="0" t="n">
        <v>31287.33</v>
      </c>
      <c r="F1074" s="0" t="n">
        <v>316</v>
      </c>
      <c r="G1074" s="0" t="str">
        <f aca="false">IF(F1074&lt;=30,"Current",IF(F1074&lt;=60,"31 to 60 days",IF(F1074&lt;=90,"61 to 90 days",IF(F1074&lt;=120,"91 to 120 days","Over 120 days"))))</f>
        <v>Over 120 days</v>
      </c>
      <c r="H1074" s="0" t="n">
        <f aca="false">VLOOKUP(D1074,Rates!$A$4:$B$7,2,FALSE())</f>
        <v>0.085</v>
      </c>
      <c r="I1074" s="0" t="n">
        <f aca="false">VLOOKUP(F1074,Rates!$D$4:$E$8,2)</f>
        <v>0.85</v>
      </c>
      <c r="J1074" s="0" t="n">
        <f aca="false">ROUND(E1074*I1074,2)</f>
        <v>26594.23</v>
      </c>
      <c r="K1074" s="1" t="n">
        <f aca="false">PV(H1074/12,F1074/30,0,-E1074)</f>
        <v>29045.5450969396</v>
      </c>
      <c r="L1074" s="0" t="n">
        <f aca="false">ROUND(E1074-K1074,2)</f>
        <v>2241.78</v>
      </c>
      <c r="M1074" s="0" t="n">
        <f aca="false">F1074/E1074</f>
        <v>0.0100999350216206</v>
      </c>
    </row>
    <row r="1075" customFormat="false" ht="12.8" hidden="false" customHeight="false" outlineLevel="0" collapsed="false">
      <c r="A1075" s="0" t="s">
        <v>1604</v>
      </c>
      <c r="B1075" s="0" t="s">
        <v>1605</v>
      </c>
      <c r="C1075" s="0" t="s">
        <v>26</v>
      </c>
      <c r="D1075" s="0" t="s">
        <v>49</v>
      </c>
      <c r="E1075" s="0" t="n">
        <v>29946.79</v>
      </c>
      <c r="F1075" s="0" t="n">
        <v>159</v>
      </c>
      <c r="G1075" s="0" t="str">
        <f aca="false">IF(F1075&lt;=30,"Current",IF(F1075&lt;=60,"31 to 60 days",IF(F1075&lt;=90,"61 to 90 days",IF(F1075&lt;=120,"91 to 120 days","Over 120 days"))))</f>
        <v>Over 120 days</v>
      </c>
      <c r="H1075" s="0" t="n">
        <f aca="false">VLOOKUP(D1075,Rates!$A$4:$B$7,2,FALSE())</f>
        <v>0.02</v>
      </c>
      <c r="I1075" s="0" t="n">
        <f aca="false">VLOOKUP(F1075,Rates!$D$4:$E$8,2)</f>
        <v>0.85</v>
      </c>
      <c r="J1075" s="0" t="n">
        <f aca="false">ROUND(E1075*I1075,2)</f>
        <v>25454.77</v>
      </c>
      <c r="K1075" s="1" t="n">
        <f aca="false">PV(H1075/12,F1075/30,0,-E1075)</f>
        <v>29683.6431911869</v>
      </c>
      <c r="L1075" s="0" t="n">
        <f aca="false">ROUND(E1075-K1075,2)</f>
        <v>263.15</v>
      </c>
      <c r="M1075" s="0" t="n">
        <f aca="false">F1075/E1075</f>
        <v>0.0053094171361939</v>
      </c>
    </row>
    <row r="1076" customFormat="false" ht="12.8" hidden="false" customHeight="false" outlineLevel="0" collapsed="false">
      <c r="A1076" s="0" t="s">
        <v>1606</v>
      </c>
      <c r="B1076" s="0" t="s">
        <v>239</v>
      </c>
      <c r="C1076" s="0" t="s">
        <v>42</v>
      </c>
      <c r="D1076" s="0" t="s">
        <v>23</v>
      </c>
      <c r="E1076" s="0" t="n">
        <v>691.82</v>
      </c>
      <c r="F1076" s="0" t="n">
        <v>392</v>
      </c>
      <c r="G1076" s="0" t="str">
        <f aca="false">IF(F1076&lt;=30,"Current",IF(F1076&lt;=60,"31 to 60 days",IF(F1076&lt;=90,"61 to 90 days",IF(F1076&lt;=120,"91 to 120 days","Over 120 days"))))</f>
        <v>Over 120 days</v>
      </c>
      <c r="H1076" s="0" t="n">
        <f aca="false">VLOOKUP(D1076,Rates!$A$4:$B$7,2,FALSE())</f>
        <v>0.115</v>
      </c>
      <c r="I1076" s="0" t="n">
        <f aca="false">VLOOKUP(F1076,Rates!$D$4:$E$8,2)</f>
        <v>0.85</v>
      </c>
      <c r="J1076" s="0" t="n">
        <f aca="false">ROUND(E1076*I1076,2)</f>
        <v>588.05</v>
      </c>
      <c r="K1076" s="1" t="n">
        <f aca="false">PV(H1076/12,F1076/30,0,-E1076)</f>
        <v>610.757384516153</v>
      </c>
      <c r="L1076" s="0" t="n">
        <f aca="false">ROUND(E1076-K1076,2)</f>
        <v>81.06</v>
      </c>
      <c r="M1076" s="0" t="n">
        <f aca="false">F1076/E1076</f>
        <v>0.566621375502298</v>
      </c>
    </row>
    <row r="1077" customFormat="false" ht="12.8" hidden="false" customHeight="false" outlineLevel="0" collapsed="false">
      <c r="A1077" s="0" t="s">
        <v>1607</v>
      </c>
      <c r="B1077" s="0" t="s">
        <v>1608</v>
      </c>
      <c r="C1077" s="0" t="s">
        <v>15</v>
      </c>
      <c r="D1077" s="0" t="s">
        <v>49</v>
      </c>
      <c r="E1077" s="0" t="n">
        <v>25209.87</v>
      </c>
      <c r="F1077" s="0" t="n">
        <v>287</v>
      </c>
      <c r="G1077" s="0" t="str">
        <f aca="false">IF(F1077&lt;=30,"Current",IF(F1077&lt;=60,"31 to 60 days",IF(F1077&lt;=90,"61 to 90 days",IF(F1077&lt;=120,"91 to 120 days","Over 120 days"))))</f>
        <v>Over 120 days</v>
      </c>
      <c r="H1077" s="0" t="n">
        <f aca="false">VLOOKUP(D1077,Rates!$A$4:$B$7,2,FALSE())</f>
        <v>0.02</v>
      </c>
      <c r="I1077" s="0" t="n">
        <f aca="false">VLOOKUP(F1077,Rates!$D$4:$E$8,2)</f>
        <v>0.85</v>
      </c>
      <c r="J1077" s="0" t="n">
        <f aca="false">ROUND(E1077*I1077,2)</f>
        <v>21428.39</v>
      </c>
      <c r="K1077" s="1" t="n">
        <f aca="false">PV(H1077/12,F1077/30,0,-E1077)</f>
        <v>24811.4294605611</v>
      </c>
      <c r="L1077" s="0" t="n">
        <f aca="false">ROUND(E1077-K1077,2)</f>
        <v>398.44</v>
      </c>
      <c r="M1077" s="0" t="n">
        <f aca="false">F1077/E1077</f>
        <v>0.0113844299871439</v>
      </c>
    </row>
    <row r="1078" customFormat="false" ht="12.8" hidden="false" customHeight="false" outlineLevel="0" collapsed="false">
      <c r="A1078" s="0" t="s">
        <v>1609</v>
      </c>
      <c r="B1078" s="0" t="s">
        <v>111</v>
      </c>
      <c r="C1078" s="0" t="s">
        <v>19</v>
      </c>
      <c r="D1078" s="0" t="s">
        <v>23</v>
      </c>
      <c r="E1078" s="0" t="n">
        <v>18500.98</v>
      </c>
      <c r="F1078" s="0" t="n">
        <v>30</v>
      </c>
      <c r="G1078" s="0" t="str">
        <f aca="false">IF(F1078&lt;=30,"Current",IF(F1078&lt;=60,"31 to 60 days",IF(F1078&lt;=90,"61 to 90 days",IF(F1078&lt;=120,"91 to 120 days","Over 120 days"))))</f>
        <v>Current</v>
      </c>
      <c r="H1078" s="0" t="n">
        <f aca="false">VLOOKUP(D1078,Rates!$A$4:$B$7,2,FALSE())</f>
        <v>0.115</v>
      </c>
      <c r="I1078" s="0" t="n">
        <f aca="false">VLOOKUP(F1078,Rates!$D$4:$E$8,2)</f>
        <v>0.02</v>
      </c>
      <c r="J1078" s="0" t="n">
        <f aca="false">ROUND(E1078*I1078,2)</f>
        <v>370.02</v>
      </c>
      <c r="K1078" s="1" t="n">
        <f aca="false">PV(H1078/12,F1078/30,0,-E1078)</f>
        <v>18325.3619479984</v>
      </c>
      <c r="L1078" s="0" t="n">
        <f aca="false">ROUND(E1078-K1078,2)</f>
        <v>175.62</v>
      </c>
      <c r="M1078" s="0" t="n">
        <f aca="false">F1078/E1078</f>
        <v>0.00162153572405354</v>
      </c>
    </row>
    <row r="1079" customFormat="false" ht="12.8" hidden="false" customHeight="false" outlineLevel="0" collapsed="false">
      <c r="A1079" s="0" t="s">
        <v>1610</v>
      </c>
      <c r="B1079" s="0" t="s">
        <v>1611</v>
      </c>
      <c r="C1079" s="0" t="s">
        <v>42</v>
      </c>
      <c r="D1079" s="0" t="s">
        <v>49</v>
      </c>
      <c r="E1079" s="0" t="n">
        <v>19291.51</v>
      </c>
      <c r="F1079" s="0" t="n">
        <v>129</v>
      </c>
      <c r="G1079" s="0" t="str">
        <f aca="false">IF(F1079&lt;=30,"Current",IF(F1079&lt;=60,"31 to 60 days",IF(F1079&lt;=90,"61 to 90 days",IF(F1079&lt;=120,"91 to 120 days","Over 120 days"))))</f>
        <v>Over 120 days</v>
      </c>
      <c r="H1079" s="0" t="n">
        <f aca="false">VLOOKUP(D1079,Rates!$A$4:$B$7,2,FALSE())</f>
        <v>0.02</v>
      </c>
      <c r="I1079" s="0" t="n">
        <f aca="false">VLOOKUP(F1079,Rates!$D$4:$E$8,2)</f>
        <v>0.85</v>
      </c>
      <c r="J1079" s="0" t="n">
        <f aca="false">ROUND(E1079*I1079,2)</f>
        <v>16397.78</v>
      </c>
      <c r="K1079" s="1" t="n">
        <f aca="false">PV(H1079/12,F1079/30,0,-E1079)</f>
        <v>19153.8626774905</v>
      </c>
      <c r="L1079" s="0" t="n">
        <f aca="false">ROUND(E1079-K1079,2)</f>
        <v>137.65</v>
      </c>
      <c r="M1079" s="0" t="n">
        <f aca="false">F1079/E1079</f>
        <v>0.00668687935781077</v>
      </c>
    </row>
    <row r="1080" customFormat="false" ht="12.8" hidden="false" customHeight="false" outlineLevel="0" collapsed="false">
      <c r="A1080" s="0" t="s">
        <v>1612</v>
      </c>
      <c r="B1080" s="0" t="s">
        <v>1613</v>
      </c>
      <c r="C1080" s="0" t="s">
        <v>26</v>
      </c>
      <c r="D1080" s="0" t="s">
        <v>49</v>
      </c>
      <c r="E1080" s="0" t="n">
        <v>16865.44</v>
      </c>
      <c r="F1080" s="0" t="n">
        <v>51</v>
      </c>
      <c r="G1080" s="0" t="str">
        <f aca="false">IF(F1080&lt;=30,"Current",IF(F1080&lt;=60,"31 to 60 days",IF(F1080&lt;=90,"61 to 90 days",IF(F1080&lt;=120,"91 to 120 days","Over 120 days"))))</f>
        <v>31 to 60 days</v>
      </c>
      <c r="H1080" s="0" t="n">
        <f aca="false">VLOOKUP(D1080,Rates!$A$4:$B$7,2,FALSE())</f>
        <v>0.02</v>
      </c>
      <c r="I1080" s="0" t="n">
        <f aca="false">VLOOKUP(F1080,Rates!$D$4:$E$8,2)</f>
        <v>0.1</v>
      </c>
      <c r="J1080" s="0" t="n">
        <f aca="false">ROUND(E1080*I1080,2)</f>
        <v>1686.54</v>
      </c>
      <c r="K1080" s="1" t="n">
        <f aca="false">PV(H1080/12,F1080/30,0,-E1080)</f>
        <v>16817.7618832711</v>
      </c>
      <c r="L1080" s="0" t="n">
        <f aca="false">ROUND(E1080-K1080,2)</f>
        <v>47.68</v>
      </c>
      <c r="M1080" s="0" t="n">
        <f aca="false">F1080/E1080</f>
        <v>0.00302393533758977</v>
      </c>
    </row>
    <row r="1081" customFormat="false" ht="12.8" hidden="false" customHeight="false" outlineLevel="0" collapsed="false">
      <c r="A1081" s="0" t="s">
        <v>1614</v>
      </c>
      <c r="B1081" s="0" t="s">
        <v>1615</v>
      </c>
      <c r="C1081" s="0" t="s">
        <v>42</v>
      </c>
      <c r="D1081" s="0" t="s">
        <v>49</v>
      </c>
      <c r="E1081" s="0" t="n">
        <v>6665.84</v>
      </c>
      <c r="F1081" s="0" t="n">
        <v>128</v>
      </c>
      <c r="G1081" s="0" t="str">
        <f aca="false">IF(F1081&lt;=30,"Current",IF(F1081&lt;=60,"31 to 60 days",IF(F1081&lt;=90,"61 to 90 days",IF(F1081&lt;=120,"91 to 120 days","Over 120 days"))))</f>
        <v>Over 120 days</v>
      </c>
      <c r="H1081" s="0" t="n">
        <f aca="false">VLOOKUP(D1081,Rates!$A$4:$B$7,2,FALSE())</f>
        <v>0.02</v>
      </c>
      <c r="I1081" s="0" t="n">
        <f aca="false">VLOOKUP(F1081,Rates!$D$4:$E$8,2)</f>
        <v>0.85</v>
      </c>
      <c r="J1081" s="0" t="n">
        <f aca="false">ROUND(E1081*I1081,2)</f>
        <v>5665.96</v>
      </c>
      <c r="K1081" s="1" t="n">
        <f aca="false">PV(H1081/12,F1081/30,0,-E1081)</f>
        <v>6618.64578905396</v>
      </c>
      <c r="L1081" s="0" t="n">
        <f aca="false">ROUND(E1081-K1081,2)</f>
        <v>47.19</v>
      </c>
      <c r="M1081" s="0" t="n">
        <f aca="false">F1081/E1081</f>
        <v>0.0192023810952558</v>
      </c>
    </row>
    <row r="1082" customFormat="false" ht="12.8" hidden="false" customHeight="false" outlineLevel="0" collapsed="false">
      <c r="A1082" s="0" t="s">
        <v>1616</v>
      </c>
      <c r="B1082" s="0" t="s">
        <v>53</v>
      </c>
      <c r="C1082" s="0" t="s">
        <v>19</v>
      </c>
      <c r="D1082" s="0" t="s">
        <v>23</v>
      </c>
      <c r="E1082" s="0" t="n">
        <v>8552.46</v>
      </c>
      <c r="F1082" s="0" t="n">
        <v>268</v>
      </c>
      <c r="G1082" s="0" t="str">
        <f aca="false">IF(F1082&lt;=30,"Current",IF(F1082&lt;=60,"31 to 60 days",IF(F1082&lt;=90,"61 to 90 days",IF(F1082&lt;=120,"91 to 120 days","Over 120 days"))))</f>
        <v>Over 120 days</v>
      </c>
      <c r="H1082" s="0" t="n">
        <f aca="false">VLOOKUP(D1082,Rates!$A$4:$B$7,2,FALSE())</f>
        <v>0.115</v>
      </c>
      <c r="I1082" s="0" t="n">
        <f aca="false">VLOOKUP(F1082,Rates!$D$4:$E$8,2)</f>
        <v>0.85</v>
      </c>
      <c r="J1082" s="0" t="n">
        <f aca="false">ROUND(E1082*I1082,2)</f>
        <v>7269.59</v>
      </c>
      <c r="K1082" s="1" t="n">
        <f aca="false">PV(H1082/12,F1082/30,0,-E1082)</f>
        <v>7853.94118435374</v>
      </c>
      <c r="L1082" s="0" t="n">
        <f aca="false">ROUND(E1082-K1082,2)</f>
        <v>698.52</v>
      </c>
      <c r="M1082" s="0" t="n">
        <f aca="false">F1082/E1082</f>
        <v>0.03133601326402</v>
      </c>
    </row>
    <row r="1083" customFormat="false" ht="12.8" hidden="false" customHeight="false" outlineLevel="0" collapsed="false">
      <c r="A1083" s="0" t="s">
        <v>1617</v>
      </c>
      <c r="B1083" s="0" t="s">
        <v>995</v>
      </c>
      <c r="C1083" s="0" t="s">
        <v>15</v>
      </c>
      <c r="D1083" s="0" t="s">
        <v>16</v>
      </c>
      <c r="E1083" s="0" t="n">
        <v>0</v>
      </c>
      <c r="F1083" s="0" t="n">
        <v>316</v>
      </c>
      <c r="G1083" s="0" t="str">
        <f aca="false">IF(F1083&lt;=30,"Current",IF(F1083&lt;=60,"31 to 60 days",IF(F1083&lt;=90,"61 to 90 days",IF(F1083&lt;=120,"91 to 120 days","Over 120 days"))))</f>
        <v>Over 120 days</v>
      </c>
      <c r="H1083" s="0" t="n">
        <f aca="false">VLOOKUP(D1083,Rates!$A$4:$B$7,2,FALSE())</f>
        <v>0.085</v>
      </c>
      <c r="I1083" s="0" t="n">
        <f aca="false">VLOOKUP(F1083,Rates!$D$4:$E$8,2)</f>
        <v>0.85</v>
      </c>
      <c r="J1083" s="0" t="n">
        <f aca="false">ROUND(E1083*I1083,2)</f>
        <v>0</v>
      </c>
      <c r="K1083" s="1" t="n">
        <f aca="false">PV(H1083/12,F1083/30,0,-E1083)</f>
        <v>-0</v>
      </c>
      <c r="L1083" s="0" t="n">
        <f aca="false">ROUND(E1083-K1083,2)</f>
        <v>0</v>
      </c>
      <c r="M1083" s="0" t="e">
        <f aca="false">F1083/E1083</f>
        <v>#DIV/0!</v>
      </c>
    </row>
    <row r="1084" customFormat="false" ht="12.8" hidden="false" customHeight="false" outlineLevel="0" collapsed="false">
      <c r="A1084" s="0" t="s">
        <v>1618</v>
      </c>
      <c r="B1084" s="0" t="s">
        <v>1619</v>
      </c>
      <c r="C1084" s="0" t="s">
        <v>42</v>
      </c>
      <c r="D1084" s="0" t="s">
        <v>49</v>
      </c>
      <c r="E1084" s="0" t="n">
        <v>38945.64</v>
      </c>
      <c r="F1084" s="0" t="n">
        <v>291</v>
      </c>
      <c r="G1084" s="0" t="str">
        <f aca="false">IF(F1084&lt;=30,"Current",IF(F1084&lt;=60,"31 to 60 days",IF(F1084&lt;=90,"61 to 90 days",IF(F1084&lt;=120,"91 to 120 days","Over 120 days"))))</f>
        <v>Over 120 days</v>
      </c>
      <c r="H1084" s="0" t="n">
        <f aca="false">VLOOKUP(D1084,Rates!$A$4:$B$7,2,FALSE())</f>
        <v>0.02</v>
      </c>
      <c r="I1084" s="0" t="n">
        <f aca="false">VLOOKUP(F1084,Rates!$D$4:$E$8,2)</f>
        <v>0.85</v>
      </c>
      <c r="J1084" s="0" t="n">
        <f aca="false">ROUND(E1084*I1084,2)</f>
        <v>33103.79</v>
      </c>
      <c r="K1084" s="1" t="n">
        <f aca="false">PV(H1084/12,F1084/30,0,-E1084)</f>
        <v>38321.5966426183</v>
      </c>
      <c r="L1084" s="0" t="n">
        <f aca="false">ROUND(E1084-K1084,2)</f>
        <v>624.04</v>
      </c>
      <c r="M1084" s="0" t="n">
        <f aca="false">F1084/E1084</f>
        <v>0.00747195321478861</v>
      </c>
    </row>
    <row r="1085" customFormat="false" ht="12.8" hidden="false" customHeight="false" outlineLevel="0" collapsed="false">
      <c r="A1085" s="0" t="s">
        <v>1620</v>
      </c>
      <c r="B1085" s="0" t="s">
        <v>33</v>
      </c>
      <c r="C1085" s="0" t="s">
        <v>26</v>
      </c>
      <c r="D1085" s="0" t="s">
        <v>20</v>
      </c>
      <c r="E1085" s="0" t="n">
        <v>33246.7</v>
      </c>
      <c r="F1085" s="0" t="n">
        <v>116</v>
      </c>
      <c r="G1085" s="0" t="str">
        <f aca="false">IF(F1085&lt;=30,"Current",IF(F1085&lt;=60,"31 to 60 days",IF(F1085&lt;=90,"61 to 90 days",IF(F1085&lt;=120,"91 to 120 days","Over 120 days"))))</f>
        <v>91 to 120 days</v>
      </c>
      <c r="H1085" s="0" t="n">
        <f aca="false">VLOOKUP(D1085,Rates!$A$4:$B$7,2,FALSE())</f>
        <v>0.05</v>
      </c>
      <c r="I1085" s="0" t="n">
        <f aca="false">VLOOKUP(F1085,Rates!$D$4:$E$8,2)</f>
        <v>0.5</v>
      </c>
      <c r="J1085" s="0" t="n">
        <f aca="false">ROUND(E1085*I1085,2)</f>
        <v>16623.35</v>
      </c>
      <c r="K1085" s="1" t="n">
        <f aca="false">PV(H1085/12,F1085/30,0,-E1085)</f>
        <v>32716.4455930541</v>
      </c>
      <c r="L1085" s="0" t="n">
        <f aca="false">ROUND(E1085-K1085,2)</f>
        <v>530.25</v>
      </c>
      <c r="M1085" s="0" t="n">
        <f aca="false">F1085/E1085</f>
        <v>0.00348906808796061</v>
      </c>
    </row>
    <row r="1086" customFormat="false" ht="12.8" hidden="false" customHeight="false" outlineLevel="0" collapsed="false">
      <c r="A1086" s="0" t="s">
        <v>1621</v>
      </c>
      <c r="B1086" s="0" t="s">
        <v>33</v>
      </c>
      <c r="C1086" s="0" t="s">
        <v>26</v>
      </c>
      <c r="D1086" s="0" t="s">
        <v>20</v>
      </c>
      <c r="E1086" s="0" t="n">
        <v>21471.05</v>
      </c>
      <c r="F1086" s="0" t="n">
        <v>64</v>
      </c>
      <c r="G1086" s="0" t="str">
        <f aca="false">IF(F1086&lt;=30,"Current",IF(F1086&lt;=60,"31 to 60 days",IF(F1086&lt;=90,"61 to 90 days",IF(F1086&lt;=120,"91 to 120 days","Over 120 days"))))</f>
        <v>61 to 90 days</v>
      </c>
      <c r="H1086" s="0" t="n">
        <f aca="false">VLOOKUP(D1086,Rates!$A$4:$B$7,2,FALSE())</f>
        <v>0.05</v>
      </c>
      <c r="I1086" s="0" t="n">
        <f aca="false">VLOOKUP(F1086,Rates!$D$4:$E$8,2)</f>
        <v>0.25</v>
      </c>
      <c r="J1086" s="0" t="n">
        <f aca="false">ROUND(E1086*I1086,2)</f>
        <v>5367.76</v>
      </c>
      <c r="K1086" s="1" t="n">
        <f aca="false">PV(H1086/12,F1086/30,0,-E1086)</f>
        <v>21281.4349592131</v>
      </c>
      <c r="L1086" s="0" t="n">
        <f aca="false">ROUND(E1086-K1086,2)</f>
        <v>189.62</v>
      </c>
      <c r="M1086" s="0" t="n">
        <f aca="false">F1086/E1086</f>
        <v>0.00298075781109913</v>
      </c>
    </row>
    <row r="1087" customFormat="false" ht="12.8" hidden="false" customHeight="false" outlineLevel="0" collapsed="false">
      <c r="A1087" s="0" t="s">
        <v>1622</v>
      </c>
      <c r="B1087" s="0" t="s">
        <v>97</v>
      </c>
      <c r="C1087" s="0" t="s">
        <v>42</v>
      </c>
      <c r="D1087" s="0" t="s">
        <v>20</v>
      </c>
      <c r="E1087" s="0" t="n">
        <v>44553.22</v>
      </c>
      <c r="F1087" s="0" t="n">
        <v>250</v>
      </c>
      <c r="G1087" s="0" t="str">
        <f aca="false">IF(F1087&lt;=30,"Current",IF(F1087&lt;=60,"31 to 60 days",IF(F1087&lt;=90,"61 to 90 days",IF(F1087&lt;=120,"91 to 120 days","Over 120 days"))))</f>
        <v>Over 120 days</v>
      </c>
      <c r="H1087" s="0" t="n">
        <f aca="false">VLOOKUP(D1087,Rates!$A$4:$B$7,2,FALSE())</f>
        <v>0.05</v>
      </c>
      <c r="I1087" s="0" t="n">
        <f aca="false">VLOOKUP(F1087,Rates!$D$4:$E$8,2)</f>
        <v>0.85</v>
      </c>
      <c r="J1087" s="0" t="n">
        <f aca="false">ROUND(E1087*I1087,2)</f>
        <v>37870.24</v>
      </c>
      <c r="K1087" s="1" t="n">
        <f aca="false">PV(H1087/12,F1087/30,0,-E1087)</f>
        <v>43035.8868300989</v>
      </c>
      <c r="L1087" s="0" t="n">
        <f aca="false">ROUND(E1087-K1087,2)</f>
        <v>1517.33</v>
      </c>
      <c r="M1087" s="0" t="n">
        <f aca="false">F1087/E1087</f>
        <v>0.00561126670530211</v>
      </c>
    </row>
    <row r="1088" customFormat="false" ht="12.8" hidden="false" customHeight="false" outlineLevel="0" collapsed="false">
      <c r="A1088" s="0" t="s">
        <v>1623</v>
      </c>
      <c r="B1088" s="0" t="s">
        <v>606</v>
      </c>
      <c r="C1088" s="0" t="s">
        <v>19</v>
      </c>
      <c r="D1088" s="0" t="s">
        <v>23</v>
      </c>
      <c r="E1088" s="0" t="n">
        <v>38437.04</v>
      </c>
      <c r="F1088" s="0" t="n">
        <v>335</v>
      </c>
      <c r="G1088" s="0" t="str">
        <f aca="false">IF(F1088&lt;=30,"Current",IF(F1088&lt;=60,"31 to 60 days",IF(F1088&lt;=90,"61 to 90 days",IF(F1088&lt;=120,"91 to 120 days","Over 120 days"))))</f>
        <v>Over 120 days</v>
      </c>
      <c r="H1088" s="0" t="n">
        <f aca="false">VLOOKUP(D1088,Rates!$A$4:$B$7,2,FALSE())</f>
        <v>0.115</v>
      </c>
      <c r="I1088" s="0" t="n">
        <f aca="false">VLOOKUP(F1088,Rates!$D$4:$E$8,2)</f>
        <v>0.85</v>
      </c>
      <c r="J1088" s="0" t="n">
        <f aca="false">ROUND(E1088*I1088,2)</f>
        <v>32671.48</v>
      </c>
      <c r="K1088" s="1" t="n">
        <f aca="false">PV(H1088/12,F1088/30,0,-E1088)</f>
        <v>34553.7889988571</v>
      </c>
      <c r="L1088" s="0" t="n">
        <f aca="false">ROUND(E1088-K1088,2)</f>
        <v>3883.25</v>
      </c>
      <c r="M1088" s="0" t="n">
        <f aca="false">F1088/E1088</f>
        <v>0.00871555145765647</v>
      </c>
    </row>
    <row r="1089" customFormat="false" ht="12.8" hidden="false" customHeight="false" outlineLevel="0" collapsed="false">
      <c r="A1089" s="0" t="s">
        <v>1624</v>
      </c>
      <c r="B1089" s="0" t="s">
        <v>1625</v>
      </c>
      <c r="C1089" s="0" t="s">
        <v>36</v>
      </c>
      <c r="D1089" s="0" t="s">
        <v>49</v>
      </c>
      <c r="E1089" s="0" t="n">
        <v>13708.69</v>
      </c>
      <c r="F1089" s="0" t="n">
        <v>319</v>
      </c>
      <c r="G1089" s="0" t="str">
        <f aca="false">IF(F1089&lt;=30,"Current",IF(F1089&lt;=60,"31 to 60 days",IF(F1089&lt;=90,"61 to 90 days",IF(F1089&lt;=120,"91 to 120 days","Over 120 days"))))</f>
        <v>Over 120 days</v>
      </c>
      <c r="H1089" s="0" t="n">
        <f aca="false">VLOOKUP(D1089,Rates!$A$4:$B$7,2,FALSE())</f>
        <v>0.02</v>
      </c>
      <c r="I1089" s="0" t="n">
        <f aca="false">VLOOKUP(F1089,Rates!$D$4:$E$8,2)</f>
        <v>0.85</v>
      </c>
      <c r="J1089" s="0" t="n">
        <f aca="false">ROUND(E1089*I1089,2)</f>
        <v>11652.39</v>
      </c>
      <c r="K1089" s="1" t="n">
        <f aca="false">PV(H1089/12,F1089/30,0,-E1089)</f>
        <v>13468.0803627793</v>
      </c>
      <c r="L1089" s="0" t="n">
        <f aca="false">ROUND(E1089-K1089,2)</f>
        <v>240.61</v>
      </c>
      <c r="M1089" s="0" t="n">
        <f aca="false">F1089/E1089</f>
        <v>0.0232699112752568</v>
      </c>
    </row>
    <row r="1090" customFormat="false" ht="12.8" hidden="false" customHeight="false" outlineLevel="0" collapsed="false">
      <c r="A1090" s="0" t="s">
        <v>1626</v>
      </c>
      <c r="B1090" s="0" t="s">
        <v>1627</v>
      </c>
      <c r="C1090" s="0" t="s">
        <v>31</v>
      </c>
      <c r="D1090" s="0" t="s">
        <v>16</v>
      </c>
      <c r="E1090" s="0" t="n">
        <v>26184.18</v>
      </c>
      <c r="F1090" s="0" t="n">
        <v>90</v>
      </c>
      <c r="G1090" s="0" t="str">
        <f aca="false">IF(F1090&lt;=30,"Current",IF(F1090&lt;=60,"31 to 60 days",IF(F1090&lt;=90,"61 to 90 days",IF(F1090&lt;=120,"91 to 120 days","Over 120 days"))))</f>
        <v>61 to 90 days</v>
      </c>
      <c r="H1090" s="0" t="n">
        <f aca="false">VLOOKUP(D1090,Rates!$A$4:$B$7,2,FALSE())</f>
        <v>0.085</v>
      </c>
      <c r="I1090" s="0" t="n">
        <f aca="false">VLOOKUP(F1090,Rates!$D$4:$E$8,2)</f>
        <v>0.25</v>
      </c>
      <c r="J1090" s="0" t="n">
        <f aca="false">ROUND(E1090*I1090,2)</f>
        <v>6546.05</v>
      </c>
      <c r="K1090" s="1" t="n">
        <f aca="false">PV(H1090/12,F1090/30,0,-E1090)</f>
        <v>25635.5566255754</v>
      </c>
      <c r="L1090" s="0" t="n">
        <f aca="false">ROUND(E1090-K1090,2)</f>
        <v>548.62</v>
      </c>
      <c r="M1090" s="0" t="n">
        <f aca="false">F1090/E1090</f>
        <v>0.00343718993682445</v>
      </c>
    </row>
    <row r="1091" customFormat="false" ht="12.8" hidden="false" customHeight="false" outlineLevel="0" collapsed="false">
      <c r="A1091" s="0" t="s">
        <v>1628</v>
      </c>
      <c r="B1091" s="0" t="s">
        <v>1035</v>
      </c>
      <c r="C1091" s="0" t="s">
        <v>15</v>
      </c>
      <c r="D1091" s="0" t="s">
        <v>16</v>
      </c>
      <c r="E1091" s="0" t="n">
        <v>8184.84</v>
      </c>
      <c r="F1091" s="0" t="n">
        <v>114</v>
      </c>
      <c r="G1091" s="0" t="str">
        <f aca="false">IF(F1091&lt;=30,"Current",IF(F1091&lt;=60,"31 to 60 days",IF(F1091&lt;=90,"61 to 90 days",IF(F1091&lt;=120,"91 to 120 days","Over 120 days"))))</f>
        <v>91 to 120 days</v>
      </c>
      <c r="H1091" s="0" t="n">
        <f aca="false">VLOOKUP(D1091,Rates!$A$4:$B$7,2,FALSE())</f>
        <v>0.085</v>
      </c>
      <c r="I1091" s="0" t="n">
        <f aca="false">VLOOKUP(F1091,Rates!$D$4:$E$8,2)</f>
        <v>0.5</v>
      </c>
      <c r="J1091" s="0" t="n">
        <f aca="false">ROUND(E1091*I1091,2)</f>
        <v>4092.42</v>
      </c>
      <c r="K1091" s="1" t="n">
        <f aca="false">PV(H1091/12,F1091/30,0,-E1091)</f>
        <v>7968.22595815318</v>
      </c>
      <c r="L1091" s="0" t="n">
        <f aca="false">ROUND(E1091-K1091,2)</f>
        <v>216.61</v>
      </c>
      <c r="M1091" s="0" t="n">
        <f aca="false">F1091/E1091</f>
        <v>0.0139281891887929</v>
      </c>
    </row>
    <row r="1092" customFormat="false" ht="12.8" hidden="false" customHeight="false" outlineLevel="0" collapsed="false">
      <c r="A1092" s="0" t="s">
        <v>1629</v>
      </c>
      <c r="B1092" s="0" t="s">
        <v>44</v>
      </c>
      <c r="C1092" s="0" t="s">
        <v>36</v>
      </c>
      <c r="D1092" s="0" t="s">
        <v>23</v>
      </c>
      <c r="E1092" s="0" t="n">
        <v>41987.52</v>
      </c>
      <c r="F1092" s="0" t="n">
        <v>351</v>
      </c>
      <c r="G1092" s="0" t="str">
        <f aca="false">IF(F1092&lt;=30,"Current",IF(F1092&lt;=60,"31 to 60 days",IF(F1092&lt;=90,"61 to 90 days",IF(F1092&lt;=120,"91 to 120 days","Over 120 days"))))</f>
        <v>Over 120 days</v>
      </c>
      <c r="H1092" s="0" t="n">
        <f aca="false">VLOOKUP(D1092,Rates!$A$4:$B$7,2,FALSE())</f>
        <v>0.115</v>
      </c>
      <c r="I1092" s="0" t="n">
        <f aca="false">VLOOKUP(F1092,Rates!$D$4:$E$8,2)</f>
        <v>0.85</v>
      </c>
      <c r="J1092" s="0" t="n">
        <f aca="false">ROUND(E1092*I1092,2)</f>
        <v>35689.39</v>
      </c>
      <c r="K1092" s="1" t="n">
        <f aca="false">PV(H1092/12,F1092/30,0,-E1092)</f>
        <v>37554.0522631196</v>
      </c>
      <c r="L1092" s="0" t="n">
        <f aca="false">ROUND(E1092-K1092,2)</f>
        <v>4433.47</v>
      </c>
      <c r="M1092" s="0" t="n">
        <f aca="false">F1092/E1092</f>
        <v>0.00835962686055285</v>
      </c>
    </row>
    <row r="1093" customFormat="false" ht="12.8" hidden="false" customHeight="false" outlineLevel="0" collapsed="false">
      <c r="A1093" s="0" t="s">
        <v>1630</v>
      </c>
      <c r="B1093" s="0" t="s">
        <v>33</v>
      </c>
      <c r="C1093" s="0" t="s">
        <v>26</v>
      </c>
      <c r="D1093" s="0" t="s">
        <v>20</v>
      </c>
      <c r="E1093" s="0" t="n">
        <v>36207.47</v>
      </c>
      <c r="F1093" s="0" t="n">
        <v>108</v>
      </c>
      <c r="G1093" s="0" t="str">
        <f aca="false">IF(F1093&lt;=30,"Current",IF(F1093&lt;=60,"31 to 60 days",IF(F1093&lt;=90,"61 to 90 days",IF(F1093&lt;=120,"91 to 120 days","Over 120 days"))))</f>
        <v>91 to 120 days</v>
      </c>
      <c r="H1093" s="0" t="n">
        <f aca="false">VLOOKUP(D1093,Rates!$A$4:$B$7,2,FALSE())</f>
        <v>0.05</v>
      </c>
      <c r="I1093" s="0" t="n">
        <f aca="false">VLOOKUP(F1093,Rates!$D$4:$E$8,2)</f>
        <v>0.5</v>
      </c>
      <c r="J1093" s="0" t="n">
        <f aca="false">ROUND(E1093*I1093,2)</f>
        <v>18103.74</v>
      </c>
      <c r="K1093" s="1" t="n">
        <f aca="false">PV(H1093/12,F1093/30,0,-E1093)</f>
        <v>35669.5225684108</v>
      </c>
      <c r="L1093" s="0" t="n">
        <f aca="false">ROUND(E1093-K1093,2)</f>
        <v>537.95</v>
      </c>
      <c r="M1093" s="0" t="n">
        <f aca="false">F1093/E1093</f>
        <v>0.00298280990082986</v>
      </c>
    </row>
    <row r="1094" customFormat="false" ht="12.8" hidden="false" customHeight="false" outlineLevel="0" collapsed="false">
      <c r="A1094" s="0" t="s">
        <v>1631</v>
      </c>
      <c r="B1094" s="0" t="s">
        <v>78</v>
      </c>
      <c r="C1094" s="0" t="s">
        <v>19</v>
      </c>
      <c r="D1094" s="0" t="s">
        <v>23</v>
      </c>
      <c r="E1094" s="0" t="n">
        <v>36282.19</v>
      </c>
      <c r="F1094" s="0" t="n">
        <v>233</v>
      </c>
      <c r="G1094" s="0" t="str">
        <f aca="false">IF(F1094&lt;=30,"Current",IF(F1094&lt;=60,"31 to 60 days",IF(F1094&lt;=90,"61 to 90 days",IF(F1094&lt;=120,"91 to 120 days","Over 120 days"))))</f>
        <v>Over 120 days</v>
      </c>
      <c r="H1094" s="0" t="n">
        <f aca="false">VLOOKUP(D1094,Rates!$A$4:$B$7,2,FALSE())</f>
        <v>0.115</v>
      </c>
      <c r="I1094" s="0" t="n">
        <f aca="false">VLOOKUP(F1094,Rates!$D$4:$E$8,2)</f>
        <v>0.85</v>
      </c>
      <c r="J1094" s="0" t="n">
        <f aca="false">ROUND(E1094*I1094,2)</f>
        <v>30839.86</v>
      </c>
      <c r="K1094" s="1" t="n">
        <f aca="false">PV(H1094/12,F1094/30,0,-E1094)</f>
        <v>33691.6764014737</v>
      </c>
      <c r="L1094" s="0" t="n">
        <f aca="false">ROUND(E1094-K1094,2)</f>
        <v>2590.51</v>
      </c>
      <c r="M1094" s="0" t="n">
        <f aca="false">F1094/E1094</f>
        <v>0.00642188357428259</v>
      </c>
    </row>
    <row r="1095" customFormat="false" ht="12.8" hidden="false" customHeight="false" outlineLevel="0" collapsed="false">
      <c r="A1095" s="0" t="s">
        <v>1632</v>
      </c>
      <c r="B1095" s="0" t="s">
        <v>97</v>
      </c>
      <c r="C1095" s="0" t="s">
        <v>42</v>
      </c>
      <c r="D1095" s="0" t="s">
        <v>20</v>
      </c>
      <c r="E1095" s="0" t="n">
        <v>30107.27</v>
      </c>
      <c r="F1095" s="0" t="n">
        <v>313</v>
      </c>
      <c r="G1095" s="0" t="str">
        <f aca="false">IF(F1095&lt;=30,"Current",IF(F1095&lt;=60,"31 to 60 days",IF(F1095&lt;=90,"61 to 90 days",IF(F1095&lt;=120,"91 to 120 days","Over 120 days"))))</f>
        <v>Over 120 days</v>
      </c>
      <c r="H1095" s="0" t="n">
        <f aca="false">VLOOKUP(D1095,Rates!$A$4:$B$7,2,FALSE())</f>
        <v>0.05</v>
      </c>
      <c r="I1095" s="0" t="n">
        <f aca="false">VLOOKUP(F1095,Rates!$D$4:$E$8,2)</f>
        <v>0.85</v>
      </c>
      <c r="J1095" s="0" t="n">
        <f aca="false">ROUND(E1095*I1095,2)</f>
        <v>25591.18</v>
      </c>
      <c r="K1095" s="1" t="n">
        <f aca="false">PV(H1095/12,F1095/30,0,-E1095)</f>
        <v>28829.0847570541</v>
      </c>
      <c r="L1095" s="0" t="n">
        <f aca="false">ROUND(E1095-K1095,2)</f>
        <v>1278.19</v>
      </c>
      <c r="M1095" s="0" t="n">
        <f aca="false">F1095/E1095</f>
        <v>0.0103961601300948</v>
      </c>
    </row>
    <row r="1096" customFormat="false" ht="12.8" hidden="false" customHeight="false" outlineLevel="0" collapsed="false">
      <c r="A1096" s="0" t="s">
        <v>1633</v>
      </c>
      <c r="B1096" s="0" t="s">
        <v>475</v>
      </c>
      <c r="C1096" s="0" t="s">
        <v>31</v>
      </c>
      <c r="D1096" s="0" t="s">
        <v>23</v>
      </c>
      <c r="E1096" s="0" t="n">
        <v>43250.38</v>
      </c>
      <c r="F1096" s="0" t="n">
        <v>80</v>
      </c>
      <c r="G1096" s="0" t="str">
        <f aca="false">IF(F1096&lt;=30,"Current",IF(F1096&lt;=60,"31 to 60 days",IF(F1096&lt;=90,"61 to 90 days",IF(F1096&lt;=120,"91 to 120 days","Over 120 days"))))</f>
        <v>61 to 90 days</v>
      </c>
      <c r="H1096" s="0" t="n">
        <f aca="false">VLOOKUP(D1096,Rates!$A$4:$B$7,2,FALSE())</f>
        <v>0.115</v>
      </c>
      <c r="I1096" s="0" t="n">
        <f aca="false">VLOOKUP(F1096,Rates!$D$4:$E$8,2)</f>
        <v>0.25</v>
      </c>
      <c r="J1096" s="0" t="n">
        <f aca="false">ROUND(E1096*I1096,2)</f>
        <v>10812.6</v>
      </c>
      <c r="K1096" s="1" t="n">
        <f aca="false">PV(H1096/12,F1096/30,0,-E1096)</f>
        <v>42164.2261876509</v>
      </c>
      <c r="L1096" s="0" t="n">
        <f aca="false">ROUND(E1096-K1096,2)</f>
        <v>1086.15</v>
      </c>
      <c r="M1096" s="0" t="n">
        <f aca="false">F1096/E1096</f>
        <v>0.00184969473100583</v>
      </c>
    </row>
    <row r="1097" customFormat="false" ht="12.8" hidden="false" customHeight="false" outlineLevel="0" collapsed="false">
      <c r="A1097" s="0" t="s">
        <v>1634</v>
      </c>
      <c r="B1097" s="0" t="s">
        <v>1635</v>
      </c>
      <c r="C1097" s="0" t="s">
        <v>26</v>
      </c>
      <c r="D1097" s="0" t="s">
        <v>16</v>
      </c>
      <c r="E1097" s="0" t="n">
        <v>27494.13</v>
      </c>
      <c r="F1097" s="0" t="n">
        <v>270</v>
      </c>
      <c r="G1097" s="0" t="str">
        <f aca="false">IF(F1097&lt;=30,"Current",IF(F1097&lt;=60,"31 to 60 days",IF(F1097&lt;=90,"61 to 90 days",IF(F1097&lt;=120,"91 to 120 days","Over 120 days"))))</f>
        <v>Over 120 days</v>
      </c>
      <c r="H1097" s="0" t="n">
        <f aca="false">VLOOKUP(D1097,Rates!$A$4:$B$7,2,FALSE())</f>
        <v>0.085</v>
      </c>
      <c r="I1097" s="0" t="n">
        <f aca="false">VLOOKUP(F1097,Rates!$D$4:$E$8,2)</f>
        <v>0.85</v>
      </c>
      <c r="J1097" s="0" t="n">
        <f aca="false">ROUND(E1097*I1097,2)</f>
        <v>23370.01</v>
      </c>
      <c r="K1097" s="1" t="n">
        <f aca="false">PV(H1097/12,F1097/30,0,-E1097)</f>
        <v>25801.877175869</v>
      </c>
      <c r="L1097" s="0" t="n">
        <f aca="false">ROUND(E1097-K1097,2)</f>
        <v>1692.25</v>
      </c>
      <c r="M1097" s="0" t="n">
        <f aca="false">F1097/E1097</f>
        <v>0.00982027800115879</v>
      </c>
    </row>
    <row r="1098" customFormat="false" ht="12.8" hidden="false" customHeight="false" outlineLevel="0" collapsed="false">
      <c r="A1098" s="0" t="s">
        <v>1636</v>
      </c>
      <c r="B1098" s="0" t="s">
        <v>1192</v>
      </c>
      <c r="C1098" s="0" t="s">
        <v>19</v>
      </c>
      <c r="D1098" s="0" t="s">
        <v>49</v>
      </c>
      <c r="E1098" s="0" t="n">
        <v>25669.2</v>
      </c>
      <c r="F1098" s="0" t="n">
        <v>368</v>
      </c>
      <c r="G1098" s="0" t="str">
        <f aca="false">IF(F1098&lt;=30,"Current",IF(F1098&lt;=60,"31 to 60 days",IF(F1098&lt;=90,"61 to 90 days",IF(F1098&lt;=120,"91 to 120 days","Over 120 days"))))</f>
        <v>Over 120 days</v>
      </c>
      <c r="H1098" s="0" t="n">
        <f aca="false">VLOOKUP(D1098,Rates!$A$4:$B$7,2,FALSE())</f>
        <v>0.02</v>
      </c>
      <c r="I1098" s="0" t="n">
        <f aca="false">VLOOKUP(F1098,Rates!$D$4:$E$8,2)</f>
        <v>0.85</v>
      </c>
      <c r="J1098" s="0" t="n">
        <f aca="false">ROUND(E1098*I1098,2)</f>
        <v>21818.82</v>
      </c>
      <c r="K1098" s="1" t="n">
        <f aca="false">PV(H1098/12,F1098/30,0,-E1098)</f>
        <v>25150.1636453969</v>
      </c>
      <c r="L1098" s="0" t="n">
        <f aca="false">ROUND(E1098-K1098,2)</f>
        <v>519.04</v>
      </c>
      <c r="M1098" s="0" t="n">
        <f aca="false">F1098/E1098</f>
        <v>0.0143362473314322</v>
      </c>
    </row>
    <row r="1099" customFormat="false" ht="12.8" hidden="false" customHeight="false" outlineLevel="0" collapsed="false">
      <c r="A1099" s="0" t="s">
        <v>1637</v>
      </c>
      <c r="B1099" s="0" t="s">
        <v>1271</v>
      </c>
      <c r="C1099" s="0" t="s">
        <v>31</v>
      </c>
      <c r="D1099" s="0" t="s">
        <v>49</v>
      </c>
      <c r="E1099" s="0" t="n">
        <v>34434.18</v>
      </c>
      <c r="F1099" s="0" t="n">
        <v>384</v>
      </c>
      <c r="G1099" s="0" t="str">
        <f aca="false">IF(F1099&lt;=30,"Current",IF(F1099&lt;=60,"31 to 60 days",IF(F1099&lt;=90,"61 to 90 days",IF(F1099&lt;=120,"91 to 120 days","Over 120 days"))))</f>
        <v>Over 120 days</v>
      </c>
      <c r="H1099" s="0" t="n">
        <f aca="false">VLOOKUP(D1099,Rates!$A$4:$B$7,2,FALSE())</f>
        <v>0.02</v>
      </c>
      <c r="I1099" s="0" t="n">
        <f aca="false">VLOOKUP(F1099,Rates!$D$4:$E$8,2)</f>
        <v>0.85</v>
      </c>
      <c r="J1099" s="0" t="n">
        <f aca="false">ROUND(E1099*I1099,2)</f>
        <v>29269.05</v>
      </c>
      <c r="K1099" s="1" t="n">
        <f aca="false">PV(H1099/12,F1099/30,0,-E1099)</f>
        <v>33707.9630067732</v>
      </c>
      <c r="L1099" s="0" t="n">
        <f aca="false">ROUND(E1099-K1099,2)</f>
        <v>726.22</v>
      </c>
      <c r="M1099" s="0" t="n">
        <f aca="false">F1099/E1099</f>
        <v>0.0111517103064455</v>
      </c>
    </row>
    <row r="1100" customFormat="false" ht="12.8" hidden="false" customHeight="false" outlineLevel="0" collapsed="false">
      <c r="A1100" s="0" t="s">
        <v>1638</v>
      </c>
      <c r="B1100" s="0" t="s">
        <v>1639</v>
      </c>
      <c r="C1100" s="0" t="s">
        <v>31</v>
      </c>
      <c r="D1100" s="0" t="s">
        <v>16</v>
      </c>
      <c r="E1100" s="0" t="n">
        <v>40611.63</v>
      </c>
      <c r="F1100" s="0" t="n">
        <v>225</v>
      </c>
      <c r="G1100" s="0" t="str">
        <f aca="false">IF(F1100&lt;=30,"Current",IF(F1100&lt;=60,"31 to 60 days",IF(F1100&lt;=90,"61 to 90 days",IF(F1100&lt;=120,"91 to 120 days","Over 120 days"))))</f>
        <v>Over 120 days</v>
      </c>
      <c r="H1100" s="0" t="n">
        <f aca="false">VLOOKUP(D1100,Rates!$A$4:$B$7,2,FALSE())</f>
        <v>0.085</v>
      </c>
      <c r="I1100" s="0" t="n">
        <f aca="false">VLOOKUP(F1100,Rates!$D$4:$E$8,2)</f>
        <v>0.85</v>
      </c>
      <c r="J1100" s="0" t="n">
        <f aca="false">ROUND(E1100*I1100,2)</f>
        <v>34519.89</v>
      </c>
      <c r="K1100" s="1" t="n">
        <f aca="false">PV(H1100/12,F1100/30,0,-E1100)</f>
        <v>38517.6564799778</v>
      </c>
      <c r="L1100" s="0" t="n">
        <f aca="false">ROUND(E1100-K1100,2)</f>
        <v>2093.97</v>
      </c>
      <c r="M1100" s="0" t="n">
        <f aca="false">F1100/E1100</f>
        <v>0.00554028488883603</v>
      </c>
    </row>
    <row r="1101" customFormat="false" ht="12.8" hidden="false" customHeight="false" outlineLevel="0" collapsed="false">
      <c r="A1101" s="0" t="s">
        <v>1640</v>
      </c>
      <c r="B1101" s="0" t="s">
        <v>1641</v>
      </c>
      <c r="C1101" s="0" t="s">
        <v>36</v>
      </c>
      <c r="D1101" s="0" t="s">
        <v>16</v>
      </c>
      <c r="E1101" s="0" t="n">
        <v>36851.13</v>
      </c>
      <c r="F1101" s="0" t="n">
        <v>13</v>
      </c>
      <c r="G1101" s="0" t="str">
        <f aca="false">IF(F1101&lt;=30,"Current",IF(F1101&lt;=60,"31 to 60 days",IF(F1101&lt;=90,"61 to 90 days",IF(F1101&lt;=120,"91 to 120 days","Over 120 days"))))</f>
        <v>Current</v>
      </c>
      <c r="H1101" s="0" t="n">
        <f aca="false">VLOOKUP(D1101,Rates!$A$4:$B$7,2,FALSE())</f>
        <v>0.085</v>
      </c>
      <c r="I1101" s="0" t="n">
        <f aca="false">VLOOKUP(F1101,Rates!$D$4:$E$8,2)</f>
        <v>0.02</v>
      </c>
      <c r="J1101" s="0" t="n">
        <f aca="false">ROUND(E1101*I1101,2)</f>
        <v>737.02</v>
      </c>
      <c r="K1101" s="1" t="n">
        <f aca="false">PV(H1101/12,F1101/30,0,-E1101)</f>
        <v>36738.5884276925</v>
      </c>
      <c r="L1101" s="0" t="n">
        <f aca="false">ROUND(E1101-K1101,2)</f>
        <v>112.54</v>
      </c>
      <c r="M1101" s="0" t="n">
        <f aca="false">F1101/E1101</f>
        <v>0.000352770729147247</v>
      </c>
    </row>
    <row r="1102" customFormat="false" ht="12.8" hidden="false" customHeight="false" outlineLevel="0" collapsed="false">
      <c r="A1102" s="0" t="s">
        <v>1642</v>
      </c>
      <c r="B1102" s="0" t="s">
        <v>1070</v>
      </c>
      <c r="C1102" s="0" t="s">
        <v>31</v>
      </c>
      <c r="D1102" s="0" t="s">
        <v>49</v>
      </c>
      <c r="E1102" s="0" t="n">
        <v>14293.12</v>
      </c>
      <c r="F1102" s="0" t="n">
        <v>110</v>
      </c>
      <c r="G1102" s="0" t="str">
        <f aca="false">IF(F1102&lt;=30,"Current",IF(F1102&lt;=60,"31 to 60 days",IF(F1102&lt;=90,"61 to 90 days",IF(F1102&lt;=120,"91 to 120 days","Over 120 days"))))</f>
        <v>91 to 120 days</v>
      </c>
      <c r="H1102" s="0" t="n">
        <f aca="false">VLOOKUP(D1102,Rates!$A$4:$B$7,2,FALSE())</f>
        <v>0.02</v>
      </c>
      <c r="I1102" s="0" t="n">
        <f aca="false">VLOOKUP(F1102,Rates!$D$4:$E$8,2)</f>
        <v>0.5</v>
      </c>
      <c r="J1102" s="0" t="n">
        <f aca="false">ROUND(E1102*I1102,2)</f>
        <v>7146.56</v>
      </c>
      <c r="K1102" s="1" t="n">
        <f aca="false">PV(H1102/12,F1102/30,0,-E1102)</f>
        <v>14206.1117713215</v>
      </c>
      <c r="L1102" s="0" t="n">
        <f aca="false">ROUND(E1102-K1102,2)</f>
        <v>87.01</v>
      </c>
      <c r="M1102" s="0" t="n">
        <f aca="false">F1102/E1102</f>
        <v>0.00769601038821475</v>
      </c>
    </row>
    <row r="1103" customFormat="false" ht="12.8" hidden="false" customHeight="false" outlineLevel="0" collapsed="false">
      <c r="A1103" s="0" t="s">
        <v>1643</v>
      </c>
      <c r="B1103" s="0" t="s">
        <v>205</v>
      </c>
      <c r="C1103" s="0" t="s">
        <v>42</v>
      </c>
      <c r="D1103" s="0" t="s">
        <v>23</v>
      </c>
      <c r="E1103" s="0" t="n">
        <v>17424.28</v>
      </c>
      <c r="F1103" s="0" t="n">
        <v>170</v>
      </c>
      <c r="G1103" s="0" t="str">
        <f aca="false">IF(F1103&lt;=30,"Current",IF(F1103&lt;=60,"31 to 60 days",IF(F1103&lt;=90,"61 to 90 days",IF(F1103&lt;=120,"91 to 120 days","Over 120 days"))))</f>
        <v>Over 120 days</v>
      </c>
      <c r="H1103" s="0" t="n">
        <f aca="false">VLOOKUP(D1103,Rates!$A$4:$B$7,2,FALSE())</f>
        <v>0.115</v>
      </c>
      <c r="I1103" s="0" t="n">
        <f aca="false">VLOOKUP(F1103,Rates!$D$4:$E$8,2)</f>
        <v>0.85</v>
      </c>
      <c r="J1103" s="0" t="n">
        <f aca="false">ROUND(E1103*I1103,2)</f>
        <v>14810.64</v>
      </c>
      <c r="K1103" s="1" t="n">
        <f aca="false">PV(H1103/12,F1103/30,0,-E1103)</f>
        <v>16507.5465628962</v>
      </c>
      <c r="L1103" s="0" t="n">
        <f aca="false">ROUND(E1103-K1103,2)</f>
        <v>916.73</v>
      </c>
      <c r="M1103" s="0" t="n">
        <f aca="false">F1103/E1103</f>
        <v>0.00975650069902458</v>
      </c>
    </row>
    <row r="1104" customFormat="false" ht="12.8" hidden="false" customHeight="false" outlineLevel="0" collapsed="false">
      <c r="A1104" s="0" t="s">
        <v>1644</v>
      </c>
      <c r="B1104" s="0" t="s">
        <v>468</v>
      </c>
      <c r="C1104" s="0" t="s">
        <v>19</v>
      </c>
      <c r="D1104" s="0" t="s">
        <v>49</v>
      </c>
      <c r="E1104" s="0" t="n">
        <v>24630.37</v>
      </c>
      <c r="F1104" s="0" t="n">
        <v>179</v>
      </c>
      <c r="G1104" s="0" t="str">
        <f aca="false">IF(F1104&lt;=30,"Current",IF(F1104&lt;=60,"31 to 60 days",IF(F1104&lt;=90,"61 to 90 days",IF(F1104&lt;=120,"91 to 120 days","Over 120 days"))))</f>
        <v>Over 120 days</v>
      </c>
      <c r="H1104" s="0" t="n">
        <f aca="false">VLOOKUP(D1104,Rates!$A$4:$B$7,2,FALSE())</f>
        <v>0.02</v>
      </c>
      <c r="I1104" s="0" t="n">
        <f aca="false">VLOOKUP(F1104,Rates!$D$4:$E$8,2)</f>
        <v>0.85</v>
      </c>
      <c r="J1104" s="0" t="n">
        <f aca="false">ROUND(E1104*I1104,2)</f>
        <v>20935.81</v>
      </c>
      <c r="K1104" s="1" t="n">
        <f aca="false">PV(H1104/12,F1104/30,0,-E1104)</f>
        <v>24386.8503694803</v>
      </c>
      <c r="L1104" s="0" t="n">
        <f aca="false">ROUND(E1104-K1104,2)</f>
        <v>243.52</v>
      </c>
      <c r="M1104" s="0" t="n">
        <f aca="false">F1104/E1104</f>
        <v>0.00726745071227107</v>
      </c>
    </row>
    <row r="1105" customFormat="false" ht="12.8" hidden="false" customHeight="false" outlineLevel="0" collapsed="false">
      <c r="A1105" s="0" t="s">
        <v>1645</v>
      </c>
      <c r="B1105" s="0" t="s">
        <v>632</v>
      </c>
      <c r="C1105" s="0" t="s">
        <v>42</v>
      </c>
      <c r="D1105" s="0" t="s">
        <v>16</v>
      </c>
      <c r="E1105" s="0" t="n">
        <v>6028.69</v>
      </c>
      <c r="F1105" s="0" t="n">
        <v>356</v>
      </c>
      <c r="G1105" s="0" t="str">
        <f aca="false">IF(F1105&lt;=30,"Current",IF(F1105&lt;=60,"31 to 60 days",IF(F1105&lt;=90,"61 to 90 days",IF(F1105&lt;=120,"91 to 120 days","Over 120 days"))))</f>
        <v>Over 120 days</v>
      </c>
      <c r="H1105" s="0" t="n">
        <f aca="false">VLOOKUP(D1105,Rates!$A$4:$B$7,2,FALSE())</f>
        <v>0.085</v>
      </c>
      <c r="I1105" s="0" t="n">
        <f aca="false">VLOOKUP(F1105,Rates!$D$4:$E$8,2)</f>
        <v>0.85</v>
      </c>
      <c r="J1105" s="0" t="n">
        <f aca="false">ROUND(E1105*I1105,2)</f>
        <v>5124.39</v>
      </c>
      <c r="K1105" s="1" t="n">
        <f aca="false">PV(H1105/12,F1105/30,0,-E1105)</f>
        <v>5544.30060932769</v>
      </c>
      <c r="L1105" s="0" t="n">
        <f aca="false">ROUND(E1105-K1105,2)</f>
        <v>484.39</v>
      </c>
      <c r="M1105" s="0" t="n">
        <f aca="false">F1105/E1105</f>
        <v>0.059050971272366</v>
      </c>
    </row>
    <row r="1106" customFormat="false" ht="12.8" hidden="false" customHeight="false" outlineLevel="0" collapsed="false">
      <c r="A1106" s="0" t="s">
        <v>1646</v>
      </c>
      <c r="B1106" s="0" t="s">
        <v>18</v>
      </c>
      <c r="C1106" s="0" t="s">
        <v>19</v>
      </c>
      <c r="D1106" s="0" t="s">
        <v>20</v>
      </c>
      <c r="E1106" s="0" t="n">
        <v>3258.96</v>
      </c>
      <c r="F1106" s="0" t="n">
        <v>234</v>
      </c>
      <c r="G1106" s="0" t="str">
        <f aca="false">IF(F1106&lt;=30,"Current",IF(F1106&lt;=60,"31 to 60 days",IF(F1106&lt;=90,"61 to 90 days",IF(F1106&lt;=120,"91 to 120 days","Over 120 days"))))</f>
        <v>Over 120 days</v>
      </c>
      <c r="H1106" s="0" t="n">
        <f aca="false">VLOOKUP(D1106,Rates!$A$4:$B$7,2,FALSE())</f>
        <v>0.05</v>
      </c>
      <c r="I1106" s="0" t="n">
        <f aca="false">VLOOKUP(F1106,Rates!$D$4:$E$8,2)</f>
        <v>0.85</v>
      </c>
      <c r="J1106" s="0" t="n">
        <f aca="false">ROUND(E1106*I1106,2)</f>
        <v>2770.12</v>
      </c>
      <c r="K1106" s="1" t="n">
        <f aca="false">PV(H1106/12,F1106/30,0,-E1106)</f>
        <v>3154.9594614249</v>
      </c>
      <c r="L1106" s="0" t="n">
        <f aca="false">ROUND(E1106-K1106,2)</f>
        <v>104</v>
      </c>
      <c r="M1106" s="0" t="n">
        <f aca="false">F1106/E1106</f>
        <v>0.0718020472788865</v>
      </c>
    </row>
    <row r="1107" customFormat="false" ht="12.8" hidden="false" customHeight="false" outlineLevel="0" collapsed="false">
      <c r="A1107" s="0" t="s">
        <v>1647</v>
      </c>
      <c r="B1107" s="0" t="s">
        <v>242</v>
      </c>
      <c r="C1107" s="0" t="s">
        <v>36</v>
      </c>
      <c r="D1107" s="0" t="s">
        <v>23</v>
      </c>
      <c r="E1107" s="0" t="n">
        <v>11077.56</v>
      </c>
      <c r="F1107" s="0" t="n">
        <v>32</v>
      </c>
      <c r="G1107" s="0" t="str">
        <f aca="false">IF(F1107&lt;=30,"Current",IF(F1107&lt;=60,"31 to 60 days",IF(F1107&lt;=90,"61 to 90 days",IF(F1107&lt;=120,"91 to 120 days","Over 120 days"))))</f>
        <v>31 to 60 days</v>
      </c>
      <c r="H1107" s="0" t="n">
        <f aca="false">VLOOKUP(D1107,Rates!$A$4:$B$7,2,FALSE())</f>
        <v>0.115</v>
      </c>
      <c r="I1107" s="0" t="n">
        <f aca="false">VLOOKUP(F1107,Rates!$D$4:$E$8,2)</f>
        <v>0.1</v>
      </c>
      <c r="J1107" s="0" t="n">
        <f aca="false">ROUND(E1107*I1107,2)</f>
        <v>1107.76</v>
      </c>
      <c r="K1107" s="1" t="n">
        <f aca="false">PV(H1107/12,F1107/30,0,-E1107)</f>
        <v>10965.4332044098</v>
      </c>
      <c r="L1107" s="0" t="n">
        <f aca="false">ROUND(E1107-K1107,2)</f>
        <v>112.13</v>
      </c>
      <c r="M1107" s="0" t="n">
        <f aca="false">F1107/E1107</f>
        <v>0.00288872278732862</v>
      </c>
    </row>
    <row r="1108" customFormat="false" ht="12.8" hidden="false" customHeight="false" outlineLevel="0" collapsed="false">
      <c r="A1108" s="0" t="s">
        <v>1648</v>
      </c>
      <c r="B1108" s="0" t="s">
        <v>30</v>
      </c>
      <c r="C1108" s="0" t="s">
        <v>31</v>
      </c>
      <c r="D1108" s="0" t="s">
        <v>20</v>
      </c>
      <c r="E1108" s="0" t="n">
        <v>17738.34</v>
      </c>
      <c r="F1108" s="0" t="n">
        <v>274</v>
      </c>
      <c r="G1108" s="0" t="str">
        <f aca="false">IF(F1108&lt;=30,"Current",IF(F1108&lt;=60,"31 to 60 days",IF(F1108&lt;=90,"61 to 90 days",IF(F1108&lt;=120,"91 to 120 days","Over 120 days"))))</f>
        <v>Over 120 days</v>
      </c>
      <c r="H1108" s="0" t="n">
        <f aca="false">VLOOKUP(D1108,Rates!$A$4:$B$7,2,FALSE())</f>
        <v>0.05</v>
      </c>
      <c r="I1108" s="0" t="n">
        <f aca="false">VLOOKUP(F1108,Rates!$D$4:$E$8,2)</f>
        <v>0.85</v>
      </c>
      <c r="J1108" s="0" t="n">
        <f aca="false">ROUND(E1108*I1108,2)</f>
        <v>15077.59</v>
      </c>
      <c r="K1108" s="1" t="n">
        <f aca="false">PV(H1108/12,F1108/30,0,-E1108)</f>
        <v>17077.3309053019</v>
      </c>
      <c r="L1108" s="0" t="n">
        <f aca="false">ROUND(E1108-K1108,2)</f>
        <v>661.01</v>
      </c>
      <c r="M1108" s="0" t="n">
        <f aca="false">F1108/E1108</f>
        <v>0.015446766721125</v>
      </c>
    </row>
    <row r="1109" customFormat="false" ht="12.8" hidden="false" customHeight="false" outlineLevel="0" collapsed="false">
      <c r="A1109" s="0" t="s">
        <v>1649</v>
      </c>
      <c r="B1109" s="0" t="s">
        <v>1323</v>
      </c>
      <c r="C1109" s="0" t="s">
        <v>15</v>
      </c>
      <c r="D1109" s="0" t="s">
        <v>16</v>
      </c>
      <c r="E1109" s="0" t="n">
        <v>31116.32</v>
      </c>
      <c r="F1109" s="0" t="n">
        <v>330</v>
      </c>
      <c r="G1109" s="0" t="str">
        <f aca="false">IF(F1109&lt;=30,"Current",IF(F1109&lt;=60,"31 to 60 days",IF(F1109&lt;=90,"61 to 90 days",IF(F1109&lt;=120,"91 to 120 days","Over 120 days"))))</f>
        <v>Over 120 days</v>
      </c>
      <c r="H1109" s="0" t="n">
        <f aca="false">VLOOKUP(D1109,Rates!$A$4:$B$7,2,FALSE())</f>
        <v>0.085</v>
      </c>
      <c r="I1109" s="0" t="n">
        <f aca="false">VLOOKUP(F1109,Rates!$D$4:$E$8,2)</f>
        <v>0.85</v>
      </c>
      <c r="J1109" s="0" t="n">
        <f aca="false">ROUND(E1109*I1109,2)</f>
        <v>26448.87</v>
      </c>
      <c r="K1109" s="1" t="n">
        <f aca="false">PV(H1109/12,F1109/30,0,-E1109)</f>
        <v>28791.7944710923</v>
      </c>
      <c r="L1109" s="0" t="n">
        <f aca="false">ROUND(E1109-K1109,2)</f>
        <v>2324.53</v>
      </c>
      <c r="M1109" s="0" t="n">
        <f aca="false">F1109/E1109</f>
        <v>0.0106053672156605</v>
      </c>
    </row>
    <row r="1110" customFormat="false" ht="12.8" hidden="false" customHeight="false" outlineLevel="0" collapsed="false">
      <c r="A1110" s="0" t="s">
        <v>1650</v>
      </c>
      <c r="B1110" s="0" t="s">
        <v>28</v>
      </c>
      <c r="C1110" s="0" t="s">
        <v>15</v>
      </c>
      <c r="D1110" s="0" t="s">
        <v>20</v>
      </c>
      <c r="E1110" s="0" t="n">
        <v>3847.11</v>
      </c>
      <c r="F1110" s="0" t="n">
        <v>207</v>
      </c>
      <c r="G1110" s="0" t="str">
        <f aca="false">IF(F1110&lt;=30,"Current",IF(F1110&lt;=60,"31 to 60 days",IF(F1110&lt;=90,"61 to 90 days",IF(F1110&lt;=120,"91 to 120 days","Over 120 days"))))</f>
        <v>Over 120 days</v>
      </c>
      <c r="H1110" s="0" t="n">
        <f aca="false">VLOOKUP(D1110,Rates!$A$4:$B$7,2,FALSE())</f>
        <v>0.05</v>
      </c>
      <c r="I1110" s="0" t="n">
        <f aca="false">VLOOKUP(F1110,Rates!$D$4:$E$8,2)</f>
        <v>0.85</v>
      </c>
      <c r="J1110" s="0" t="n">
        <f aca="false">ROUND(E1110*I1110,2)</f>
        <v>3270.04</v>
      </c>
      <c r="K1110" s="1" t="n">
        <f aca="false">PV(H1110/12,F1110/30,0,-E1110)</f>
        <v>3738.30368002237</v>
      </c>
      <c r="L1110" s="0" t="n">
        <f aca="false">ROUND(E1110-K1110,2)</f>
        <v>108.81</v>
      </c>
      <c r="M1110" s="0" t="n">
        <f aca="false">F1110/E1110</f>
        <v>0.0538066236733548</v>
      </c>
    </row>
    <row r="1111" customFormat="false" ht="12.8" hidden="false" customHeight="false" outlineLevel="0" collapsed="false">
      <c r="A1111" s="0" t="s">
        <v>1651</v>
      </c>
      <c r="B1111" s="0" t="s">
        <v>28</v>
      </c>
      <c r="C1111" s="0" t="s">
        <v>15</v>
      </c>
      <c r="D1111" s="0" t="s">
        <v>20</v>
      </c>
      <c r="E1111" s="0" t="n">
        <v>9817.88</v>
      </c>
      <c r="F1111" s="0" t="n">
        <v>170</v>
      </c>
      <c r="G1111" s="0" t="str">
        <f aca="false">IF(F1111&lt;=30,"Current",IF(F1111&lt;=60,"31 to 60 days",IF(F1111&lt;=90,"61 to 90 days",IF(F1111&lt;=120,"91 to 120 days","Over 120 days"))))</f>
        <v>Over 120 days</v>
      </c>
      <c r="H1111" s="0" t="n">
        <f aca="false">VLOOKUP(D1111,Rates!$A$4:$B$7,2,FALSE())</f>
        <v>0.05</v>
      </c>
      <c r="I1111" s="0" t="n">
        <f aca="false">VLOOKUP(F1111,Rates!$D$4:$E$8,2)</f>
        <v>0.85</v>
      </c>
      <c r="J1111" s="0" t="n">
        <f aca="false">ROUND(E1111*I1111,2)</f>
        <v>8345.2</v>
      </c>
      <c r="K1111" s="1" t="n">
        <f aca="false">PV(H1111/12,F1111/30,0,-E1111)</f>
        <v>9589.25456670413</v>
      </c>
      <c r="L1111" s="0" t="n">
        <f aca="false">ROUND(E1111-K1111,2)</f>
        <v>228.63</v>
      </c>
      <c r="M1111" s="0" t="n">
        <f aca="false">F1111/E1111</f>
        <v>0.0173153471014109</v>
      </c>
    </row>
    <row r="1112" customFormat="false" ht="12.8" hidden="false" customHeight="false" outlineLevel="0" collapsed="false">
      <c r="A1112" s="0" t="s">
        <v>1652</v>
      </c>
      <c r="B1112" s="0" t="s">
        <v>30</v>
      </c>
      <c r="C1112" s="0" t="s">
        <v>31</v>
      </c>
      <c r="D1112" s="0" t="s">
        <v>20</v>
      </c>
      <c r="E1112" s="0" t="n">
        <v>12849.12</v>
      </c>
      <c r="F1112" s="0" t="n">
        <v>152</v>
      </c>
      <c r="G1112" s="0" t="str">
        <f aca="false">IF(F1112&lt;=30,"Current",IF(F1112&lt;=60,"31 to 60 days",IF(F1112&lt;=90,"61 to 90 days",IF(F1112&lt;=120,"91 to 120 days","Over 120 days"))))</f>
        <v>Over 120 days</v>
      </c>
      <c r="H1112" s="0" t="n">
        <f aca="false">VLOOKUP(D1112,Rates!$A$4:$B$7,2,FALSE())</f>
        <v>0.05</v>
      </c>
      <c r="I1112" s="0" t="n">
        <f aca="false">VLOOKUP(F1112,Rates!$D$4:$E$8,2)</f>
        <v>0.85</v>
      </c>
      <c r="J1112" s="0" t="n">
        <f aca="false">ROUND(E1112*I1112,2)</f>
        <v>10921.75</v>
      </c>
      <c r="K1112" s="1" t="n">
        <f aca="false">PV(H1112/12,F1112/30,0,-E1112)</f>
        <v>12581.2558462574</v>
      </c>
      <c r="L1112" s="0" t="n">
        <f aca="false">ROUND(E1112-K1112,2)</f>
        <v>267.86</v>
      </c>
      <c r="M1112" s="0" t="n">
        <f aca="false">F1112/E1112</f>
        <v>0.0118296038950527</v>
      </c>
    </row>
    <row r="1113" customFormat="false" ht="12.8" hidden="false" customHeight="false" outlineLevel="0" collapsed="false">
      <c r="A1113" s="0" t="s">
        <v>1653</v>
      </c>
      <c r="B1113" s="0" t="s">
        <v>332</v>
      </c>
      <c r="C1113" s="0" t="s">
        <v>19</v>
      </c>
      <c r="D1113" s="0" t="s">
        <v>16</v>
      </c>
      <c r="E1113" s="0" t="n">
        <v>22834.84</v>
      </c>
      <c r="F1113" s="0" t="n">
        <v>265</v>
      </c>
      <c r="G1113" s="0" t="str">
        <f aca="false">IF(F1113&lt;=30,"Current",IF(F1113&lt;=60,"31 to 60 days",IF(F1113&lt;=90,"61 to 90 days",IF(F1113&lt;=120,"91 to 120 days","Over 120 days"))))</f>
        <v>Over 120 days</v>
      </c>
      <c r="H1113" s="0" t="n">
        <f aca="false">VLOOKUP(D1113,Rates!$A$4:$B$7,2,FALSE())</f>
        <v>0.085</v>
      </c>
      <c r="I1113" s="0" t="n">
        <f aca="false">VLOOKUP(F1113,Rates!$D$4:$E$8,2)</f>
        <v>0.85</v>
      </c>
      <c r="J1113" s="0" t="n">
        <f aca="false">ROUND(E1113*I1113,2)</f>
        <v>19409.61</v>
      </c>
      <c r="K1113" s="1" t="n">
        <f aca="false">PV(H1113/12,F1113/30,0,-E1113)</f>
        <v>21454.5888432231</v>
      </c>
      <c r="L1113" s="0" t="n">
        <f aca="false">ROUND(E1113-K1113,2)</f>
        <v>1380.25</v>
      </c>
      <c r="M1113" s="0" t="n">
        <f aca="false">F1113/E1113</f>
        <v>0.0116050736506146</v>
      </c>
    </row>
    <row r="1114" customFormat="false" ht="12.8" hidden="false" customHeight="false" outlineLevel="0" collapsed="false">
      <c r="A1114" s="0" t="s">
        <v>1654</v>
      </c>
      <c r="B1114" s="0" t="s">
        <v>1655</v>
      </c>
      <c r="C1114" s="0" t="s">
        <v>19</v>
      </c>
      <c r="D1114" s="0" t="s">
        <v>16</v>
      </c>
      <c r="E1114" s="0" t="n">
        <v>1827.89</v>
      </c>
      <c r="F1114" s="0" t="n">
        <v>86</v>
      </c>
      <c r="G1114" s="0" t="str">
        <f aca="false">IF(F1114&lt;=30,"Current",IF(F1114&lt;=60,"31 to 60 days",IF(F1114&lt;=90,"61 to 90 days",IF(F1114&lt;=120,"91 to 120 days","Over 120 days"))))</f>
        <v>61 to 90 days</v>
      </c>
      <c r="H1114" s="0" t="n">
        <f aca="false">VLOOKUP(D1114,Rates!$A$4:$B$7,2,FALSE())</f>
        <v>0.085</v>
      </c>
      <c r="I1114" s="0" t="n">
        <f aca="false">VLOOKUP(F1114,Rates!$D$4:$E$8,2)</f>
        <v>0.25</v>
      </c>
      <c r="J1114" s="0" t="n">
        <f aca="false">ROUND(E1114*I1114,2)</f>
        <v>456.97</v>
      </c>
      <c r="K1114" s="1" t="n">
        <f aca="false">PV(H1114/12,F1114/30,0,-E1114)</f>
        <v>1791.27618495808</v>
      </c>
      <c r="L1114" s="0" t="n">
        <f aca="false">ROUND(E1114-K1114,2)</f>
        <v>36.61</v>
      </c>
      <c r="M1114" s="0" t="n">
        <f aca="false">F1114/E1114</f>
        <v>0.0470487830230484</v>
      </c>
    </row>
    <row r="1115" customFormat="false" ht="12.8" hidden="false" customHeight="false" outlineLevel="0" collapsed="false">
      <c r="A1115" s="0" t="s">
        <v>1656</v>
      </c>
      <c r="B1115" s="0" t="s">
        <v>682</v>
      </c>
      <c r="C1115" s="0" t="s">
        <v>19</v>
      </c>
      <c r="D1115" s="0" t="s">
        <v>23</v>
      </c>
      <c r="E1115" s="0" t="n">
        <v>1812.05</v>
      </c>
      <c r="F1115" s="0" t="n">
        <v>108</v>
      </c>
      <c r="G1115" s="0" t="str">
        <f aca="false">IF(F1115&lt;=30,"Current",IF(F1115&lt;=60,"31 to 60 days",IF(F1115&lt;=90,"61 to 90 days",IF(F1115&lt;=120,"91 to 120 days","Over 120 days"))))</f>
        <v>91 to 120 days</v>
      </c>
      <c r="H1115" s="0" t="n">
        <f aca="false">VLOOKUP(D1115,Rates!$A$4:$B$7,2,FALSE())</f>
        <v>0.115</v>
      </c>
      <c r="I1115" s="0" t="n">
        <f aca="false">VLOOKUP(F1115,Rates!$D$4:$E$8,2)</f>
        <v>0.5</v>
      </c>
      <c r="J1115" s="0" t="n">
        <f aca="false">ROUND(E1115*I1115,2)</f>
        <v>906.03</v>
      </c>
      <c r="K1115" s="1" t="n">
        <f aca="false">PV(H1115/12,F1115/30,0,-E1115)</f>
        <v>1750.88795994109</v>
      </c>
      <c r="L1115" s="0" t="n">
        <f aca="false">ROUND(E1115-K1115,2)</f>
        <v>61.16</v>
      </c>
      <c r="M1115" s="0" t="n">
        <f aca="false">F1115/E1115</f>
        <v>0.0596010043872962</v>
      </c>
    </row>
    <row r="1116" customFormat="false" ht="12.8" hidden="false" customHeight="false" outlineLevel="0" collapsed="false">
      <c r="A1116" s="0" t="s">
        <v>1657</v>
      </c>
      <c r="B1116" s="0" t="s">
        <v>33</v>
      </c>
      <c r="C1116" s="0" t="s">
        <v>26</v>
      </c>
      <c r="D1116" s="0" t="s">
        <v>20</v>
      </c>
      <c r="E1116" s="0" t="n">
        <v>15133.89</v>
      </c>
      <c r="F1116" s="0" t="n">
        <v>298</v>
      </c>
      <c r="G1116" s="0" t="str">
        <f aca="false">IF(F1116&lt;=30,"Current",IF(F1116&lt;=60,"31 to 60 days",IF(F1116&lt;=90,"61 to 90 days",IF(F1116&lt;=120,"91 to 120 days","Over 120 days"))))</f>
        <v>Over 120 days</v>
      </c>
      <c r="H1116" s="0" t="n">
        <f aca="false">VLOOKUP(D1116,Rates!$A$4:$B$7,2,FALSE())</f>
        <v>0.05</v>
      </c>
      <c r="I1116" s="0" t="n">
        <f aca="false">VLOOKUP(F1116,Rates!$D$4:$E$8,2)</f>
        <v>0.85</v>
      </c>
      <c r="J1116" s="0" t="n">
        <f aca="false">ROUND(E1116*I1116,2)</f>
        <v>12863.81</v>
      </c>
      <c r="K1116" s="1" t="n">
        <f aca="false">PV(H1116/12,F1116/30,0,-E1116)</f>
        <v>14521.5492161694</v>
      </c>
      <c r="L1116" s="0" t="n">
        <f aca="false">ROUND(E1116-K1116,2)</f>
        <v>612.34</v>
      </c>
      <c r="M1116" s="0" t="n">
        <f aca="false">F1116/E1116</f>
        <v>0.0196909056428982</v>
      </c>
    </row>
    <row r="1117" customFormat="false" ht="12.8" hidden="false" customHeight="false" outlineLevel="0" collapsed="false">
      <c r="A1117" s="0" t="s">
        <v>1658</v>
      </c>
      <c r="B1117" s="0" t="s">
        <v>1659</v>
      </c>
      <c r="C1117" s="0" t="s">
        <v>15</v>
      </c>
      <c r="D1117" s="0" t="s">
        <v>49</v>
      </c>
      <c r="E1117" s="0" t="n">
        <v>33202.96</v>
      </c>
      <c r="F1117" s="0" t="n">
        <v>152</v>
      </c>
      <c r="G1117" s="0" t="str">
        <f aca="false">IF(F1117&lt;=30,"Current",IF(F1117&lt;=60,"31 to 60 days",IF(F1117&lt;=90,"61 to 90 days",IF(F1117&lt;=120,"91 to 120 days","Over 120 days"))))</f>
        <v>Over 120 days</v>
      </c>
      <c r="H1117" s="0" t="n">
        <f aca="false">VLOOKUP(D1117,Rates!$A$4:$B$7,2,FALSE())</f>
        <v>0.02</v>
      </c>
      <c r="I1117" s="0" t="n">
        <f aca="false">VLOOKUP(F1117,Rates!$D$4:$E$8,2)</f>
        <v>0.85</v>
      </c>
      <c r="J1117" s="0" t="n">
        <f aca="false">ROUND(E1117*I1117,2)</f>
        <v>28222.52</v>
      </c>
      <c r="K1117" s="1" t="n">
        <f aca="false">PV(H1117/12,F1117/30,0,-E1117)</f>
        <v>32923.9913820703</v>
      </c>
      <c r="L1117" s="0" t="n">
        <f aca="false">ROUND(E1117-K1117,2)</f>
        <v>278.97</v>
      </c>
      <c r="M1117" s="0" t="n">
        <f aca="false">F1117/E1117</f>
        <v>0.00457790510243665</v>
      </c>
    </row>
    <row r="1118" customFormat="false" ht="12.8" hidden="false" customHeight="false" outlineLevel="0" collapsed="false">
      <c r="A1118" s="0" t="s">
        <v>1660</v>
      </c>
      <c r="B1118" s="0" t="s">
        <v>1661</v>
      </c>
      <c r="C1118" s="0" t="s">
        <v>15</v>
      </c>
      <c r="D1118" s="0" t="s">
        <v>16</v>
      </c>
      <c r="E1118" s="0" t="n">
        <v>34169.38</v>
      </c>
      <c r="F1118" s="0" t="n">
        <v>210</v>
      </c>
      <c r="G1118" s="0" t="str">
        <f aca="false">IF(F1118&lt;=30,"Current",IF(F1118&lt;=60,"31 to 60 days",IF(F1118&lt;=90,"61 to 90 days",IF(F1118&lt;=120,"91 to 120 days","Over 120 days"))))</f>
        <v>Over 120 days</v>
      </c>
      <c r="H1118" s="0" t="n">
        <f aca="false">VLOOKUP(D1118,Rates!$A$4:$B$7,2,FALSE())</f>
        <v>0.085</v>
      </c>
      <c r="I1118" s="0" t="n">
        <f aca="false">VLOOKUP(F1118,Rates!$D$4:$E$8,2)</f>
        <v>0.85</v>
      </c>
      <c r="J1118" s="0" t="n">
        <f aca="false">ROUND(E1118*I1118,2)</f>
        <v>29043.97</v>
      </c>
      <c r="K1118" s="1" t="n">
        <f aca="false">PV(H1118/12,F1118/30,0,-E1118)</f>
        <v>32522.1491922747</v>
      </c>
      <c r="L1118" s="0" t="n">
        <f aca="false">ROUND(E1118-K1118,2)</f>
        <v>1647.23</v>
      </c>
      <c r="M1118" s="0" t="n">
        <f aca="false">F1118/E1118</f>
        <v>0.00614585339271594</v>
      </c>
    </row>
    <row r="1119" customFormat="false" ht="12.8" hidden="false" customHeight="false" outlineLevel="0" collapsed="false">
      <c r="A1119" s="0" t="s">
        <v>1662</v>
      </c>
      <c r="B1119" s="0" t="s">
        <v>492</v>
      </c>
      <c r="C1119" s="0" t="s">
        <v>15</v>
      </c>
      <c r="D1119" s="0" t="s">
        <v>49</v>
      </c>
      <c r="E1119" s="0" t="n">
        <v>13478.63</v>
      </c>
      <c r="F1119" s="0" t="n">
        <v>155</v>
      </c>
      <c r="G1119" s="0" t="str">
        <f aca="false">IF(F1119&lt;=30,"Current",IF(F1119&lt;=60,"31 to 60 days",IF(F1119&lt;=90,"61 to 90 days",IF(F1119&lt;=120,"91 to 120 days","Over 120 days"))))</f>
        <v>Over 120 days</v>
      </c>
      <c r="H1119" s="0" t="n">
        <f aca="false">VLOOKUP(D1119,Rates!$A$4:$B$7,2,FALSE())</f>
        <v>0.02</v>
      </c>
      <c r="I1119" s="0" t="n">
        <f aca="false">VLOOKUP(F1119,Rates!$D$4:$E$8,2)</f>
        <v>0.85</v>
      </c>
      <c r="J1119" s="0" t="n">
        <f aca="false">ROUND(E1119*I1119,2)</f>
        <v>11456.84</v>
      </c>
      <c r="K1119" s="1" t="n">
        <f aca="false">PV(H1119/12,F1119/30,0,-E1119)</f>
        <v>13363.1581029231</v>
      </c>
      <c r="L1119" s="0" t="n">
        <f aca="false">ROUND(E1119-K1119,2)</f>
        <v>115.47</v>
      </c>
      <c r="M1119" s="0" t="n">
        <f aca="false">F1119/E1119</f>
        <v>0.0114996850570125</v>
      </c>
    </row>
    <row r="1120" customFormat="false" ht="12.8" hidden="false" customHeight="false" outlineLevel="0" collapsed="false">
      <c r="A1120" s="0" t="s">
        <v>1663</v>
      </c>
      <c r="B1120" s="0" t="s">
        <v>1635</v>
      </c>
      <c r="C1120" s="0" t="s">
        <v>26</v>
      </c>
      <c r="D1120" s="0" t="s">
        <v>49</v>
      </c>
      <c r="E1120" s="0" t="n">
        <v>3315.04</v>
      </c>
      <c r="F1120" s="0" t="n">
        <v>281</v>
      </c>
      <c r="G1120" s="0" t="str">
        <f aca="false">IF(F1120&lt;=30,"Current",IF(F1120&lt;=60,"31 to 60 days",IF(F1120&lt;=90,"61 to 90 days",IF(F1120&lt;=120,"91 to 120 days","Over 120 days"))))</f>
        <v>Over 120 days</v>
      </c>
      <c r="H1120" s="0" t="n">
        <f aca="false">VLOOKUP(D1120,Rates!$A$4:$B$7,2,FALSE())</f>
        <v>0.02</v>
      </c>
      <c r="I1120" s="0" t="n">
        <f aca="false">VLOOKUP(F1120,Rates!$D$4:$E$8,2)</f>
        <v>0.85</v>
      </c>
      <c r="J1120" s="0" t="n">
        <f aca="false">ROUND(E1120*I1120,2)</f>
        <v>2817.78</v>
      </c>
      <c r="K1120" s="1" t="n">
        <f aca="false">PV(H1120/12,F1120/30,0,-E1120)</f>
        <v>3263.73280860212</v>
      </c>
      <c r="L1120" s="0" t="n">
        <f aca="false">ROUND(E1120-K1120,2)</f>
        <v>51.31</v>
      </c>
      <c r="M1120" s="0" t="n">
        <f aca="false">F1120/E1120</f>
        <v>0.0847651913702399</v>
      </c>
    </row>
    <row r="1121" customFormat="false" ht="12.8" hidden="false" customHeight="false" outlineLevel="0" collapsed="false">
      <c r="A1121" s="0" t="s">
        <v>1664</v>
      </c>
      <c r="B1121" s="0" t="s">
        <v>1665</v>
      </c>
      <c r="C1121" s="0" t="s">
        <v>42</v>
      </c>
      <c r="D1121" s="0" t="s">
        <v>49</v>
      </c>
      <c r="E1121" s="0" t="n">
        <v>15447.58</v>
      </c>
      <c r="F1121" s="0" t="n">
        <v>148</v>
      </c>
      <c r="G1121" s="0" t="str">
        <f aca="false">IF(F1121&lt;=30,"Current",IF(F1121&lt;=60,"31 to 60 days",IF(F1121&lt;=90,"61 to 90 days",IF(F1121&lt;=120,"91 to 120 days","Over 120 days"))))</f>
        <v>Over 120 days</v>
      </c>
      <c r="H1121" s="0" t="n">
        <f aca="false">VLOOKUP(D1121,Rates!$A$4:$B$7,2,FALSE())</f>
        <v>0.02</v>
      </c>
      <c r="I1121" s="0" t="n">
        <f aca="false">VLOOKUP(F1121,Rates!$D$4:$E$8,2)</f>
        <v>0.85</v>
      </c>
      <c r="J1121" s="0" t="n">
        <f aca="false">ROUND(E1121*I1121,2)</f>
        <v>13130.44</v>
      </c>
      <c r="K1121" s="1" t="n">
        <f aca="false">PV(H1121/12,F1121/30,0,-E1121)</f>
        <v>15321.1921642878</v>
      </c>
      <c r="L1121" s="0" t="n">
        <f aca="false">ROUND(E1121-K1121,2)</f>
        <v>126.39</v>
      </c>
      <c r="M1121" s="0" t="n">
        <f aca="false">F1121/E1121</f>
        <v>0.0095807887060627</v>
      </c>
    </row>
    <row r="1122" customFormat="false" ht="12.8" hidden="false" customHeight="false" outlineLevel="0" collapsed="false">
      <c r="A1122" s="0" t="s">
        <v>1666</v>
      </c>
      <c r="B1122" s="0" t="s">
        <v>1667</v>
      </c>
      <c r="C1122" s="0" t="s">
        <v>19</v>
      </c>
      <c r="D1122" s="0" t="s">
        <v>16</v>
      </c>
      <c r="E1122" s="0" t="n">
        <v>18593.21</v>
      </c>
      <c r="F1122" s="0" t="n">
        <v>20</v>
      </c>
      <c r="G1122" s="0" t="str">
        <f aca="false">IF(F1122&lt;=30,"Current",IF(F1122&lt;=60,"31 to 60 days",IF(F1122&lt;=90,"61 to 90 days",IF(F1122&lt;=120,"91 to 120 days","Over 120 days"))))</f>
        <v>Current</v>
      </c>
      <c r="H1122" s="0" t="n">
        <f aca="false">VLOOKUP(D1122,Rates!$A$4:$B$7,2,FALSE())</f>
        <v>0.085</v>
      </c>
      <c r="I1122" s="0" t="n">
        <f aca="false">VLOOKUP(F1122,Rates!$D$4:$E$8,2)</f>
        <v>0.02</v>
      </c>
      <c r="J1122" s="0" t="n">
        <f aca="false">ROUND(E1122*I1122,2)</f>
        <v>371.86</v>
      </c>
      <c r="K1122" s="1" t="n">
        <f aca="false">PV(H1122/12,F1122/30,0,-E1122)</f>
        <v>18505.9237597964</v>
      </c>
      <c r="L1122" s="0" t="n">
        <f aca="false">ROUND(E1122-K1122,2)</f>
        <v>87.29</v>
      </c>
      <c r="M1122" s="0" t="n">
        <f aca="false">F1122/E1122</f>
        <v>0.00107566149147995</v>
      </c>
    </row>
    <row r="1123" customFormat="false" ht="12.8" hidden="false" customHeight="false" outlineLevel="0" collapsed="false">
      <c r="A1123" s="0" t="s">
        <v>1668</v>
      </c>
      <c r="B1123" s="0" t="s">
        <v>18</v>
      </c>
      <c r="C1123" s="0" t="s">
        <v>19</v>
      </c>
      <c r="D1123" s="0" t="s">
        <v>20</v>
      </c>
      <c r="E1123" s="0" t="n">
        <v>30070.79</v>
      </c>
      <c r="F1123" s="0" t="n">
        <v>331</v>
      </c>
      <c r="G1123" s="0" t="str">
        <f aca="false">IF(F1123&lt;=30,"Current",IF(F1123&lt;=60,"31 to 60 days",IF(F1123&lt;=90,"61 to 90 days",IF(F1123&lt;=120,"91 to 120 days","Over 120 days"))))</f>
        <v>Over 120 days</v>
      </c>
      <c r="H1123" s="0" t="n">
        <f aca="false">VLOOKUP(D1123,Rates!$A$4:$B$7,2,FALSE())</f>
        <v>0.05</v>
      </c>
      <c r="I1123" s="0" t="n">
        <f aca="false">VLOOKUP(F1123,Rates!$D$4:$E$8,2)</f>
        <v>0.85</v>
      </c>
      <c r="J1123" s="0" t="n">
        <f aca="false">ROUND(E1123*I1123,2)</f>
        <v>25560.17</v>
      </c>
      <c r="K1123" s="1" t="n">
        <f aca="false">PV(H1123/12,F1123/30,0,-E1123)</f>
        <v>28722.4071968416</v>
      </c>
      <c r="L1123" s="0" t="n">
        <f aca="false">ROUND(E1123-K1123,2)</f>
        <v>1348.38</v>
      </c>
      <c r="M1123" s="0" t="n">
        <f aca="false">F1123/E1123</f>
        <v>0.0110073596337176</v>
      </c>
    </row>
    <row r="1124" customFormat="false" ht="12.8" hidden="false" customHeight="false" outlineLevel="0" collapsed="false">
      <c r="A1124" s="0" t="s">
        <v>1669</v>
      </c>
      <c r="B1124" s="0" t="s">
        <v>1670</v>
      </c>
      <c r="C1124" s="0" t="s">
        <v>26</v>
      </c>
      <c r="D1124" s="0" t="s">
        <v>49</v>
      </c>
      <c r="E1124" s="0" t="n">
        <v>28550.57</v>
      </c>
      <c r="F1124" s="0" t="n">
        <v>82</v>
      </c>
      <c r="G1124" s="0" t="str">
        <f aca="false">IF(F1124&lt;=30,"Current",IF(F1124&lt;=60,"31 to 60 days",IF(F1124&lt;=90,"61 to 90 days",IF(F1124&lt;=120,"91 to 120 days","Over 120 days"))))</f>
        <v>61 to 90 days</v>
      </c>
      <c r="H1124" s="0" t="n">
        <f aca="false">VLOOKUP(D1124,Rates!$A$4:$B$7,2,FALSE())</f>
        <v>0.02</v>
      </c>
      <c r="I1124" s="0" t="n">
        <f aca="false">VLOOKUP(F1124,Rates!$D$4:$E$8,2)</f>
        <v>0.25</v>
      </c>
      <c r="J1124" s="0" t="n">
        <f aca="false">ROUND(E1124*I1124,2)</f>
        <v>7137.64</v>
      </c>
      <c r="K1124" s="1" t="n">
        <f aca="false">PV(H1124/12,F1124/30,0,-E1124)</f>
        <v>28420.9098733446</v>
      </c>
      <c r="L1124" s="0" t="n">
        <f aca="false">ROUND(E1124-K1124,2)</f>
        <v>129.66</v>
      </c>
      <c r="M1124" s="0" t="n">
        <f aca="false">F1124/E1124</f>
        <v>0.00287209677425004</v>
      </c>
    </row>
    <row r="1125" customFormat="false" ht="12.8" hidden="false" customHeight="false" outlineLevel="0" collapsed="false">
      <c r="A1125" s="0" t="s">
        <v>1671</v>
      </c>
      <c r="B1125" s="0" t="s">
        <v>682</v>
      </c>
      <c r="C1125" s="0" t="s">
        <v>19</v>
      </c>
      <c r="D1125" s="0" t="s">
        <v>23</v>
      </c>
      <c r="E1125" s="0" t="n">
        <v>32516.86</v>
      </c>
      <c r="F1125" s="0" t="n">
        <v>385</v>
      </c>
      <c r="G1125" s="0" t="str">
        <f aca="false">IF(F1125&lt;=30,"Current",IF(F1125&lt;=60,"31 to 60 days",IF(F1125&lt;=90,"61 to 90 days",IF(F1125&lt;=120,"91 to 120 days","Over 120 days"))))</f>
        <v>Over 120 days</v>
      </c>
      <c r="H1125" s="0" t="n">
        <f aca="false">VLOOKUP(D1125,Rates!$A$4:$B$7,2,FALSE())</f>
        <v>0.115</v>
      </c>
      <c r="I1125" s="0" t="n">
        <f aca="false">VLOOKUP(F1125,Rates!$D$4:$E$8,2)</f>
        <v>0.85</v>
      </c>
      <c r="J1125" s="0" t="n">
        <f aca="false">ROUND(E1125*I1125,2)</f>
        <v>27639.33</v>
      </c>
      <c r="K1125" s="1" t="n">
        <f aca="false">PV(H1125/12,F1125/30,0,-E1125)</f>
        <v>28770.7194217129</v>
      </c>
      <c r="L1125" s="0" t="n">
        <f aca="false">ROUND(E1125-K1125,2)</f>
        <v>3746.14</v>
      </c>
      <c r="M1125" s="0" t="n">
        <f aca="false">F1125/E1125</f>
        <v>0.0118400116124374</v>
      </c>
    </row>
    <row r="1126" customFormat="false" ht="12.8" hidden="false" customHeight="false" outlineLevel="0" collapsed="false">
      <c r="A1126" s="0" t="s">
        <v>1672</v>
      </c>
      <c r="B1126" s="0" t="s">
        <v>1673</v>
      </c>
      <c r="C1126" s="0" t="s">
        <v>42</v>
      </c>
      <c r="D1126" s="0" t="s">
        <v>49</v>
      </c>
      <c r="E1126" s="0" t="n">
        <v>36272.7</v>
      </c>
      <c r="F1126" s="0" t="n">
        <v>363</v>
      </c>
      <c r="G1126" s="0" t="str">
        <f aca="false">IF(F1126&lt;=30,"Current",IF(F1126&lt;=60,"31 to 60 days",IF(F1126&lt;=90,"61 to 90 days",IF(F1126&lt;=120,"91 to 120 days","Over 120 days"))))</f>
        <v>Over 120 days</v>
      </c>
      <c r="H1126" s="0" t="n">
        <f aca="false">VLOOKUP(D1126,Rates!$A$4:$B$7,2,FALSE())</f>
        <v>0.02</v>
      </c>
      <c r="I1126" s="0" t="n">
        <f aca="false">VLOOKUP(F1126,Rates!$D$4:$E$8,2)</f>
        <v>0.85</v>
      </c>
      <c r="J1126" s="0" t="n">
        <f aca="false">ROUND(E1126*I1126,2)</f>
        <v>30831.8</v>
      </c>
      <c r="K1126" s="1" t="n">
        <f aca="false">PV(H1126/12,F1126/30,0,-E1126)</f>
        <v>35549.1239237626</v>
      </c>
      <c r="L1126" s="0" t="n">
        <f aca="false">ROUND(E1126-K1126,2)</f>
        <v>723.58</v>
      </c>
      <c r="M1126" s="0" t="n">
        <f aca="false">F1126/E1126</f>
        <v>0.0100075263214484</v>
      </c>
    </row>
    <row r="1127" customFormat="false" ht="12.8" hidden="false" customHeight="false" outlineLevel="0" collapsed="false">
      <c r="A1127" s="0" t="s">
        <v>1674</v>
      </c>
      <c r="B1127" s="0" t="s">
        <v>1675</v>
      </c>
      <c r="C1127" s="0" t="s">
        <v>19</v>
      </c>
      <c r="D1127" s="0" t="s">
        <v>49</v>
      </c>
      <c r="E1127" s="0" t="n">
        <v>13372.44</v>
      </c>
      <c r="F1127" s="0" t="n">
        <v>264</v>
      </c>
      <c r="G1127" s="0" t="str">
        <f aca="false">IF(F1127&lt;=30,"Current",IF(F1127&lt;=60,"31 to 60 days",IF(F1127&lt;=90,"61 to 90 days",IF(F1127&lt;=120,"91 to 120 days","Over 120 days"))))</f>
        <v>Over 120 days</v>
      </c>
      <c r="H1127" s="0" t="n">
        <f aca="false">VLOOKUP(D1127,Rates!$A$4:$B$7,2,FALSE())</f>
        <v>0.02</v>
      </c>
      <c r="I1127" s="0" t="n">
        <f aca="false">VLOOKUP(F1127,Rates!$D$4:$E$8,2)</f>
        <v>0.85</v>
      </c>
      <c r="J1127" s="0" t="n">
        <f aca="false">ROUND(E1127*I1127,2)</f>
        <v>11366.57</v>
      </c>
      <c r="K1127" s="1" t="n">
        <f aca="false">PV(H1127/12,F1127/30,0,-E1127)</f>
        <v>13177.9030378697</v>
      </c>
      <c r="L1127" s="0" t="n">
        <f aca="false">ROUND(E1127-K1127,2)</f>
        <v>194.54</v>
      </c>
      <c r="M1127" s="0" t="n">
        <f aca="false">F1127/E1127</f>
        <v>0.0197420964311674</v>
      </c>
    </row>
    <row r="1128" customFormat="false" ht="12.8" hidden="false" customHeight="false" outlineLevel="0" collapsed="false">
      <c r="A1128" s="0" t="s">
        <v>1676</v>
      </c>
      <c r="B1128" s="0" t="s">
        <v>1677</v>
      </c>
      <c r="C1128" s="0" t="s">
        <v>31</v>
      </c>
      <c r="D1128" s="0" t="s">
        <v>16</v>
      </c>
      <c r="E1128" s="0" t="n">
        <v>10704.31</v>
      </c>
      <c r="F1128" s="0" t="n">
        <v>173</v>
      </c>
      <c r="G1128" s="0" t="str">
        <f aca="false">IF(F1128&lt;=30,"Current",IF(F1128&lt;=60,"31 to 60 days",IF(F1128&lt;=90,"61 to 90 days",IF(F1128&lt;=120,"91 to 120 days","Over 120 days"))))</f>
        <v>Over 120 days</v>
      </c>
      <c r="H1128" s="0" t="n">
        <f aca="false">VLOOKUP(D1128,Rates!$A$4:$B$7,2,FALSE())</f>
        <v>0.085</v>
      </c>
      <c r="I1128" s="0" t="n">
        <f aca="false">VLOOKUP(F1128,Rates!$D$4:$E$8,2)</f>
        <v>0.85</v>
      </c>
      <c r="J1128" s="0" t="n">
        <f aca="false">ROUND(E1128*I1128,2)</f>
        <v>9098.66</v>
      </c>
      <c r="K1128" s="1" t="n">
        <f aca="false">PV(H1128/12,F1128/30,0,-E1128)</f>
        <v>10277.3580665848</v>
      </c>
      <c r="L1128" s="0" t="n">
        <f aca="false">ROUND(E1128-K1128,2)</f>
        <v>426.95</v>
      </c>
      <c r="M1128" s="0" t="n">
        <f aca="false">F1128/E1128</f>
        <v>0.0161617143001277</v>
      </c>
    </row>
    <row r="1129" customFormat="false" ht="12.8" hidden="false" customHeight="false" outlineLevel="0" collapsed="false">
      <c r="A1129" s="0" t="s">
        <v>1678</v>
      </c>
      <c r="B1129" s="0" t="s">
        <v>28</v>
      </c>
      <c r="C1129" s="0" t="s">
        <v>15</v>
      </c>
      <c r="D1129" s="0" t="s">
        <v>20</v>
      </c>
      <c r="E1129" s="0" t="n">
        <v>26197.22</v>
      </c>
      <c r="F1129" s="0" t="n">
        <v>316</v>
      </c>
      <c r="G1129" s="0" t="str">
        <f aca="false">IF(F1129&lt;=30,"Current",IF(F1129&lt;=60,"31 to 60 days",IF(F1129&lt;=90,"61 to 90 days",IF(F1129&lt;=120,"91 to 120 days","Over 120 days"))))</f>
        <v>Over 120 days</v>
      </c>
      <c r="H1129" s="0" t="n">
        <f aca="false">VLOOKUP(D1129,Rates!$A$4:$B$7,2,FALSE())</f>
        <v>0.05</v>
      </c>
      <c r="I1129" s="0" t="n">
        <f aca="false">VLOOKUP(F1129,Rates!$D$4:$E$8,2)</f>
        <v>0.85</v>
      </c>
      <c r="J1129" s="0" t="n">
        <f aca="false">ROUND(E1129*I1129,2)</f>
        <v>22267.64</v>
      </c>
      <c r="K1129" s="1" t="n">
        <f aca="false">PV(H1129/12,F1129/30,0,-E1129)</f>
        <v>25074.6052604169</v>
      </c>
      <c r="L1129" s="0" t="n">
        <f aca="false">ROUND(E1129-K1129,2)</f>
        <v>1122.61</v>
      </c>
      <c r="M1129" s="0" t="n">
        <f aca="false">F1129/E1129</f>
        <v>0.0120623486003477</v>
      </c>
    </row>
    <row r="1130" customFormat="false" ht="12.8" hidden="false" customHeight="false" outlineLevel="0" collapsed="false">
      <c r="A1130" s="0" t="s">
        <v>1679</v>
      </c>
      <c r="B1130" s="0" t="s">
        <v>710</v>
      </c>
      <c r="C1130" s="0" t="s">
        <v>36</v>
      </c>
      <c r="D1130" s="0" t="s">
        <v>49</v>
      </c>
      <c r="E1130" s="0" t="n">
        <v>0</v>
      </c>
      <c r="F1130" s="0" t="n">
        <v>262</v>
      </c>
      <c r="G1130" s="0" t="str">
        <f aca="false">IF(F1130&lt;=30,"Current",IF(F1130&lt;=60,"31 to 60 days",IF(F1130&lt;=90,"61 to 90 days",IF(F1130&lt;=120,"91 to 120 days","Over 120 days"))))</f>
        <v>Over 120 days</v>
      </c>
      <c r="H1130" s="0" t="n">
        <f aca="false">VLOOKUP(D1130,Rates!$A$4:$B$7,2,FALSE())</f>
        <v>0.02</v>
      </c>
      <c r="I1130" s="0" t="n">
        <f aca="false">VLOOKUP(F1130,Rates!$D$4:$E$8,2)</f>
        <v>0.85</v>
      </c>
      <c r="J1130" s="0" t="n">
        <f aca="false">ROUND(E1130*I1130,2)</f>
        <v>0</v>
      </c>
      <c r="K1130" s="1" t="n">
        <f aca="false">PV(H1130/12,F1130/30,0,-E1130)</f>
        <v>-0</v>
      </c>
      <c r="L1130" s="0" t="n">
        <f aca="false">ROUND(E1130-K1130,2)</f>
        <v>0</v>
      </c>
      <c r="M1130" s="0" t="e">
        <f aca="false">F1130/E1130</f>
        <v>#DIV/0!</v>
      </c>
    </row>
    <row r="1131" customFormat="false" ht="12.8" hidden="false" customHeight="false" outlineLevel="0" collapsed="false">
      <c r="A1131" s="0" t="s">
        <v>1680</v>
      </c>
      <c r="B1131" s="0" t="s">
        <v>30</v>
      </c>
      <c r="C1131" s="0" t="s">
        <v>31</v>
      </c>
      <c r="D1131" s="0" t="s">
        <v>20</v>
      </c>
      <c r="E1131" s="0" t="n">
        <v>14272.59</v>
      </c>
      <c r="F1131" s="0" t="n">
        <v>226</v>
      </c>
      <c r="G1131" s="0" t="str">
        <f aca="false">IF(F1131&lt;=30,"Current",IF(F1131&lt;=60,"31 to 60 days",IF(F1131&lt;=90,"61 to 90 days",IF(F1131&lt;=120,"91 to 120 days","Over 120 days"))))</f>
        <v>Over 120 days</v>
      </c>
      <c r="H1131" s="0" t="n">
        <f aca="false">VLOOKUP(D1131,Rates!$A$4:$B$7,2,FALSE())</f>
        <v>0.05</v>
      </c>
      <c r="I1131" s="0" t="n">
        <f aca="false">VLOOKUP(F1131,Rates!$D$4:$E$8,2)</f>
        <v>0.85</v>
      </c>
      <c r="J1131" s="0" t="n">
        <f aca="false">ROUND(E1131*I1131,2)</f>
        <v>12131.7</v>
      </c>
      <c r="K1131" s="1" t="n">
        <f aca="false">PV(H1131/12,F1131/30,0,-E1131)</f>
        <v>13832.4494066987</v>
      </c>
      <c r="L1131" s="0" t="n">
        <f aca="false">ROUND(E1131-K1131,2)</f>
        <v>440.14</v>
      </c>
      <c r="M1131" s="0" t="n">
        <f aca="false">F1131/E1131</f>
        <v>0.0158345471985113</v>
      </c>
    </row>
    <row r="1132" customFormat="false" ht="12.8" hidden="false" customHeight="false" outlineLevel="0" collapsed="false">
      <c r="A1132" s="0" t="s">
        <v>1681</v>
      </c>
      <c r="B1132" s="0" t="s">
        <v>1682</v>
      </c>
      <c r="C1132" s="0" t="s">
        <v>42</v>
      </c>
      <c r="D1132" s="0" t="s">
        <v>49</v>
      </c>
      <c r="E1132" s="0" t="n">
        <v>41556.46</v>
      </c>
      <c r="F1132" s="0" t="n">
        <v>237</v>
      </c>
      <c r="G1132" s="0" t="str">
        <f aca="false">IF(F1132&lt;=30,"Current",IF(F1132&lt;=60,"31 to 60 days",IF(F1132&lt;=90,"61 to 90 days",IF(F1132&lt;=120,"91 to 120 days","Over 120 days"))))</f>
        <v>Over 120 days</v>
      </c>
      <c r="H1132" s="0" t="n">
        <f aca="false">VLOOKUP(D1132,Rates!$A$4:$B$7,2,FALSE())</f>
        <v>0.02</v>
      </c>
      <c r="I1132" s="0" t="n">
        <f aca="false">VLOOKUP(F1132,Rates!$D$4:$E$8,2)</f>
        <v>0.85</v>
      </c>
      <c r="J1132" s="0" t="n">
        <f aca="false">ROUND(E1132*I1132,2)</f>
        <v>35322.99</v>
      </c>
      <c r="K1132" s="1" t="n">
        <f aca="false">PV(H1132/12,F1132/30,0,-E1132)</f>
        <v>41013.3358284837</v>
      </c>
      <c r="L1132" s="0" t="n">
        <f aca="false">ROUND(E1132-K1132,2)</f>
        <v>543.12</v>
      </c>
      <c r="M1132" s="0" t="n">
        <f aca="false">F1132/E1132</f>
        <v>0.00570308443019449</v>
      </c>
    </row>
    <row r="1133" customFormat="false" ht="12.8" hidden="false" customHeight="false" outlineLevel="0" collapsed="false">
      <c r="A1133" s="0" t="s">
        <v>1683</v>
      </c>
      <c r="B1133" s="0" t="s">
        <v>30</v>
      </c>
      <c r="C1133" s="0" t="s">
        <v>31</v>
      </c>
      <c r="D1133" s="0" t="s">
        <v>20</v>
      </c>
      <c r="E1133" s="0" t="n">
        <v>29115.86</v>
      </c>
      <c r="F1133" s="0" t="n">
        <v>229</v>
      </c>
      <c r="G1133" s="0" t="str">
        <f aca="false">IF(F1133&lt;=30,"Current",IF(F1133&lt;=60,"31 to 60 days",IF(F1133&lt;=90,"61 to 90 days",IF(F1133&lt;=120,"91 to 120 days","Over 120 days"))))</f>
        <v>Over 120 days</v>
      </c>
      <c r="H1133" s="0" t="n">
        <f aca="false">VLOOKUP(D1133,Rates!$A$4:$B$7,2,FALSE())</f>
        <v>0.05</v>
      </c>
      <c r="I1133" s="0" t="n">
        <f aca="false">VLOOKUP(F1133,Rates!$D$4:$E$8,2)</f>
        <v>0.85</v>
      </c>
      <c r="J1133" s="0" t="n">
        <f aca="false">ROUND(E1133*I1133,2)</f>
        <v>24748.48</v>
      </c>
      <c r="K1133" s="1" t="n">
        <f aca="false">PV(H1133/12,F1133/30,0,-E1133)</f>
        <v>28206.249459296</v>
      </c>
      <c r="L1133" s="0" t="n">
        <f aca="false">ROUND(E1133-K1133,2)</f>
        <v>909.61</v>
      </c>
      <c r="M1133" s="0" t="n">
        <f aca="false">F1133/E1133</f>
        <v>0.00786512917701899</v>
      </c>
    </row>
    <row r="1134" customFormat="false" ht="12.8" hidden="false" customHeight="false" outlineLevel="0" collapsed="false">
      <c r="A1134" s="0" t="s">
        <v>1684</v>
      </c>
      <c r="B1134" s="0" t="s">
        <v>1685</v>
      </c>
      <c r="C1134" s="0" t="s">
        <v>15</v>
      </c>
      <c r="D1134" s="0" t="s">
        <v>16</v>
      </c>
      <c r="E1134" s="0" t="n">
        <v>15706.94</v>
      </c>
      <c r="F1134" s="0" t="n">
        <v>68</v>
      </c>
      <c r="G1134" s="0" t="str">
        <f aca="false">IF(F1134&lt;=30,"Current",IF(F1134&lt;=60,"31 to 60 days",IF(F1134&lt;=90,"61 to 90 days",IF(F1134&lt;=120,"91 to 120 days","Over 120 days"))))</f>
        <v>61 to 90 days</v>
      </c>
      <c r="H1134" s="0" t="n">
        <f aca="false">VLOOKUP(D1134,Rates!$A$4:$B$7,2,FALSE())</f>
        <v>0.085</v>
      </c>
      <c r="I1134" s="0" t="n">
        <f aca="false">VLOOKUP(F1134,Rates!$D$4:$E$8,2)</f>
        <v>0.25</v>
      </c>
      <c r="J1134" s="0" t="n">
        <f aca="false">ROUND(E1134*I1134,2)</f>
        <v>3926.74</v>
      </c>
      <c r="K1134" s="1" t="n">
        <f aca="false">PV(H1134/12,F1134/30,0,-E1134)</f>
        <v>15457.6448562693</v>
      </c>
      <c r="L1134" s="0" t="n">
        <f aca="false">ROUND(E1134-K1134,2)</f>
        <v>249.3</v>
      </c>
      <c r="M1134" s="0" t="n">
        <f aca="false">F1134/E1134</f>
        <v>0.00432929647658933</v>
      </c>
    </row>
    <row r="1135" customFormat="false" ht="12.8" hidden="false" customHeight="false" outlineLevel="0" collapsed="false">
      <c r="A1135" s="0" t="s">
        <v>1686</v>
      </c>
      <c r="B1135" s="0" t="s">
        <v>1687</v>
      </c>
      <c r="C1135" s="0" t="s">
        <v>19</v>
      </c>
      <c r="D1135" s="0" t="s">
        <v>49</v>
      </c>
      <c r="E1135" s="0" t="n">
        <v>37668</v>
      </c>
      <c r="F1135" s="0" t="n">
        <v>144</v>
      </c>
      <c r="G1135" s="0" t="str">
        <f aca="false">IF(F1135&lt;=30,"Current",IF(F1135&lt;=60,"31 to 60 days",IF(F1135&lt;=90,"61 to 90 days",IF(F1135&lt;=120,"91 to 120 days","Over 120 days"))))</f>
        <v>Over 120 days</v>
      </c>
      <c r="H1135" s="0" t="n">
        <f aca="false">VLOOKUP(D1135,Rates!$A$4:$B$7,2,FALSE())</f>
        <v>0.02</v>
      </c>
      <c r="I1135" s="0" t="n">
        <f aca="false">VLOOKUP(F1135,Rates!$D$4:$E$8,2)</f>
        <v>0.85</v>
      </c>
      <c r="J1135" s="0" t="n">
        <f aca="false">ROUND(E1135*I1135,2)</f>
        <v>32017.8</v>
      </c>
      <c r="K1135" s="1" t="n">
        <f aca="false">PV(H1135/12,F1135/30,0,-E1135)</f>
        <v>37368.107011512</v>
      </c>
      <c r="L1135" s="0" t="n">
        <f aca="false">ROUND(E1135-K1135,2)</f>
        <v>299.89</v>
      </c>
      <c r="M1135" s="0" t="n">
        <f aca="false">F1135/E1135</f>
        <v>0.00382287352660083</v>
      </c>
    </row>
    <row r="1136" customFormat="false" ht="12.8" hidden="false" customHeight="false" outlineLevel="0" collapsed="false">
      <c r="A1136" s="0" t="s">
        <v>1688</v>
      </c>
      <c r="B1136" s="0" t="s">
        <v>305</v>
      </c>
      <c r="C1136" s="0" t="s">
        <v>15</v>
      </c>
      <c r="D1136" s="0" t="s">
        <v>23</v>
      </c>
      <c r="E1136" s="0" t="n">
        <v>4794.05</v>
      </c>
      <c r="F1136" s="0" t="n">
        <v>166</v>
      </c>
      <c r="G1136" s="0" t="str">
        <f aca="false">IF(F1136&lt;=30,"Current",IF(F1136&lt;=60,"31 to 60 days",IF(F1136&lt;=90,"61 to 90 days",IF(F1136&lt;=120,"91 to 120 days","Over 120 days"))))</f>
        <v>Over 120 days</v>
      </c>
      <c r="H1136" s="0" t="n">
        <f aca="false">VLOOKUP(D1136,Rates!$A$4:$B$7,2,FALSE())</f>
        <v>0.115</v>
      </c>
      <c r="I1136" s="0" t="n">
        <f aca="false">VLOOKUP(F1136,Rates!$D$4:$E$8,2)</f>
        <v>0.85</v>
      </c>
      <c r="J1136" s="0" t="n">
        <f aca="false">ROUND(E1136*I1136,2)</f>
        <v>4074.94</v>
      </c>
      <c r="K1136" s="1" t="n">
        <f aca="false">PV(H1136/12,F1136/30,0,-E1136)</f>
        <v>4547.60293894846</v>
      </c>
      <c r="L1136" s="0" t="n">
        <f aca="false">ROUND(E1136-K1136,2)</f>
        <v>246.45</v>
      </c>
      <c r="M1136" s="0" t="n">
        <f aca="false">F1136/E1136</f>
        <v>0.0346262554625004</v>
      </c>
    </row>
    <row r="1137" customFormat="false" ht="12.8" hidden="false" customHeight="false" outlineLevel="0" collapsed="false">
      <c r="A1137" s="0" t="s">
        <v>1689</v>
      </c>
      <c r="B1137" s="0" t="s">
        <v>1690</v>
      </c>
      <c r="C1137" s="0" t="s">
        <v>15</v>
      </c>
      <c r="D1137" s="0" t="s">
        <v>49</v>
      </c>
      <c r="E1137" s="0" t="n">
        <v>31207.23</v>
      </c>
      <c r="F1137" s="0" t="n">
        <v>395</v>
      </c>
      <c r="G1137" s="0" t="str">
        <f aca="false">IF(F1137&lt;=30,"Current",IF(F1137&lt;=60,"31 to 60 days",IF(F1137&lt;=90,"61 to 90 days",IF(F1137&lt;=120,"91 to 120 days","Over 120 days"))))</f>
        <v>Over 120 days</v>
      </c>
      <c r="H1137" s="0" t="n">
        <f aca="false">VLOOKUP(D1137,Rates!$A$4:$B$7,2,FALSE())</f>
        <v>0.02</v>
      </c>
      <c r="I1137" s="0" t="n">
        <f aca="false">VLOOKUP(F1137,Rates!$D$4:$E$8,2)</f>
        <v>0.85</v>
      </c>
      <c r="J1137" s="0" t="n">
        <f aca="false">ROUND(E1137*I1137,2)</f>
        <v>26526.15</v>
      </c>
      <c r="K1137" s="1" t="n">
        <f aca="false">PV(H1137/12,F1137/30,0,-E1137)</f>
        <v>30530.421753232</v>
      </c>
      <c r="L1137" s="0" t="n">
        <f aca="false">ROUND(E1137-K1137,2)</f>
        <v>676.81</v>
      </c>
      <c r="M1137" s="0" t="n">
        <f aca="false">F1137/E1137</f>
        <v>0.0126573233189873</v>
      </c>
    </row>
    <row r="1138" customFormat="false" ht="12.8" hidden="false" customHeight="false" outlineLevel="0" collapsed="false">
      <c r="A1138" s="0" t="s">
        <v>1691</v>
      </c>
      <c r="B1138" s="0" t="s">
        <v>305</v>
      </c>
      <c r="C1138" s="0" t="s">
        <v>15</v>
      </c>
      <c r="D1138" s="0" t="s">
        <v>23</v>
      </c>
      <c r="E1138" s="0" t="n">
        <v>6161.76</v>
      </c>
      <c r="F1138" s="0" t="n">
        <v>108</v>
      </c>
      <c r="G1138" s="0" t="str">
        <f aca="false">IF(F1138&lt;=30,"Current",IF(F1138&lt;=60,"31 to 60 days",IF(F1138&lt;=90,"61 to 90 days",IF(F1138&lt;=120,"91 to 120 days","Over 120 days"))))</f>
        <v>91 to 120 days</v>
      </c>
      <c r="H1138" s="0" t="n">
        <f aca="false">VLOOKUP(D1138,Rates!$A$4:$B$7,2,FALSE())</f>
        <v>0.115</v>
      </c>
      <c r="I1138" s="0" t="n">
        <f aca="false">VLOOKUP(F1138,Rates!$D$4:$E$8,2)</f>
        <v>0.5</v>
      </c>
      <c r="J1138" s="0" t="n">
        <f aca="false">ROUND(E1138*I1138,2)</f>
        <v>3080.88</v>
      </c>
      <c r="K1138" s="1" t="n">
        <f aca="false">PV(H1138/12,F1138/30,0,-E1138)</f>
        <v>5953.78239896614</v>
      </c>
      <c r="L1138" s="0" t="n">
        <f aca="false">ROUND(E1138-K1138,2)</f>
        <v>207.98</v>
      </c>
      <c r="M1138" s="0" t="n">
        <f aca="false">F1138/E1138</f>
        <v>0.0175274596868427</v>
      </c>
    </row>
    <row r="1139" customFormat="false" ht="12.8" hidden="false" customHeight="false" outlineLevel="0" collapsed="false">
      <c r="A1139" s="0" t="s">
        <v>1692</v>
      </c>
      <c r="B1139" s="0" t="s">
        <v>342</v>
      </c>
      <c r="C1139" s="0" t="s">
        <v>26</v>
      </c>
      <c r="D1139" s="0" t="s">
        <v>23</v>
      </c>
      <c r="E1139" s="0" t="n">
        <v>36421.07</v>
      </c>
      <c r="F1139" s="0" t="n">
        <v>293</v>
      </c>
      <c r="G1139" s="0" t="str">
        <f aca="false">IF(F1139&lt;=30,"Current",IF(F1139&lt;=60,"31 to 60 days",IF(F1139&lt;=90,"61 to 90 days",IF(F1139&lt;=120,"91 to 120 days","Over 120 days"))))</f>
        <v>Over 120 days</v>
      </c>
      <c r="H1139" s="0" t="n">
        <f aca="false">VLOOKUP(D1139,Rates!$A$4:$B$7,2,FALSE())</f>
        <v>0.115</v>
      </c>
      <c r="I1139" s="0" t="n">
        <f aca="false">VLOOKUP(F1139,Rates!$D$4:$E$8,2)</f>
        <v>0.85</v>
      </c>
      <c r="J1139" s="0" t="n">
        <f aca="false">ROUND(E1139*I1139,2)</f>
        <v>30957.91</v>
      </c>
      <c r="K1139" s="1" t="n">
        <f aca="false">PV(H1139/12,F1139/30,0,-E1139)</f>
        <v>33181.6121936955</v>
      </c>
      <c r="L1139" s="0" t="n">
        <f aca="false">ROUND(E1139-K1139,2)</f>
        <v>3239.46</v>
      </c>
      <c r="M1139" s="0" t="n">
        <f aca="false">F1139/E1139</f>
        <v>0.00804479385147114</v>
      </c>
    </row>
    <row r="1140" customFormat="false" ht="12.8" hidden="false" customHeight="false" outlineLevel="0" collapsed="false">
      <c r="A1140" s="0" t="s">
        <v>1693</v>
      </c>
      <c r="B1140" s="0" t="s">
        <v>97</v>
      </c>
      <c r="C1140" s="0" t="s">
        <v>42</v>
      </c>
      <c r="D1140" s="0" t="s">
        <v>20</v>
      </c>
      <c r="E1140" s="0" t="n">
        <v>4277.41</v>
      </c>
      <c r="F1140" s="0" t="n">
        <v>51</v>
      </c>
      <c r="G1140" s="0" t="str">
        <f aca="false">IF(F1140&lt;=30,"Current",IF(F1140&lt;=60,"31 to 60 days",IF(F1140&lt;=90,"61 to 90 days",IF(F1140&lt;=120,"91 to 120 days","Over 120 days"))))</f>
        <v>31 to 60 days</v>
      </c>
      <c r="H1140" s="0" t="n">
        <f aca="false">VLOOKUP(D1140,Rates!$A$4:$B$7,2,FALSE())</f>
        <v>0.05</v>
      </c>
      <c r="I1140" s="0" t="n">
        <f aca="false">VLOOKUP(F1140,Rates!$D$4:$E$8,2)</f>
        <v>0.1</v>
      </c>
      <c r="J1140" s="0" t="n">
        <f aca="false">ROUND(E1140*I1140,2)</f>
        <v>427.74</v>
      </c>
      <c r="K1140" s="1" t="n">
        <f aca="false">PV(H1140/12,F1140/30,0,-E1140)</f>
        <v>4247.28123567807</v>
      </c>
      <c r="L1140" s="0" t="n">
        <f aca="false">ROUND(E1140-K1140,2)</f>
        <v>30.13</v>
      </c>
      <c r="M1140" s="0" t="n">
        <f aca="false">F1140/E1140</f>
        <v>0.0119231029992449</v>
      </c>
    </row>
    <row r="1141" customFormat="false" ht="12.8" hidden="false" customHeight="false" outlineLevel="0" collapsed="false">
      <c r="A1141" s="0" t="s">
        <v>1694</v>
      </c>
      <c r="B1141" s="0" t="s">
        <v>33</v>
      </c>
      <c r="C1141" s="0" t="s">
        <v>26</v>
      </c>
      <c r="D1141" s="0" t="s">
        <v>20</v>
      </c>
      <c r="E1141" s="0" t="n">
        <v>21278.85</v>
      </c>
      <c r="F1141" s="0" t="n">
        <v>333</v>
      </c>
      <c r="G1141" s="0" t="str">
        <f aca="false">IF(F1141&lt;=30,"Current",IF(F1141&lt;=60,"31 to 60 days",IF(F1141&lt;=90,"61 to 90 days",IF(F1141&lt;=120,"91 to 120 days","Over 120 days"))))</f>
        <v>Over 120 days</v>
      </c>
      <c r="H1141" s="0" t="n">
        <f aca="false">VLOOKUP(D1141,Rates!$A$4:$B$7,2,FALSE())</f>
        <v>0.05</v>
      </c>
      <c r="I1141" s="0" t="n">
        <f aca="false">VLOOKUP(F1141,Rates!$D$4:$E$8,2)</f>
        <v>0.85</v>
      </c>
      <c r="J1141" s="0" t="n">
        <f aca="false">ROUND(E1141*I1141,2)</f>
        <v>18087.02</v>
      </c>
      <c r="K1141" s="1" t="n">
        <f aca="false">PV(H1141/12,F1141/30,0,-E1141)</f>
        <v>20319.0670550199</v>
      </c>
      <c r="L1141" s="0" t="n">
        <f aca="false">ROUND(E1141-K1141,2)</f>
        <v>959.78</v>
      </c>
      <c r="M1141" s="0" t="n">
        <f aca="false">F1141/E1141</f>
        <v>0.0156493419522202</v>
      </c>
    </row>
    <row r="1142" customFormat="false" ht="12.8" hidden="false" customHeight="false" outlineLevel="0" collapsed="false">
      <c r="A1142" s="0" t="s">
        <v>1695</v>
      </c>
      <c r="B1142" s="0" t="s">
        <v>44</v>
      </c>
      <c r="C1142" s="0" t="s">
        <v>36</v>
      </c>
      <c r="D1142" s="0" t="s">
        <v>23</v>
      </c>
      <c r="E1142" s="0" t="n">
        <v>20823.26</v>
      </c>
      <c r="F1142" s="0" t="n">
        <v>340</v>
      </c>
      <c r="G1142" s="0" t="str">
        <f aca="false">IF(F1142&lt;=30,"Current",IF(F1142&lt;=60,"31 to 60 days",IF(F1142&lt;=90,"61 to 90 days",IF(F1142&lt;=120,"91 to 120 days","Over 120 days"))))</f>
        <v>Over 120 days</v>
      </c>
      <c r="H1142" s="0" t="n">
        <f aca="false">VLOOKUP(D1142,Rates!$A$4:$B$7,2,FALSE())</f>
        <v>0.115</v>
      </c>
      <c r="I1142" s="0" t="n">
        <f aca="false">VLOOKUP(F1142,Rates!$D$4:$E$8,2)</f>
        <v>0.85</v>
      </c>
      <c r="J1142" s="0" t="n">
        <f aca="false">ROUND(E1142*I1142,2)</f>
        <v>17699.77</v>
      </c>
      <c r="K1142" s="1" t="n">
        <f aca="false">PV(H1142/12,F1142/30,0,-E1142)</f>
        <v>18689.7761990765</v>
      </c>
      <c r="L1142" s="0" t="n">
        <f aca="false">ROUND(E1142-K1142,2)</f>
        <v>2133.48</v>
      </c>
      <c r="M1142" s="0" t="n">
        <f aca="false">F1142/E1142</f>
        <v>0.0163278948637245</v>
      </c>
    </row>
    <row r="1143" customFormat="false" ht="12.8" hidden="false" customHeight="false" outlineLevel="0" collapsed="false">
      <c r="A1143" s="0" t="s">
        <v>1696</v>
      </c>
      <c r="B1143" s="0" t="s">
        <v>534</v>
      </c>
      <c r="C1143" s="0" t="s">
        <v>26</v>
      </c>
      <c r="D1143" s="0" t="s">
        <v>23</v>
      </c>
      <c r="E1143" s="0" t="n">
        <v>18888.96</v>
      </c>
      <c r="F1143" s="0" t="n">
        <v>398</v>
      </c>
      <c r="G1143" s="0" t="str">
        <f aca="false">IF(F1143&lt;=30,"Current",IF(F1143&lt;=60,"31 to 60 days",IF(F1143&lt;=90,"61 to 90 days",IF(F1143&lt;=120,"91 to 120 days","Over 120 days"))))</f>
        <v>Over 120 days</v>
      </c>
      <c r="H1143" s="0" t="n">
        <f aca="false">VLOOKUP(D1143,Rates!$A$4:$B$7,2,FALSE())</f>
        <v>0.115</v>
      </c>
      <c r="I1143" s="0" t="n">
        <f aca="false">VLOOKUP(F1143,Rates!$D$4:$E$8,2)</f>
        <v>0.85</v>
      </c>
      <c r="J1143" s="0" t="n">
        <f aca="false">ROUND(E1143*I1143,2)</f>
        <v>16055.62</v>
      </c>
      <c r="K1143" s="1" t="n">
        <f aca="false">PV(H1143/12,F1143/30,0,-E1143)</f>
        <v>16643.9049161675</v>
      </c>
      <c r="L1143" s="0" t="n">
        <f aca="false">ROUND(E1143-K1143,2)</f>
        <v>2245.06</v>
      </c>
      <c r="M1143" s="0" t="n">
        <f aca="false">F1143/E1143</f>
        <v>0.0210705089110253</v>
      </c>
    </row>
    <row r="1144" customFormat="false" ht="12.8" hidden="false" customHeight="false" outlineLevel="0" collapsed="false">
      <c r="A1144" s="0" t="s">
        <v>1697</v>
      </c>
      <c r="B1144" s="0" t="s">
        <v>111</v>
      </c>
      <c r="C1144" s="0" t="s">
        <v>19</v>
      </c>
      <c r="D1144" s="0" t="s">
        <v>23</v>
      </c>
      <c r="E1144" s="0" t="n">
        <v>14200.8</v>
      </c>
      <c r="F1144" s="0" t="n">
        <v>68</v>
      </c>
      <c r="G1144" s="0" t="str">
        <f aca="false">IF(F1144&lt;=30,"Current",IF(F1144&lt;=60,"31 to 60 days",IF(F1144&lt;=90,"61 to 90 days",IF(F1144&lt;=120,"91 to 120 days","Over 120 days"))))</f>
        <v>61 to 90 days</v>
      </c>
      <c r="H1144" s="0" t="n">
        <f aca="false">VLOOKUP(D1144,Rates!$A$4:$B$7,2,FALSE())</f>
        <v>0.115</v>
      </c>
      <c r="I1144" s="0" t="n">
        <f aca="false">VLOOKUP(F1144,Rates!$D$4:$E$8,2)</f>
        <v>0.25</v>
      </c>
      <c r="J1144" s="0" t="n">
        <f aca="false">ROUND(E1144*I1144,2)</f>
        <v>3550.2</v>
      </c>
      <c r="K1144" s="1" t="n">
        <f aca="false">PV(H1144/12,F1144/30,0,-E1144)</f>
        <v>13897.0905353806</v>
      </c>
      <c r="L1144" s="0" t="n">
        <f aca="false">ROUND(E1144-K1144,2)</f>
        <v>303.71</v>
      </c>
      <c r="M1144" s="0" t="n">
        <f aca="false">F1144/E1144</f>
        <v>0.00478846262182412</v>
      </c>
    </row>
    <row r="1145" customFormat="false" ht="12.8" hidden="false" customHeight="false" outlineLevel="0" collapsed="false">
      <c r="A1145" s="0" t="s">
        <v>1698</v>
      </c>
      <c r="B1145" s="0" t="s">
        <v>1699</v>
      </c>
      <c r="C1145" s="0" t="s">
        <v>31</v>
      </c>
      <c r="D1145" s="0" t="s">
        <v>16</v>
      </c>
      <c r="E1145" s="0" t="n">
        <v>39008.37</v>
      </c>
      <c r="F1145" s="0" t="n">
        <v>365</v>
      </c>
      <c r="G1145" s="0" t="str">
        <f aca="false">IF(F1145&lt;=30,"Current",IF(F1145&lt;=60,"31 to 60 days",IF(F1145&lt;=90,"61 to 90 days",IF(F1145&lt;=120,"91 to 120 days","Over 120 days"))))</f>
        <v>Over 120 days</v>
      </c>
      <c r="H1145" s="0" t="n">
        <f aca="false">VLOOKUP(D1145,Rates!$A$4:$B$7,2,FALSE())</f>
        <v>0.085</v>
      </c>
      <c r="I1145" s="0" t="n">
        <f aca="false">VLOOKUP(F1145,Rates!$D$4:$E$8,2)</f>
        <v>0.85</v>
      </c>
      <c r="J1145" s="0" t="n">
        <f aca="false">ROUND(E1145*I1145,2)</f>
        <v>33157.11</v>
      </c>
      <c r="K1145" s="1" t="n">
        <f aca="false">PV(H1145/12,F1145/30,0,-E1145)</f>
        <v>35798.2665562215</v>
      </c>
      <c r="L1145" s="0" t="n">
        <f aca="false">ROUND(E1145-K1145,2)</f>
        <v>3210.1</v>
      </c>
      <c r="M1145" s="0" t="n">
        <f aca="false">F1145/E1145</f>
        <v>0.00935696621007235</v>
      </c>
    </row>
    <row r="1146" customFormat="false" ht="12.8" hidden="false" customHeight="false" outlineLevel="0" collapsed="false">
      <c r="A1146" s="0" t="s">
        <v>1700</v>
      </c>
      <c r="B1146" s="0" t="s">
        <v>18</v>
      </c>
      <c r="C1146" s="0" t="s">
        <v>19</v>
      </c>
      <c r="D1146" s="0" t="s">
        <v>20</v>
      </c>
      <c r="E1146" s="0" t="n">
        <v>10945.96</v>
      </c>
      <c r="F1146" s="0" t="n">
        <v>370</v>
      </c>
      <c r="G1146" s="0" t="str">
        <f aca="false">IF(F1146&lt;=30,"Current",IF(F1146&lt;=60,"31 to 60 days",IF(F1146&lt;=90,"61 to 90 days",IF(F1146&lt;=120,"91 to 120 days","Over 120 days"))))</f>
        <v>Over 120 days</v>
      </c>
      <c r="H1146" s="0" t="n">
        <f aca="false">VLOOKUP(D1146,Rates!$A$4:$B$7,2,FALSE())</f>
        <v>0.05</v>
      </c>
      <c r="I1146" s="0" t="n">
        <f aca="false">VLOOKUP(F1146,Rates!$D$4:$E$8,2)</f>
        <v>0.85</v>
      </c>
      <c r="J1146" s="0" t="n">
        <f aca="false">ROUND(E1146*I1146,2)</f>
        <v>9304.07</v>
      </c>
      <c r="K1146" s="1" t="n">
        <f aca="false">PV(H1146/12,F1146/30,0,-E1146)</f>
        <v>10398.7781455995</v>
      </c>
      <c r="L1146" s="0" t="n">
        <f aca="false">ROUND(E1146-K1146,2)</f>
        <v>547.18</v>
      </c>
      <c r="M1146" s="0" t="n">
        <f aca="false">F1146/E1146</f>
        <v>0.0338024257351571</v>
      </c>
    </row>
    <row r="1147" customFormat="false" ht="12.8" hidden="false" customHeight="false" outlineLevel="0" collapsed="false">
      <c r="A1147" s="0" t="s">
        <v>1701</v>
      </c>
      <c r="B1147" s="0" t="s">
        <v>1702</v>
      </c>
      <c r="C1147" s="0" t="s">
        <v>15</v>
      </c>
      <c r="D1147" s="0" t="s">
        <v>16</v>
      </c>
      <c r="E1147" s="0" t="n">
        <v>35131.17</v>
      </c>
      <c r="F1147" s="0" t="n">
        <v>196</v>
      </c>
      <c r="G1147" s="0" t="str">
        <f aca="false">IF(F1147&lt;=30,"Current",IF(F1147&lt;=60,"31 to 60 days",IF(F1147&lt;=90,"61 to 90 days",IF(F1147&lt;=120,"91 to 120 days","Over 120 days"))))</f>
        <v>Over 120 days</v>
      </c>
      <c r="H1147" s="0" t="n">
        <f aca="false">VLOOKUP(D1147,Rates!$A$4:$B$7,2,FALSE())</f>
        <v>0.085</v>
      </c>
      <c r="I1147" s="0" t="n">
        <f aca="false">VLOOKUP(F1147,Rates!$D$4:$E$8,2)</f>
        <v>0.85</v>
      </c>
      <c r="J1147" s="0" t="n">
        <f aca="false">ROUND(E1147*I1147,2)</f>
        <v>29861.49</v>
      </c>
      <c r="K1147" s="1" t="n">
        <f aca="false">PV(H1147/12,F1147/30,0,-E1147)</f>
        <v>33547.8951381055</v>
      </c>
      <c r="L1147" s="0" t="n">
        <f aca="false">ROUND(E1147-K1147,2)</f>
        <v>1583.27</v>
      </c>
      <c r="M1147" s="0" t="n">
        <f aca="false">F1147/E1147</f>
        <v>0.00557909116035703</v>
      </c>
    </row>
    <row r="1148" customFormat="false" ht="12.8" hidden="false" customHeight="false" outlineLevel="0" collapsed="false">
      <c r="A1148" s="0" t="s">
        <v>1703</v>
      </c>
      <c r="B1148" s="0" t="s">
        <v>1704</v>
      </c>
      <c r="C1148" s="0" t="s">
        <v>26</v>
      </c>
      <c r="D1148" s="0" t="s">
        <v>49</v>
      </c>
      <c r="E1148" s="0" t="n">
        <v>27024.46</v>
      </c>
      <c r="F1148" s="0" t="n">
        <v>331</v>
      </c>
      <c r="G1148" s="0" t="str">
        <f aca="false">IF(F1148&lt;=30,"Current",IF(F1148&lt;=60,"31 to 60 days",IF(F1148&lt;=90,"61 to 90 days",IF(F1148&lt;=120,"91 to 120 days","Over 120 days"))))</f>
        <v>Over 120 days</v>
      </c>
      <c r="H1148" s="0" t="n">
        <f aca="false">VLOOKUP(D1148,Rates!$A$4:$B$7,2,FALSE())</f>
        <v>0.02</v>
      </c>
      <c r="I1148" s="0" t="n">
        <f aca="false">VLOOKUP(F1148,Rates!$D$4:$E$8,2)</f>
        <v>0.85</v>
      </c>
      <c r="J1148" s="0" t="n">
        <f aca="false">ROUND(E1148*I1148,2)</f>
        <v>22970.79</v>
      </c>
      <c r="K1148" s="1" t="n">
        <f aca="false">PV(H1148/12,F1148/30,0,-E1148)</f>
        <v>26532.457636994</v>
      </c>
      <c r="L1148" s="0" t="n">
        <f aca="false">ROUND(E1148-K1148,2)</f>
        <v>492</v>
      </c>
      <c r="M1148" s="0" t="n">
        <f aca="false">F1148/E1148</f>
        <v>0.0122481633305531</v>
      </c>
    </row>
    <row r="1149" customFormat="false" ht="12.8" hidden="false" customHeight="false" outlineLevel="0" collapsed="false">
      <c r="A1149" s="0" t="s">
        <v>1705</v>
      </c>
      <c r="B1149" s="0" t="s">
        <v>1706</v>
      </c>
      <c r="C1149" s="0" t="s">
        <v>31</v>
      </c>
      <c r="D1149" s="0" t="s">
        <v>16</v>
      </c>
      <c r="E1149" s="0" t="n">
        <v>42950.55</v>
      </c>
      <c r="F1149" s="0" t="n">
        <v>246</v>
      </c>
      <c r="G1149" s="0" t="str">
        <f aca="false">IF(F1149&lt;=30,"Current",IF(F1149&lt;=60,"31 to 60 days",IF(F1149&lt;=90,"61 to 90 days",IF(F1149&lt;=120,"91 to 120 days","Over 120 days"))))</f>
        <v>Over 120 days</v>
      </c>
      <c r="H1149" s="0" t="n">
        <f aca="false">VLOOKUP(D1149,Rates!$A$4:$B$7,2,FALSE())</f>
        <v>0.085</v>
      </c>
      <c r="I1149" s="0" t="n">
        <f aca="false">VLOOKUP(F1149,Rates!$D$4:$E$8,2)</f>
        <v>0.85</v>
      </c>
      <c r="J1149" s="0" t="n">
        <f aca="false">ROUND(E1149*I1149,2)</f>
        <v>36507.97</v>
      </c>
      <c r="K1149" s="1" t="n">
        <f aca="false">PV(H1149/12,F1149/30,0,-E1149)</f>
        <v>40535.2054190687</v>
      </c>
      <c r="L1149" s="0" t="n">
        <f aca="false">ROUND(E1149-K1149,2)</f>
        <v>2415.34</v>
      </c>
      <c r="M1149" s="0" t="n">
        <f aca="false">F1149/E1149</f>
        <v>0.00572751687696665</v>
      </c>
    </row>
    <row r="1150" customFormat="false" ht="12.8" hidden="false" customHeight="false" outlineLevel="0" collapsed="false">
      <c r="A1150" s="0" t="s">
        <v>1707</v>
      </c>
      <c r="B1150" s="0" t="s">
        <v>1708</v>
      </c>
      <c r="C1150" s="0" t="s">
        <v>31</v>
      </c>
      <c r="D1150" s="0" t="s">
        <v>16</v>
      </c>
      <c r="E1150" s="0" t="n">
        <v>710.82</v>
      </c>
      <c r="F1150" s="0" t="n">
        <v>172</v>
      </c>
      <c r="G1150" s="0" t="str">
        <f aca="false">IF(F1150&lt;=30,"Current",IF(F1150&lt;=60,"31 to 60 days",IF(F1150&lt;=90,"61 to 90 days",IF(F1150&lt;=120,"91 to 120 days","Over 120 days"))))</f>
        <v>Over 120 days</v>
      </c>
      <c r="H1150" s="0" t="n">
        <f aca="false">VLOOKUP(D1150,Rates!$A$4:$B$7,2,FALSE())</f>
        <v>0.085</v>
      </c>
      <c r="I1150" s="0" t="n">
        <f aca="false">VLOOKUP(F1150,Rates!$D$4:$E$8,2)</f>
        <v>0.85</v>
      </c>
      <c r="J1150" s="0" t="n">
        <f aca="false">ROUND(E1150*I1150,2)</f>
        <v>604.2</v>
      </c>
      <c r="K1150" s="1" t="n">
        <f aca="false">PV(H1150/12,F1150/30,0,-E1150)</f>
        <v>682.628834326121</v>
      </c>
      <c r="L1150" s="0" t="n">
        <f aca="false">ROUND(E1150-K1150,2)</f>
        <v>28.19</v>
      </c>
      <c r="M1150" s="0" t="n">
        <f aca="false">F1150/E1150</f>
        <v>0.241974058130047</v>
      </c>
    </row>
    <row r="1151" customFormat="false" ht="12.8" hidden="false" customHeight="false" outlineLevel="0" collapsed="false">
      <c r="A1151" s="0" t="s">
        <v>1709</v>
      </c>
      <c r="B1151" s="0" t="s">
        <v>30</v>
      </c>
      <c r="C1151" s="0" t="s">
        <v>31</v>
      </c>
      <c r="D1151" s="0" t="s">
        <v>20</v>
      </c>
      <c r="E1151" s="0" t="n">
        <v>12374.97</v>
      </c>
      <c r="F1151" s="0" t="n">
        <v>23</v>
      </c>
      <c r="G1151" s="0" t="str">
        <f aca="false">IF(F1151&lt;=30,"Current",IF(F1151&lt;=60,"31 to 60 days",IF(F1151&lt;=90,"61 to 90 days",IF(F1151&lt;=120,"91 to 120 days","Over 120 days"))))</f>
        <v>Current</v>
      </c>
      <c r="H1151" s="0" t="n">
        <f aca="false">VLOOKUP(D1151,Rates!$A$4:$B$7,2,FALSE())</f>
        <v>0.05</v>
      </c>
      <c r="I1151" s="0" t="n">
        <f aca="false">VLOOKUP(F1151,Rates!$D$4:$E$8,2)</f>
        <v>0.02</v>
      </c>
      <c r="J1151" s="0" t="n">
        <f aca="false">ROUND(E1151*I1151,2)</f>
        <v>247.5</v>
      </c>
      <c r="K1151" s="1" t="n">
        <f aca="false">PV(H1151/12,F1151/30,0,-E1151)</f>
        <v>12335.5837855432</v>
      </c>
      <c r="L1151" s="0" t="n">
        <f aca="false">ROUND(E1151-K1151,2)</f>
        <v>39.39</v>
      </c>
      <c r="M1151" s="0" t="n">
        <f aca="false">F1151/E1151</f>
        <v>0.00185859036425947</v>
      </c>
    </row>
    <row r="1152" customFormat="false" ht="12.8" hidden="false" customHeight="false" outlineLevel="0" collapsed="false">
      <c r="A1152" s="0" t="s">
        <v>1710</v>
      </c>
      <c r="B1152" s="0" t="s">
        <v>35</v>
      </c>
      <c r="C1152" s="0" t="s">
        <v>36</v>
      </c>
      <c r="D1152" s="0" t="s">
        <v>23</v>
      </c>
      <c r="E1152" s="0" t="n">
        <v>12641.23</v>
      </c>
      <c r="F1152" s="0" t="n">
        <v>39</v>
      </c>
      <c r="G1152" s="0" t="str">
        <f aca="false">IF(F1152&lt;=30,"Current",IF(F1152&lt;=60,"31 to 60 days",IF(F1152&lt;=90,"61 to 90 days",IF(F1152&lt;=120,"91 to 120 days","Over 120 days"))))</f>
        <v>31 to 60 days</v>
      </c>
      <c r="H1152" s="0" t="n">
        <f aca="false">VLOOKUP(D1152,Rates!$A$4:$B$7,2,FALSE())</f>
        <v>0.115</v>
      </c>
      <c r="I1152" s="0" t="n">
        <f aca="false">VLOOKUP(F1152,Rates!$D$4:$E$8,2)</f>
        <v>0.1</v>
      </c>
      <c r="J1152" s="0" t="n">
        <f aca="false">ROUND(E1152*I1152,2)</f>
        <v>1264.12</v>
      </c>
      <c r="K1152" s="1" t="n">
        <f aca="false">PV(H1152/12,F1152/30,0,-E1152)</f>
        <v>12485.4588890472</v>
      </c>
      <c r="L1152" s="0" t="n">
        <f aca="false">ROUND(E1152-K1152,2)</f>
        <v>155.77</v>
      </c>
      <c r="M1152" s="0" t="n">
        <f aca="false">F1152/E1152</f>
        <v>0.00308514282233612</v>
      </c>
    </row>
    <row r="1153" customFormat="false" ht="12.8" hidden="false" customHeight="false" outlineLevel="0" collapsed="false">
      <c r="A1153" s="0" t="s">
        <v>1711</v>
      </c>
      <c r="B1153" s="0" t="s">
        <v>1712</v>
      </c>
      <c r="C1153" s="0" t="s">
        <v>31</v>
      </c>
      <c r="D1153" s="0" t="s">
        <v>16</v>
      </c>
      <c r="E1153" s="0" t="n">
        <v>32771.58</v>
      </c>
      <c r="F1153" s="0" t="n">
        <v>23</v>
      </c>
      <c r="G1153" s="0" t="str">
        <f aca="false">IF(F1153&lt;=30,"Current",IF(F1153&lt;=60,"31 to 60 days",IF(F1153&lt;=90,"61 to 90 days",IF(F1153&lt;=120,"91 to 120 days","Over 120 days"))))</f>
        <v>Current</v>
      </c>
      <c r="H1153" s="0" t="n">
        <f aca="false">VLOOKUP(D1153,Rates!$A$4:$B$7,2,FALSE())</f>
        <v>0.085</v>
      </c>
      <c r="I1153" s="0" t="n">
        <f aca="false">VLOOKUP(F1153,Rates!$D$4:$E$8,2)</f>
        <v>0.02</v>
      </c>
      <c r="J1153" s="0" t="n">
        <f aca="false">ROUND(E1153*I1153,2)</f>
        <v>655.43</v>
      </c>
      <c r="K1153" s="1" t="n">
        <f aca="false">PV(H1153/12,F1153/30,0,-E1153)</f>
        <v>32594.7184234694</v>
      </c>
      <c r="L1153" s="0" t="n">
        <f aca="false">ROUND(E1153-K1153,2)</f>
        <v>176.86</v>
      </c>
      <c r="M1153" s="0" t="n">
        <f aca="false">F1153/E1153</f>
        <v>0.000701827620151363</v>
      </c>
    </row>
    <row r="1154" customFormat="false" ht="12.8" hidden="false" customHeight="false" outlineLevel="0" collapsed="false">
      <c r="A1154" s="0" t="s">
        <v>1713</v>
      </c>
      <c r="B1154" s="0" t="s">
        <v>51</v>
      </c>
      <c r="C1154" s="0" t="s">
        <v>36</v>
      </c>
      <c r="D1154" s="0" t="s">
        <v>20</v>
      </c>
      <c r="E1154" s="0" t="n">
        <v>21056.12</v>
      </c>
      <c r="F1154" s="0" t="n">
        <v>221</v>
      </c>
      <c r="G1154" s="0" t="str">
        <f aca="false">IF(F1154&lt;=30,"Current",IF(F1154&lt;=60,"31 to 60 days",IF(F1154&lt;=90,"61 to 90 days",IF(F1154&lt;=120,"91 to 120 days","Over 120 days"))))</f>
        <v>Over 120 days</v>
      </c>
      <c r="H1154" s="0" t="n">
        <f aca="false">VLOOKUP(D1154,Rates!$A$4:$B$7,2,FALSE())</f>
        <v>0.05</v>
      </c>
      <c r="I1154" s="0" t="n">
        <f aca="false">VLOOKUP(F1154,Rates!$D$4:$E$8,2)</f>
        <v>0.85</v>
      </c>
      <c r="J1154" s="0" t="n">
        <f aca="false">ROUND(E1154*I1154,2)</f>
        <v>17897.7</v>
      </c>
      <c r="K1154" s="1" t="n">
        <f aca="false">PV(H1154/12,F1154/30,0,-E1154)</f>
        <v>20420.9345777365</v>
      </c>
      <c r="L1154" s="0" t="n">
        <f aca="false">ROUND(E1154-K1154,2)</f>
        <v>635.19</v>
      </c>
      <c r="M1154" s="0" t="n">
        <f aca="false">F1154/E1154</f>
        <v>0.0104957608524268</v>
      </c>
    </row>
    <row r="1155" customFormat="false" ht="12.8" hidden="false" customHeight="false" outlineLevel="0" collapsed="false">
      <c r="A1155" s="0" t="s">
        <v>1714</v>
      </c>
      <c r="B1155" s="0" t="s">
        <v>28</v>
      </c>
      <c r="C1155" s="0" t="s">
        <v>15</v>
      </c>
      <c r="D1155" s="0" t="s">
        <v>20</v>
      </c>
      <c r="E1155" s="0" t="n">
        <v>3652.88</v>
      </c>
      <c r="F1155" s="0" t="n">
        <v>350</v>
      </c>
      <c r="G1155" s="0" t="str">
        <f aca="false">IF(F1155&lt;=30,"Current",IF(F1155&lt;=60,"31 to 60 days",IF(F1155&lt;=90,"61 to 90 days",IF(F1155&lt;=120,"91 to 120 days","Over 120 days"))))</f>
        <v>Over 120 days</v>
      </c>
      <c r="H1155" s="0" t="n">
        <f aca="false">VLOOKUP(D1155,Rates!$A$4:$B$7,2,FALSE())</f>
        <v>0.05</v>
      </c>
      <c r="I1155" s="0" t="n">
        <f aca="false">VLOOKUP(F1155,Rates!$D$4:$E$8,2)</f>
        <v>0.85</v>
      </c>
      <c r="J1155" s="0" t="n">
        <f aca="false">ROUND(E1155*I1155,2)</f>
        <v>3104.95</v>
      </c>
      <c r="K1155" s="1" t="n">
        <f aca="false">PV(H1155/12,F1155/30,0,-E1155)</f>
        <v>3479.90773032323</v>
      </c>
      <c r="L1155" s="0" t="n">
        <f aca="false">ROUND(E1155-K1155,2)</f>
        <v>172.97</v>
      </c>
      <c r="M1155" s="0" t="n">
        <f aca="false">F1155/E1155</f>
        <v>0.0958148091369002</v>
      </c>
    </row>
    <row r="1156" customFormat="false" ht="12.8" hidden="false" customHeight="false" outlineLevel="0" collapsed="false">
      <c r="A1156" s="0" t="s">
        <v>1715</v>
      </c>
      <c r="B1156" s="0" t="s">
        <v>111</v>
      </c>
      <c r="C1156" s="0" t="s">
        <v>19</v>
      </c>
      <c r="D1156" s="0" t="s">
        <v>23</v>
      </c>
      <c r="E1156" s="0" t="n">
        <v>40705.56</v>
      </c>
      <c r="F1156" s="0" t="n">
        <v>112</v>
      </c>
      <c r="G1156" s="0" t="str">
        <f aca="false">IF(F1156&lt;=30,"Current",IF(F1156&lt;=60,"31 to 60 days",IF(F1156&lt;=90,"61 to 90 days",IF(F1156&lt;=120,"91 to 120 days","Over 120 days"))))</f>
        <v>91 to 120 days</v>
      </c>
      <c r="H1156" s="0" t="n">
        <f aca="false">VLOOKUP(D1156,Rates!$A$4:$B$7,2,FALSE())</f>
        <v>0.115</v>
      </c>
      <c r="I1156" s="0" t="n">
        <f aca="false">VLOOKUP(F1156,Rates!$D$4:$E$8,2)</f>
        <v>0.5</v>
      </c>
      <c r="J1156" s="0" t="n">
        <f aca="false">ROUND(E1156*I1156,2)</f>
        <v>20352.78</v>
      </c>
      <c r="K1156" s="1" t="n">
        <f aca="false">PV(H1156/12,F1156/30,0,-E1156)</f>
        <v>39281.6411097956</v>
      </c>
      <c r="L1156" s="0" t="n">
        <f aca="false">ROUND(E1156-K1156,2)</f>
        <v>1423.92</v>
      </c>
      <c r="M1156" s="0" t="n">
        <f aca="false">F1156/E1156</f>
        <v>0.00275146687577815</v>
      </c>
    </row>
    <row r="1157" customFormat="false" ht="12.8" hidden="false" customHeight="false" outlineLevel="0" collapsed="false">
      <c r="A1157" s="0" t="s">
        <v>1716</v>
      </c>
      <c r="B1157" s="0" t="s">
        <v>30</v>
      </c>
      <c r="C1157" s="0" t="s">
        <v>31</v>
      </c>
      <c r="D1157" s="0" t="s">
        <v>20</v>
      </c>
      <c r="E1157" s="0" t="n">
        <v>16089.74</v>
      </c>
      <c r="F1157" s="0" t="n">
        <v>141</v>
      </c>
      <c r="G1157" s="0" t="str">
        <f aca="false">IF(F1157&lt;=30,"Current",IF(F1157&lt;=60,"31 to 60 days",IF(F1157&lt;=90,"61 to 90 days",IF(F1157&lt;=120,"91 to 120 days","Over 120 days"))))</f>
        <v>Over 120 days</v>
      </c>
      <c r="H1157" s="0" t="n">
        <f aca="false">VLOOKUP(D1157,Rates!$A$4:$B$7,2,FALSE())</f>
        <v>0.05</v>
      </c>
      <c r="I1157" s="0" t="n">
        <f aca="false">VLOOKUP(F1157,Rates!$D$4:$E$8,2)</f>
        <v>0.85</v>
      </c>
      <c r="J1157" s="0" t="n">
        <f aca="false">ROUND(E1157*I1157,2)</f>
        <v>13676.28</v>
      </c>
      <c r="K1157" s="1" t="n">
        <f aca="false">PV(H1157/12,F1157/30,0,-E1157)</f>
        <v>15778.3564195328</v>
      </c>
      <c r="L1157" s="0" t="n">
        <f aca="false">ROUND(E1157-K1157,2)</f>
        <v>311.38</v>
      </c>
      <c r="M1157" s="0" t="n">
        <f aca="false">F1157/E1157</f>
        <v>0.00876334856871522</v>
      </c>
    </row>
    <row r="1158" customFormat="false" ht="12.8" hidden="false" customHeight="false" outlineLevel="0" collapsed="false">
      <c r="A1158" s="0" t="s">
        <v>1717</v>
      </c>
      <c r="B1158" s="0" t="s">
        <v>148</v>
      </c>
      <c r="C1158" s="0" t="s">
        <v>31</v>
      </c>
      <c r="D1158" s="0" t="s">
        <v>23</v>
      </c>
      <c r="E1158" s="0" t="n">
        <v>514.87</v>
      </c>
      <c r="F1158" s="0" t="n">
        <v>40</v>
      </c>
      <c r="G1158" s="0" t="str">
        <f aca="false">IF(F1158&lt;=30,"Current",IF(F1158&lt;=60,"31 to 60 days",IF(F1158&lt;=90,"61 to 90 days",IF(F1158&lt;=120,"91 to 120 days","Over 120 days"))))</f>
        <v>31 to 60 days</v>
      </c>
      <c r="H1158" s="0" t="n">
        <f aca="false">VLOOKUP(D1158,Rates!$A$4:$B$7,2,FALSE())</f>
        <v>0.115</v>
      </c>
      <c r="I1158" s="0" t="n">
        <f aca="false">VLOOKUP(F1158,Rates!$D$4:$E$8,2)</f>
        <v>0.1</v>
      </c>
      <c r="J1158" s="0" t="n">
        <f aca="false">ROUND(E1158*I1158,2)</f>
        <v>51.49</v>
      </c>
      <c r="K1158" s="1" t="n">
        <f aca="false">PV(H1158/12,F1158/30,0,-E1158)</f>
        <v>508.363886067631</v>
      </c>
      <c r="L1158" s="0" t="n">
        <f aca="false">ROUND(E1158-K1158,2)</f>
        <v>6.51</v>
      </c>
      <c r="M1158" s="0" t="n">
        <f aca="false">F1158/E1158</f>
        <v>0.077689513857867</v>
      </c>
    </row>
    <row r="1159" customFormat="false" ht="12.8" hidden="false" customHeight="false" outlineLevel="0" collapsed="false">
      <c r="A1159" s="0" t="s">
        <v>1718</v>
      </c>
      <c r="B1159" s="0" t="s">
        <v>326</v>
      </c>
      <c r="C1159" s="0" t="s">
        <v>42</v>
      </c>
      <c r="D1159" s="0" t="s">
        <v>23</v>
      </c>
      <c r="E1159" s="0" t="n">
        <v>28564.21</v>
      </c>
      <c r="F1159" s="0" t="n">
        <v>47</v>
      </c>
      <c r="G1159" s="0" t="str">
        <f aca="false">IF(F1159&lt;=30,"Current",IF(F1159&lt;=60,"31 to 60 days",IF(F1159&lt;=90,"61 to 90 days",IF(F1159&lt;=120,"91 to 120 days","Over 120 days"))))</f>
        <v>31 to 60 days</v>
      </c>
      <c r="H1159" s="0" t="n">
        <f aca="false">VLOOKUP(D1159,Rates!$A$4:$B$7,2,FALSE())</f>
        <v>0.115</v>
      </c>
      <c r="I1159" s="0" t="n">
        <f aca="false">VLOOKUP(F1159,Rates!$D$4:$E$8,2)</f>
        <v>0.1</v>
      </c>
      <c r="J1159" s="0" t="n">
        <f aca="false">ROUND(E1159*I1159,2)</f>
        <v>2856.42</v>
      </c>
      <c r="K1159" s="1" t="n">
        <f aca="false">PV(H1159/12,F1159/30,0,-E1159)</f>
        <v>28140.5650624729</v>
      </c>
      <c r="L1159" s="0" t="n">
        <f aca="false">ROUND(E1159-K1159,2)</f>
        <v>423.64</v>
      </c>
      <c r="M1159" s="0" t="n">
        <f aca="false">F1159/E1159</f>
        <v>0.00164541571428021</v>
      </c>
    </row>
    <row r="1160" customFormat="false" ht="12.8" hidden="false" customHeight="false" outlineLevel="0" collapsed="false">
      <c r="A1160" s="0" t="s">
        <v>1719</v>
      </c>
      <c r="B1160" s="0" t="s">
        <v>1720</v>
      </c>
      <c r="C1160" s="0" t="s">
        <v>31</v>
      </c>
      <c r="D1160" s="0" t="s">
        <v>16</v>
      </c>
      <c r="E1160" s="0" t="n">
        <v>41382.64</v>
      </c>
      <c r="F1160" s="0" t="n">
        <v>154</v>
      </c>
      <c r="G1160" s="0" t="str">
        <f aca="false">IF(F1160&lt;=30,"Current",IF(F1160&lt;=60,"31 to 60 days",IF(F1160&lt;=90,"61 to 90 days",IF(F1160&lt;=120,"91 to 120 days","Over 120 days"))))</f>
        <v>Over 120 days</v>
      </c>
      <c r="H1160" s="0" t="n">
        <f aca="false">VLOOKUP(D1160,Rates!$A$4:$B$7,2,FALSE())</f>
        <v>0.085</v>
      </c>
      <c r="I1160" s="0" t="n">
        <f aca="false">VLOOKUP(F1160,Rates!$D$4:$E$8,2)</f>
        <v>0.85</v>
      </c>
      <c r="J1160" s="0" t="n">
        <f aca="false">ROUND(E1160*I1160,2)</f>
        <v>35175.24</v>
      </c>
      <c r="K1160" s="1" t="n">
        <f aca="false">PV(H1160/12,F1160/30,0,-E1160)</f>
        <v>39910.0643777614</v>
      </c>
      <c r="L1160" s="0" t="n">
        <f aca="false">ROUND(E1160-K1160,2)</f>
        <v>1472.58</v>
      </c>
      <c r="M1160" s="0" t="n">
        <f aca="false">F1160/E1160</f>
        <v>0.00372136722065098</v>
      </c>
    </row>
    <row r="1161" customFormat="false" ht="12.8" hidden="false" customHeight="false" outlineLevel="0" collapsed="false">
      <c r="A1161" s="0" t="s">
        <v>1721</v>
      </c>
      <c r="B1161" s="0" t="s">
        <v>51</v>
      </c>
      <c r="C1161" s="0" t="s">
        <v>36</v>
      </c>
      <c r="D1161" s="0" t="s">
        <v>20</v>
      </c>
      <c r="E1161" s="0" t="n">
        <v>41087.93</v>
      </c>
      <c r="F1161" s="0" t="n">
        <v>219</v>
      </c>
      <c r="G1161" s="0" t="str">
        <f aca="false">IF(F1161&lt;=30,"Current",IF(F1161&lt;=60,"31 to 60 days",IF(F1161&lt;=90,"61 to 90 days",IF(F1161&lt;=120,"91 to 120 days","Over 120 days"))))</f>
        <v>Over 120 days</v>
      </c>
      <c r="H1161" s="0" t="n">
        <f aca="false">VLOOKUP(D1161,Rates!$A$4:$B$7,2,FALSE())</f>
        <v>0.05</v>
      </c>
      <c r="I1161" s="0" t="n">
        <f aca="false">VLOOKUP(F1161,Rates!$D$4:$E$8,2)</f>
        <v>0.85</v>
      </c>
      <c r="J1161" s="0" t="n">
        <f aca="false">ROUND(E1161*I1161,2)</f>
        <v>34924.74</v>
      </c>
      <c r="K1161" s="1" t="n">
        <f aca="false">PV(H1161/12,F1161/30,0,-E1161)</f>
        <v>39859.5063583104</v>
      </c>
      <c r="L1161" s="0" t="n">
        <f aca="false">ROUND(E1161-K1161,2)</f>
        <v>1228.42</v>
      </c>
      <c r="M1161" s="0" t="n">
        <f aca="false">F1161/E1161</f>
        <v>0.00533003244505138</v>
      </c>
    </row>
    <row r="1162" customFormat="false" ht="12.8" hidden="false" customHeight="false" outlineLevel="0" collapsed="false">
      <c r="A1162" s="0" t="s">
        <v>1722</v>
      </c>
      <c r="B1162" s="0" t="s">
        <v>1702</v>
      </c>
      <c r="C1162" s="0" t="s">
        <v>15</v>
      </c>
      <c r="D1162" s="0" t="s">
        <v>49</v>
      </c>
      <c r="E1162" s="0" t="n">
        <v>6877.21</v>
      </c>
      <c r="F1162" s="0" t="n">
        <v>233</v>
      </c>
      <c r="G1162" s="0" t="str">
        <f aca="false">IF(F1162&lt;=30,"Current",IF(F1162&lt;=60,"31 to 60 days",IF(F1162&lt;=90,"61 to 90 days",IF(F1162&lt;=120,"91 to 120 days","Over 120 days"))))</f>
        <v>Over 120 days</v>
      </c>
      <c r="H1162" s="0" t="n">
        <f aca="false">VLOOKUP(D1162,Rates!$A$4:$B$7,2,FALSE())</f>
        <v>0.02</v>
      </c>
      <c r="I1162" s="0" t="n">
        <f aca="false">VLOOKUP(F1162,Rates!$D$4:$E$8,2)</f>
        <v>0.85</v>
      </c>
      <c r="J1162" s="0" t="n">
        <f aca="false">ROUND(E1162*I1162,2)</f>
        <v>5845.63</v>
      </c>
      <c r="K1162" s="1" t="n">
        <f aca="false">PV(H1162/12,F1162/30,0,-E1162)</f>
        <v>6788.83517692826</v>
      </c>
      <c r="L1162" s="0" t="n">
        <f aca="false">ROUND(E1162-K1162,2)</f>
        <v>88.37</v>
      </c>
      <c r="M1162" s="0" t="n">
        <f aca="false">F1162/E1162</f>
        <v>0.033880018205057</v>
      </c>
    </row>
    <row r="1163" customFormat="false" ht="12.8" hidden="false" customHeight="false" outlineLevel="0" collapsed="false">
      <c r="A1163" s="0" t="s">
        <v>1723</v>
      </c>
      <c r="B1163" s="0" t="s">
        <v>1364</v>
      </c>
      <c r="C1163" s="0" t="s">
        <v>15</v>
      </c>
      <c r="D1163" s="0" t="s">
        <v>49</v>
      </c>
      <c r="E1163" s="0" t="n">
        <v>18714.42</v>
      </c>
      <c r="F1163" s="0" t="n">
        <v>9</v>
      </c>
      <c r="G1163" s="0" t="str">
        <f aca="false">IF(F1163&lt;=30,"Current",IF(F1163&lt;=60,"31 to 60 days",IF(F1163&lt;=90,"61 to 90 days",IF(F1163&lt;=120,"91 to 120 days","Over 120 days"))))</f>
        <v>Current</v>
      </c>
      <c r="H1163" s="0" t="n">
        <f aca="false">VLOOKUP(D1163,Rates!$A$4:$B$7,2,FALSE())</f>
        <v>0.02</v>
      </c>
      <c r="I1163" s="0" t="n">
        <f aca="false">VLOOKUP(F1163,Rates!$D$4:$E$8,2)</f>
        <v>0.02</v>
      </c>
      <c r="J1163" s="0" t="n">
        <f aca="false">ROUND(E1163*I1163,2)</f>
        <v>374.29</v>
      </c>
      <c r="K1163" s="1" t="n">
        <f aca="false">PV(H1163/12,F1163/30,0,-E1163)</f>
        <v>18705.0729140425</v>
      </c>
      <c r="L1163" s="0" t="n">
        <f aca="false">ROUND(E1163-K1163,2)</f>
        <v>9.35</v>
      </c>
      <c r="M1163" s="0" t="n">
        <f aca="false">F1163/E1163</f>
        <v>0.00048091257971126</v>
      </c>
    </row>
    <row r="1164" customFormat="false" ht="12.8" hidden="false" customHeight="false" outlineLevel="0" collapsed="false">
      <c r="A1164" s="0" t="s">
        <v>1724</v>
      </c>
      <c r="B1164" s="0" t="s">
        <v>28</v>
      </c>
      <c r="C1164" s="0" t="s">
        <v>15</v>
      </c>
      <c r="D1164" s="0" t="s">
        <v>20</v>
      </c>
      <c r="E1164" s="0" t="n">
        <v>17269.58</v>
      </c>
      <c r="F1164" s="0" t="n">
        <v>46</v>
      </c>
      <c r="G1164" s="0" t="str">
        <f aca="false">IF(F1164&lt;=30,"Current",IF(F1164&lt;=60,"31 to 60 days",IF(F1164&lt;=90,"61 to 90 days",IF(F1164&lt;=120,"91 to 120 days","Over 120 days"))))</f>
        <v>31 to 60 days</v>
      </c>
      <c r="H1164" s="0" t="n">
        <f aca="false">VLOOKUP(D1164,Rates!$A$4:$B$7,2,FALSE())</f>
        <v>0.05</v>
      </c>
      <c r="I1164" s="0" t="n">
        <f aca="false">VLOOKUP(F1164,Rates!$D$4:$E$8,2)</f>
        <v>0.1</v>
      </c>
      <c r="J1164" s="0" t="n">
        <f aca="false">ROUND(E1164*I1164,2)</f>
        <v>1726.96</v>
      </c>
      <c r="K1164" s="1" t="n">
        <f aca="false">PV(H1164/12,F1164/30,0,-E1164)</f>
        <v>17159.8260433096</v>
      </c>
      <c r="L1164" s="0" t="n">
        <f aca="false">ROUND(E1164-K1164,2)</f>
        <v>109.75</v>
      </c>
      <c r="M1164" s="0" t="n">
        <f aca="false">F1164/E1164</f>
        <v>0.00266364323857326</v>
      </c>
    </row>
    <row r="1165" customFormat="false" ht="12.8" hidden="false" customHeight="false" outlineLevel="0" collapsed="false">
      <c r="A1165" s="0" t="s">
        <v>1725</v>
      </c>
      <c r="B1165" s="0" t="s">
        <v>363</v>
      </c>
      <c r="C1165" s="0" t="s">
        <v>26</v>
      </c>
      <c r="D1165" s="0" t="s">
        <v>49</v>
      </c>
      <c r="E1165" s="0" t="n">
        <v>31890.06</v>
      </c>
      <c r="F1165" s="0" t="n">
        <v>270</v>
      </c>
      <c r="G1165" s="0" t="str">
        <f aca="false">IF(F1165&lt;=30,"Current",IF(F1165&lt;=60,"31 to 60 days",IF(F1165&lt;=90,"61 to 90 days",IF(F1165&lt;=120,"91 to 120 days","Over 120 days"))))</f>
        <v>Over 120 days</v>
      </c>
      <c r="H1165" s="0" t="n">
        <f aca="false">VLOOKUP(D1165,Rates!$A$4:$B$7,2,FALSE())</f>
        <v>0.02</v>
      </c>
      <c r="I1165" s="0" t="n">
        <f aca="false">VLOOKUP(F1165,Rates!$D$4:$E$8,2)</f>
        <v>0.85</v>
      </c>
      <c r="J1165" s="0" t="n">
        <f aca="false">ROUND(E1165*I1165,2)</f>
        <v>27106.55</v>
      </c>
      <c r="K1165" s="1" t="n">
        <f aca="false">PV(H1165/12,F1165/30,0,-E1165)</f>
        <v>31415.671118314</v>
      </c>
      <c r="L1165" s="0" t="n">
        <f aca="false">ROUND(E1165-K1165,2)</f>
        <v>474.39</v>
      </c>
      <c r="M1165" s="0" t="n">
        <f aca="false">F1165/E1165</f>
        <v>0.00846658802147127</v>
      </c>
    </row>
    <row r="1166" customFormat="false" ht="12.8" hidden="false" customHeight="false" outlineLevel="0" collapsed="false">
      <c r="A1166" s="0" t="s">
        <v>1726</v>
      </c>
      <c r="B1166" s="0" t="s">
        <v>97</v>
      </c>
      <c r="C1166" s="0" t="s">
        <v>42</v>
      </c>
      <c r="D1166" s="0" t="s">
        <v>20</v>
      </c>
      <c r="E1166" s="0" t="n">
        <v>10498.66</v>
      </c>
      <c r="F1166" s="0" t="n">
        <v>14</v>
      </c>
      <c r="G1166" s="0" t="str">
        <f aca="false">IF(F1166&lt;=30,"Current",IF(F1166&lt;=60,"31 to 60 days",IF(F1166&lt;=90,"61 to 90 days",IF(F1166&lt;=120,"91 to 120 days","Over 120 days"))))</f>
        <v>Current</v>
      </c>
      <c r="H1166" s="0" t="n">
        <f aca="false">VLOOKUP(D1166,Rates!$A$4:$B$7,2,FALSE())</f>
        <v>0.05</v>
      </c>
      <c r="I1166" s="0" t="n">
        <f aca="false">VLOOKUP(F1166,Rates!$D$4:$E$8,2)</f>
        <v>0.02</v>
      </c>
      <c r="J1166" s="0" t="n">
        <f aca="false">ROUND(E1166*I1166,2)</f>
        <v>209.97</v>
      </c>
      <c r="K1166" s="1" t="n">
        <f aca="false">PV(H1166/12,F1166/30,0,-E1166)</f>
        <v>10478.308102259</v>
      </c>
      <c r="L1166" s="0" t="n">
        <f aca="false">ROUND(E1166-K1166,2)</f>
        <v>20.35</v>
      </c>
      <c r="M1166" s="0" t="n">
        <f aca="false">F1166/E1166</f>
        <v>0.00133350351378176</v>
      </c>
    </row>
    <row r="1167" customFormat="false" ht="12.8" hidden="false" customHeight="false" outlineLevel="0" collapsed="false">
      <c r="A1167" s="0" t="s">
        <v>1727</v>
      </c>
      <c r="B1167" s="0" t="s">
        <v>51</v>
      </c>
      <c r="C1167" s="0" t="s">
        <v>36</v>
      </c>
      <c r="D1167" s="0" t="s">
        <v>20</v>
      </c>
      <c r="E1167" s="0" t="n">
        <v>6160.96</v>
      </c>
      <c r="F1167" s="0" t="n">
        <v>95</v>
      </c>
      <c r="G1167" s="0" t="str">
        <f aca="false">IF(F1167&lt;=30,"Current",IF(F1167&lt;=60,"31 to 60 days",IF(F1167&lt;=90,"61 to 90 days",IF(F1167&lt;=120,"91 to 120 days","Over 120 days"))))</f>
        <v>91 to 120 days</v>
      </c>
      <c r="H1167" s="0" t="n">
        <f aca="false">VLOOKUP(D1167,Rates!$A$4:$B$7,2,FALSE())</f>
        <v>0.05</v>
      </c>
      <c r="I1167" s="0" t="n">
        <f aca="false">VLOOKUP(F1167,Rates!$D$4:$E$8,2)</f>
        <v>0.5</v>
      </c>
      <c r="J1167" s="0" t="n">
        <f aca="false">ROUND(E1167*I1167,2)</f>
        <v>3080.48</v>
      </c>
      <c r="K1167" s="1" t="n">
        <f aca="false">PV(H1167/12,F1167/30,0,-E1167)</f>
        <v>6080.37017044355</v>
      </c>
      <c r="L1167" s="0" t="n">
        <f aca="false">ROUND(E1167-K1167,2)</f>
        <v>80.59</v>
      </c>
      <c r="M1167" s="0" t="n">
        <f aca="false">F1167/E1167</f>
        <v>0.0154196748558666</v>
      </c>
    </row>
    <row r="1168" customFormat="false" ht="12.8" hidden="false" customHeight="false" outlineLevel="0" collapsed="false">
      <c r="A1168" s="0" t="s">
        <v>1728</v>
      </c>
      <c r="B1168" s="0" t="s">
        <v>97</v>
      </c>
      <c r="C1168" s="0" t="s">
        <v>42</v>
      </c>
      <c r="D1168" s="0" t="s">
        <v>20</v>
      </c>
      <c r="E1168" s="0" t="n">
        <v>16614.11</v>
      </c>
      <c r="F1168" s="0" t="n">
        <v>161</v>
      </c>
      <c r="G1168" s="0" t="str">
        <f aca="false">IF(F1168&lt;=30,"Current",IF(F1168&lt;=60,"31 to 60 days",IF(F1168&lt;=90,"61 to 90 days",IF(F1168&lt;=120,"91 to 120 days","Over 120 days"))))</f>
        <v>Over 120 days</v>
      </c>
      <c r="H1168" s="0" t="n">
        <f aca="false">VLOOKUP(D1168,Rates!$A$4:$B$7,2,FALSE())</f>
        <v>0.05</v>
      </c>
      <c r="I1168" s="0" t="n">
        <f aca="false">VLOOKUP(F1168,Rates!$D$4:$E$8,2)</f>
        <v>0.85</v>
      </c>
      <c r="J1168" s="0" t="n">
        <f aca="false">ROUND(E1168*I1168,2)</f>
        <v>14121.99</v>
      </c>
      <c r="K1168" s="1" t="n">
        <f aca="false">PV(H1168/12,F1168/30,0,-E1168)</f>
        <v>16247.4777257686</v>
      </c>
      <c r="L1168" s="0" t="n">
        <f aca="false">ROUND(E1168-K1168,2)</f>
        <v>366.63</v>
      </c>
      <c r="M1168" s="0" t="n">
        <f aca="false">F1168/E1168</f>
        <v>0.00969055820624758</v>
      </c>
    </row>
    <row r="1169" customFormat="false" ht="12.8" hidden="false" customHeight="false" outlineLevel="0" collapsed="false">
      <c r="A1169" s="0" t="s">
        <v>1729</v>
      </c>
      <c r="B1169" s="0" t="s">
        <v>44</v>
      </c>
      <c r="C1169" s="0" t="s">
        <v>36</v>
      </c>
      <c r="D1169" s="0" t="s">
        <v>23</v>
      </c>
      <c r="E1169" s="0" t="n">
        <v>34466.89</v>
      </c>
      <c r="F1169" s="0" t="n">
        <v>56</v>
      </c>
      <c r="G1169" s="0" t="str">
        <f aca="false">IF(F1169&lt;=30,"Current",IF(F1169&lt;=60,"31 to 60 days",IF(F1169&lt;=90,"61 to 90 days",IF(F1169&lt;=120,"91 to 120 days","Over 120 days"))))</f>
        <v>31 to 60 days</v>
      </c>
      <c r="H1169" s="0" t="n">
        <f aca="false">VLOOKUP(D1169,Rates!$A$4:$B$7,2,FALSE())</f>
        <v>0.115</v>
      </c>
      <c r="I1169" s="0" t="n">
        <f aca="false">VLOOKUP(F1169,Rates!$D$4:$E$8,2)</f>
        <v>0.1</v>
      </c>
      <c r="J1169" s="0" t="n">
        <f aca="false">ROUND(E1169*I1169,2)</f>
        <v>3446.69</v>
      </c>
      <c r="K1169" s="1" t="n">
        <f aca="false">PV(H1169/12,F1169/30,0,-E1169)</f>
        <v>33858.681562659</v>
      </c>
      <c r="L1169" s="0" t="n">
        <f aca="false">ROUND(E1169-K1169,2)</f>
        <v>608.21</v>
      </c>
      <c r="M1169" s="0" t="n">
        <f aca="false">F1169/E1169</f>
        <v>0.00162474769264068</v>
      </c>
    </row>
    <row r="1170" customFormat="false" ht="12.8" hidden="false" customHeight="false" outlineLevel="0" collapsed="false">
      <c r="A1170" s="0" t="s">
        <v>1730</v>
      </c>
      <c r="B1170" s="0" t="s">
        <v>51</v>
      </c>
      <c r="C1170" s="0" t="s">
        <v>36</v>
      </c>
      <c r="D1170" s="0" t="s">
        <v>20</v>
      </c>
      <c r="E1170" s="0" t="n">
        <v>6183.91</v>
      </c>
      <c r="F1170" s="0" t="n">
        <v>130</v>
      </c>
      <c r="G1170" s="0" t="str">
        <f aca="false">IF(F1170&lt;=30,"Current",IF(F1170&lt;=60,"31 to 60 days",IF(F1170&lt;=90,"61 to 90 days",IF(F1170&lt;=120,"91 to 120 days","Over 120 days"))))</f>
        <v>Over 120 days</v>
      </c>
      <c r="H1170" s="0" t="n">
        <f aca="false">VLOOKUP(D1170,Rates!$A$4:$B$7,2,FALSE())</f>
        <v>0.05</v>
      </c>
      <c r="I1170" s="0" t="n">
        <f aca="false">VLOOKUP(F1170,Rates!$D$4:$E$8,2)</f>
        <v>0.85</v>
      </c>
      <c r="J1170" s="0" t="n">
        <f aca="false">ROUND(E1170*I1170,2)</f>
        <v>5256.32</v>
      </c>
      <c r="K1170" s="1" t="n">
        <f aca="false">PV(H1170/12,F1170/30,0,-E1170)</f>
        <v>6073.48583878002</v>
      </c>
      <c r="L1170" s="0" t="n">
        <f aca="false">ROUND(E1170-K1170,2)</f>
        <v>110.42</v>
      </c>
      <c r="M1170" s="0" t="n">
        <f aca="false">F1170/E1170</f>
        <v>0.0210222981899801</v>
      </c>
    </row>
    <row r="1171" customFormat="false" ht="12.8" hidden="false" customHeight="false" outlineLevel="0" collapsed="false">
      <c r="A1171" s="0" t="s">
        <v>1731</v>
      </c>
      <c r="B1171" s="0" t="s">
        <v>1588</v>
      </c>
      <c r="C1171" s="0" t="s">
        <v>31</v>
      </c>
      <c r="D1171" s="0" t="s">
        <v>16</v>
      </c>
      <c r="E1171" s="0" t="n">
        <v>27723.03</v>
      </c>
      <c r="F1171" s="0" t="n">
        <v>163</v>
      </c>
      <c r="G1171" s="0" t="str">
        <f aca="false">IF(F1171&lt;=30,"Current",IF(F1171&lt;=60,"31 to 60 days",IF(F1171&lt;=90,"61 to 90 days",IF(F1171&lt;=120,"91 to 120 days","Over 120 days"))))</f>
        <v>Over 120 days</v>
      </c>
      <c r="H1171" s="0" t="n">
        <f aca="false">VLOOKUP(D1171,Rates!$A$4:$B$7,2,FALSE())</f>
        <v>0.085</v>
      </c>
      <c r="I1171" s="0" t="n">
        <f aca="false">VLOOKUP(F1171,Rates!$D$4:$E$8,2)</f>
        <v>0.85</v>
      </c>
      <c r="J1171" s="0" t="n">
        <f aca="false">ROUND(E1171*I1171,2)</f>
        <v>23564.58</v>
      </c>
      <c r="K1171" s="1" t="n">
        <f aca="false">PV(H1171/12,F1171/30,0,-E1171)</f>
        <v>26679.9682044896</v>
      </c>
      <c r="L1171" s="0" t="n">
        <f aca="false">ROUND(E1171-K1171,2)</f>
        <v>1043.06</v>
      </c>
      <c r="M1171" s="0" t="n">
        <f aca="false">F1171/E1171</f>
        <v>0.00587958819797115</v>
      </c>
    </row>
    <row r="1172" customFormat="false" ht="12.8" hidden="false" customHeight="false" outlineLevel="0" collapsed="false">
      <c r="A1172" s="0" t="s">
        <v>1732</v>
      </c>
      <c r="B1172" s="0" t="s">
        <v>33</v>
      </c>
      <c r="C1172" s="0" t="s">
        <v>26</v>
      </c>
      <c r="D1172" s="0" t="s">
        <v>20</v>
      </c>
      <c r="E1172" s="0" t="n">
        <v>5161.05</v>
      </c>
      <c r="F1172" s="0" t="n">
        <v>323</v>
      </c>
      <c r="G1172" s="0" t="str">
        <f aca="false">IF(F1172&lt;=30,"Current",IF(F1172&lt;=60,"31 to 60 days",IF(F1172&lt;=90,"61 to 90 days",IF(F1172&lt;=120,"91 to 120 days","Over 120 days"))))</f>
        <v>Over 120 days</v>
      </c>
      <c r="H1172" s="0" t="n">
        <f aca="false">VLOOKUP(D1172,Rates!$A$4:$B$7,2,FALSE())</f>
        <v>0.05</v>
      </c>
      <c r="I1172" s="0" t="n">
        <f aca="false">VLOOKUP(F1172,Rates!$D$4:$E$8,2)</f>
        <v>0.85</v>
      </c>
      <c r="J1172" s="0" t="n">
        <f aca="false">ROUND(E1172*I1172,2)</f>
        <v>4386.89</v>
      </c>
      <c r="K1172" s="1" t="n">
        <f aca="false">PV(H1172/12,F1172/30,0,-E1172)</f>
        <v>4935.09606076859</v>
      </c>
      <c r="L1172" s="0" t="n">
        <f aca="false">ROUND(E1172-K1172,2)</f>
        <v>225.95</v>
      </c>
      <c r="M1172" s="0" t="n">
        <f aca="false">F1172/E1172</f>
        <v>0.0625841640751398</v>
      </c>
    </row>
    <row r="1173" customFormat="false" ht="12.8" hidden="false" customHeight="false" outlineLevel="0" collapsed="false">
      <c r="A1173" s="0" t="s">
        <v>1733</v>
      </c>
      <c r="B1173" s="0" t="s">
        <v>51</v>
      </c>
      <c r="C1173" s="0" t="s">
        <v>36</v>
      </c>
      <c r="D1173" s="0" t="s">
        <v>20</v>
      </c>
      <c r="E1173" s="0" t="n">
        <v>2091.24</v>
      </c>
      <c r="F1173" s="0" t="n">
        <v>278</v>
      </c>
      <c r="G1173" s="0" t="str">
        <f aca="false">IF(F1173&lt;=30,"Current",IF(F1173&lt;=60,"31 to 60 days",IF(F1173&lt;=90,"61 to 90 days",IF(F1173&lt;=120,"91 to 120 days","Over 120 days"))))</f>
        <v>Over 120 days</v>
      </c>
      <c r="H1173" s="0" t="n">
        <f aca="false">VLOOKUP(D1173,Rates!$A$4:$B$7,2,FALSE())</f>
        <v>0.05</v>
      </c>
      <c r="I1173" s="0" t="n">
        <f aca="false">VLOOKUP(F1173,Rates!$D$4:$E$8,2)</f>
        <v>0.85</v>
      </c>
      <c r="J1173" s="0" t="n">
        <f aca="false">ROUND(E1173*I1173,2)</f>
        <v>1777.55</v>
      </c>
      <c r="K1173" s="1" t="n">
        <f aca="false">PV(H1173/12,F1173/30,0,-E1173)</f>
        <v>2012.19526441022</v>
      </c>
      <c r="L1173" s="0" t="n">
        <f aca="false">ROUND(E1173-K1173,2)</f>
        <v>79.04</v>
      </c>
      <c r="M1173" s="0" t="n">
        <f aca="false">F1173/E1173</f>
        <v>0.132935483253955</v>
      </c>
    </row>
    <row r="1174" customFormat="false" ht="12.8" hidden="false" customHeight="false" outlineLevel="0" collapsed="false">
      <c r="A1174" s="0" t="s">
        <v>1734</v>
      </c>
      <c r="B1174" s="0" t="s">
        <v>51</v>
      </c>
      <c r="C1174" s="0" t="s">
        <v>36</v>
      </c>
      <c r="D1174" s="0" t="s">
        <v>20</v>
      </c>
      <c r="E1174" s="0" t="n">
        <v>30501.25</v>
      </c>
      <c r="F1174" s="0" t="n">
        <v>15</v>
      </c>
      <c r="G1174" s="0" t="str">
        <f aca="false">IF(F1174&lt;=30,"Current",IF(F1174&lt;=60,"31 to 60 days",IF(F1174&lt;=90,"61 to 90 days",IF(F1174&lt;=120,"91 to 120 days","Over 120 days"))))</f>
        <v>Current</v>
      </c>
      <c r="H1174" s="0" t="n">
        <f aca="false">VLOOKUP(D1174,Rates!$A$4:$B$7,2,FALSE())</f>
        <v>0.05</v>
      </c>
      <c r="I1174" s="0" t="n">
        <f aca="false">VLOOKUP(F1174,Rates!$D$4:$E$8,2)</f>
        <v>0.02</v>
      </c>
      <c r="J1174" s="0" t="n">
        <f aca="false">ROUND(E1174*I1174,2)</f>
        <v>610.03</v>
      </c>
      <c r="K1174" s="1" t="n">
        <f aca="false">PV(H1174/12,F1174/30,0,-E1174)</f>
        <v>30437.903618018</v>
      </c>
      <c r="L1174" s="0" t="n">
        <f aca="false">ROUND(E1174-K1174,2)</f>
        <v>63.35</v>
      </c>
      <c r="M1174" s="0" t="n">
        <f aca="false">F1174/E1174</f>
        <v>0.000491783123642474</v>
      </c>
    </row>
    <row r="1175" customFormat="false" ht="12.8" hidden="false" customHeight="false" outlineLevel="0" collapsed="false">
      <c r="A1175" s="0" t="s">
        <v>1735</v>
      </c>
      <c r="B1175" s="0" t="s">
        <v>33</v>
      </c>
      <c r="C1175" s="0" t="s">
        <v>26</v>
      </c>
      <c r="D1175" s="0" t="s">
        <v>20</v>
      </c>
      <c r="E1175" s="0" t="n">
        <v>37370.91</v>
      </c>
      <c r="F1175" s="0" t="n">
        <v>391</v>
      </c>
      <c r="G1175" s="0" t="str">
        <f aca="false">IF(F1175&lt;=30,"Current",IF(F1175&lt;=60,"31 to 60 days",IF(F1175&lt;=90,"61 to 90 days",IF(F1175&lt;=120,"91 to 120 days","Over 120 days"))))</f>
        <v>Over 120 days</v>
      </c>
      <c r="H1175" s="0" t="n">
        <f aca="false">VLOOKUP(D1175,Rates!$A$4:$B$7,2,FALSE())</f>
        <v>0.05</v>
      </c>
      <c r="I1175" s="0" t="n">
        <f aca="false">VLOOKUP(F1175,Rates!$D$4:$E$8,2)</f>
        <v>0.85</v>
      </c>
      <c r="J1175" s="0" t="n">
        <f aca="false">ROUND(E1175*I1175,2)</f>
        <v>31765.27</v>
      </c>
      <c r="K1175" s="1" t="n">
        <f aca="false">PV(H1175/12,F1175/30,0,-E1175)</f>
        <v>35399.5766848714</v>
      </c>
      <c r="L1175" s="0" t="n">
        <f aca="false">ROUND(E1175-K1175,2)</f>
        <v>1971.33</v>
      </c>
      <c r="M1175" s="0" t="n">
        <f aca="false">F1175/E1175</f>
        <v>0.0104626834080305</v>
      </c>
    </row>
    <row r="1176" customFormat="false" ht="12.8" hidden="false" customHeight="false" outlineLevel="0" collapsed="false">
      <c r="A1176" s="0" t="s">
        <v>1736</v>
      </c>
      <c r="B1176" s="0" t="s">
        <v>51</v>
      </c>
      <c r="C1176" s="0" t="s">
        <v>36</v>
      </c>
      <c r="D1176" s="0" t="s">
        <v>20</v>
      </c>
      <c r="E1176" s="0" t="n">
        <v>35815.2</v>
      </c>
      <c r="F1176" s="0" t="n">
        <v>151</v>
      </c>
      <c r="G1176" s="0" t="str">
        <f aca="false">IF(F1176&lt;=30,"Current",IF(F1176&lt;=60,"31 to 60 days",IF(F1176&lt;=90,"61 to 90 days",IF(F1176&lt;=120,"91 to 120 days","Over 120 days"))))</f>
        <v>Over 120 days</v>
      </c>
      <c r="H1176" s="0" t="n">
        <f aca="false">VLOOKUP(D1176,Rates!$A$4:$B$7,2,FALSE())</f>
        <v>0.05</v>
      </c>
      <c r="I1176" s="0" t="n">
        <f aca="false">VLOOKUP(F1176,Rates!$D$4:$E$8,2)</f>
        <v>0.85</v>
      </c>
      <c r="J1176" s="0" t="n">
        <f aca="false">ROUND(E1176*I1176,2)</f>
        <v>30442.92</v>
      </c>
      <c r="K1176" s="1" t="n">
        <f aca="false">PV(H1176/12,F1176/30,0,-E1176)</f>
        <v>35073.4254215448</v>
      </c>
      <c r="L1176" s="0" t="n">
        <f aca="false">ROUND(E1176-K1176,2)</f>
        <v>741.77</v>
      </c>
      <c r="M1176" s="0" t="n">
        <f aca="false">F1176/E1176</f>
        <v>0.00421608702450356</v>
      </c>
    </row>
    <row r="1177" customFormat="false" ht="12.8" hidden="false" customHeight="false" outlineLevel="0" collapsed="false">
      <c r="A1177" s="0" t="s">
        <v>1737</v>
      </c>
      <c r="B1177" s="0" t="s">
        <v>53</v>
      </c>
      <c r="C1177" s="0" t="s">
        <v>19</v>
      </c>
      <c r="D1177" s="0" t="s">
        <v>23</v>
      </c>
      <c r="E1177" s="0" t="n">
        <v>0</v>
      </c>
      <c r="F1177" s="0" t="n">
        <v>22</v>
      </c>
      <c r="G1177" s="0" t="str">
        <f aca="false">IF(F1177&lt;=30,"Current",IF(F1177&lt;=60,"31 to 60 days",IF(F1177&lt;=90,"61 to 90 days",IF(F1177&lt;=120,"91 to 120 days","Over 120 days"))))</f>
        <v>Current</v>
      </c>
      <c r="H1177" s="0" t="n">
        <f aca="false">VLOOKUP(D1177,Rates!$A$4:$B$7,2,FALSE())</f>
        <v>0.115</v>
      </c>
      <c r="I1177" s="0" t="n">
        <f aca="false">VLOOKUP(F1177,Rates!$D$4:$E$8,2)</f>
        <v>0.02</v>
      </c>
      <c r="J1177" s="0" t="n">
        <f aca="false">ROUND(E1177*I1177,2)</f>
        <v>0</v>
      </c>
      <c r="K1177" s="1" t="n">
        <f aca="false">PV(H1177/12,F1177/30,0,-E1177)</f>
        <v>-0</v>
      </c>
      <c r="L1177" s="0" t="n">
        <f aca="false">ROUND(E1177-K1177,2)</f>
        <v>0</v>
      </c>
      <c r="M1177" s="0" t="e">
        <f aca="false">F1177/E1177</f>
        <v>#DIV/0!</v>
      </c>
    </row>
    <row r="1178" customFormat="false" ht="12.8" hidden="false" customHeight="false" outlineLevel="0" collapsed="false">
      <c r="A1178" s="0" t="s">
        <v>1738</v>
      </c>
      <c r="B1178" s="0" t="s">
        <v>1051</v>
      </c>
      <c r="C1178" s="0" t="s">
        <v>31</v>
      </c>
      <c r="D1178" s="0" t="s">
        <v>16</v>
      </c>
      <c r="E1178" s="0" t="n">
        <v>11276.43</v>
      </c>
      <c r="F1178" s="0" t="n">
        <v>0</v>
      </c>
      <c r="G1178" s="0" t="str">
        <f aca="false">IF(F1178&lt;=30,"Current",IF(F1178&lt;=60,"31 to 60 days",IF(F1178&lt;=90,"61 to 90 days",IF(F1178&lt;=120,"91 to 120 days","Over 120 days"))))</f>
        <v>Current</v>
      </c>
      <c r="H1178" s="0" t="n">
        <f aca="false">VLOOKUP(D1178,Rates!$A$4:$B$7,2,FALSE())</f>
        <v>0.085</v>
      </c>
      <c r="I1178" s="0" t="n">
        <f aca="false">VLOOKUP(F1178,Rates!$D$4:$E$8,2)</f>
        <v>0.02</v>
      </c>
      <c r="J1178" s="0" t="n">
        <f aca="false">ROUND(E1178*I1178,2)</f>
        <v>225.53</v>
      </c>
      <c r="K1178" s="1" t="n">
        <f aca="false">PV(H1178/12,F1178/30,0,-E1178)</f>
        <v>11276.43</v>
      </c>
      <c r="L1178" s="0" t="n">
        <f aca="false">ROUND(E1178-K1178,2)</f>
        <v>0</v>
      </c>
      <c r="M1178" s="0" t="n">
        <f aca="false">F1178/E1178</f>
        <v>0</v>
      </c>
    </row>
    <row r="1179" customFormat="false" ht="12.8" hidden="false" customHeight="false" outlineLevel="0" collapsed="false">
      <c r="A1179" s="0" t="s">
        <v>1739</v>
      </c>
      <c r="B1179" s="0" t="s">
        <v>1740</v>
      </c>
      <c r="C1179" s="0" t="s">
        <v>42</v>
      </c>
      <c r="D1179" s="0" t="s">
        <v>16</v>
      </c>
      <c r="E1179" s="0" t="n">
        <v>37868.72</v>
      </c>
      <c r="F1179" s="0" t="n">
        <v>214</v>
      </c>
      <c r="G1179" s="0" t="str">
        <f aca="false">IF(F1179&lt;=30,"Current",IF(F1179&lt;=60,"31 to 60 days",IF(F1179&lt;=90,"61 to 90 days",IF(F1179&lt;=120,"91 to 120 days","Over 120 days"))))</f>
        <v>Over 120 days</v>
      </c>
      <c r="H1179" s="0" t="n">
        <f aca="false">VLOOKUP(D1179,Rates!$A$4:$B$7,2,FALSE())</f>
        <v>0.085</v>
      </c>
      <c r="I1179" s="0" t="n">
        <f aca="false">VLOOKUP(F1179,Rates!$D$4:$E$8,2)</f>
        <v>0.85</v>
      </c>
      <c r="J1179" s="0" t="n">
        <f aca="false">ROUND(E1179*I1179,2)</f>
        <v>32188.41</v>
      </c>
      <c r="K1179" s="1" t="n">
        <f aca="false">PV(H1179/12,F1179/30,0,-E1179)</f>
        <v>36009.2473275309</v>
      </c>
      <c r="L1179" s="0" t="n">
        <f aca="false">ROUND(E1179-K1179,2)</f>
        <v>1859.47</v>
      </c>
      <c r="M1179" s="0" t="n">
        <f aca="false">F1179/E1179</f>
        <v>0.00565110201770749</v>
      </c>
    </row>
    <row r="1180" customFormat="false" ht="12.8" hidden="false" customHeight="false" outlineLevel="0" collapsed="false">
      <c r="A1180" s="0" t="s">
        <v>1741</v>
      </c>
      <c r="B1180" s="0" t="s">
        <v>150</v>
      </c>
      <c r="C1180" s="0" t="s">
        <v>31</v>
      </c>
      <c r="D1180" s="0" t="s">
        <v>23</v>
      </c>
      <c r="E1180" s="0" t="n">
        <v>20681.03</v>
      </c>
      <c r="F1180" s="0" t="n">
        <v>107</v>
      </c>
      <c r="G1180" s="0" t="str">
        <f aca="false">IF(F1180&lt;=30,"Current",IF(F1180&lt;=60,"31 to 60 days",IF(F1180&lt;=90,"61 to 90 days",IF(F1180&lt;=120,"91 to 120 days","Over 120 days"))))</f>
        <v>91 to 120 days</v>
      </c>
      <c r="H1180" s="0" t="n">
        <f aca="false">VLOOKUP(D1180,Rates!$A$4:$B$7,2,FALSE())</f>
        <v>0.115</v>
      </c>
      <c r="I1180" s="0" t="n">
        <f aca="false">VLOOKUP(F1180,Rates!$D$4:$E$8,2)</f>
        <v>0.5</v>
      </c>
      <c r="J1180" s="0" t="n">
        <f aca="false">ROUND(E1180*I1180,2)</f>
        <v>10340.52</v>
      </c>
      <c r="K1180" s="1" t="n">
        <f aca="false">PV(H1180/12,F1180/30,0,-E1180)</f>
        <v>19989.3382183552</v>
      </c>
      <c r="L1180" s="0" t="n">
        <f aca="false">ROUND(E1180-K1180,2)</f>
        <v>691.69</v>
      </c>
      <c r="M1180" s="0" t="n">
        <f aca="false">F1180/E1180</f>
        <v>0.00517382354747322</v>
      </c>
    </row>
    <row r="1181" customFormat="false" ht="12.8" hidden="false" customHeight="false" outlineLevel="0" collapsed="false">
      <c r="A1181" s="0" t="s">
        <v>1742</v>
      </c>
      <c r="B1181" s="0" t="s">
        <v>18</v>
      </c>
      <c r="C1181" s="0" t="s">
        <v>19</v>
      </c>
      <c r="D1181" s="0" t="s">
        <v>20</v>
      </c>
      <c r="E1181" s="0" t="n">
        <v>13606.33</v>
      </c>
      <c r="F1181" s="0" t="n">
        <v>135</v>
      </c>
      <c r="G1181" s="0" t="str">
        <f aca="false">IF(F1181&lt;=30,"Current",IF(F1181&lt;=60,"31 to 60 days",IF(F1181&lt;=90,"61 to 90 days",IF(F1181&lt;=120,"91 to 120 days","Over 120 days"))))</f>
        <v>Over 120 days</v>
      </c>
      <c r="H1181" s="0" t="n">
        <f aca="false">VLOOKUP(D1181,Rates!$A$4:$B$7,2,FALSE())</f>
        <v>0.05</v>
      </c>
      <c r="I1181" s="0" t="n">
        <f aca="false">VLOOKUP(F1181,Rates!$D$4:$E$8,2)</f>
        <v>0.85</v>
      </c>
      <c r="J1181" s="0" t="n">
        <f aca="false">ROUND(E1181*I1181,2)</f>
        <v>11565.38</v>
      </c>
      <c r="K1181" s="1" t="n">
        <f aca="false">PV(H1181/12,F1181/30,0,-E1181)</f>
        <v>13354.1083618688</v>
      </c>
      <c r="L1181" s="0" t="n">
        <f aca="false">ROUND(E1181-K1181,2)</f>
        <v>252.22</v>
      </c>
      <c r="M1181" s="0" t="n">
        <f aca="false">F1181/E1181</f>
        <v>0.00992185254951188</v>
      </c>
    </row>
    <row r="1182" customFormat="false" ht="12.8" hidden="false" customHeight="false" outlineLevel="0" collapsed="false">
      <c r="A1182" s="0" t="s">
        <v>1743</v>
      </c>
      <c r="B1182" s="0" t="s">
        <v>526</v>
      </c>
      <c r="C1182" s="0" t="s">
        <v>26</v>
      </c>
      <c r="D1182" s="0" t="s">
        <v>23</v>
      </c>
      <c r="E1182" s="0" t="n">
        <v>8870.78</v>
      </c>
      <c r="F1182" s="0" t="n">
        <v>259</v>
      </c>
      <c r="G1182" s="0" t="str">
        <f aca="false">IF(F1182&lt;=30,"Current",IF(F1182&lt;=60,"31 to 60 days",IF(F1182&lt;=90,"61 to 90 days",IF(F1182&lt;=120,"91 to 120 days","Over 120 days"))))</f>
        <v>Over 120 days</v>
      </c>
      <c r="H1182" s="0" t="n">
        <f aca="false">VLOOKUP(D1182,Rates!$A$4:$B$7,2,FALSE())</f>
        <v>0.115</v>
      </c>
      <c r="I1182" s="0" t="n">
        <f aca="false">VLOOKUP(F1182,Rates!$D$4:$E$8,2)</f>
        <v>0.85</v>
      </c>
      <c r="J1182" s="0" t="n">
        <f aca="false">ROUND(E1182*I1182,2)</f>
        <v>7540.16</v>
      </c>
      <c r="K1182" s="1" t="n">
        <f aca="false">PV(H1182/12,F1182/30,0,-E1182)</f>
        <v>8169.60489556234</v>
      </c>
      <c r="L1182" s="0" t="n">
        <f aca="false">ROUND(E1182-K1182,2)</f>
        <v>701.18</v>
      </c>
      <c r="M1182" s="0" t="n">
        <f aca="false">F1182/E1182</f>
        <v>0.0291969815506641</v>
      </c>
    </row>
    <row r="1183" customFormat="false" ht="12.8" hidden="false" customHeight="false" outlineLevel="0" collapsed="false">
      <c r="A1183" s="0" t="s">
        <v>1744</v>
      </c>
      <c r="B1183" s="0" t="s">
        <v>1745</v>
      </c>
      <c r="C1183" s="0" t="s">
        <v>26</v>
      </c>
      <c r="D1183" s="0" t="s">
        <v>16</v>
      </c>
      <c r="E1183" s="0" t="n">
        <v>10118.45</v>
      </c>
      <c r="F1183" s="0" t="n">
        <v>299</v>
      </c>
      <c r="G1183" s="0" t="str">
        <f aca="false">IF(F1183&lt;=30,"Current",IF(F1183&lt;=60,"31 to 60 days",IF(F1183&lt;=90,"61 to 90 days",IF(F1183&lt;=120,"91 to 120 days","Over 120 days"))))</f>
        <v>Over 120 days</v>
      </c>
      <c r="H1183" s="0" t="n">
        <f aca="false">VLOOKUP(D1183,Rates!$A$4:$B$7,2,FALSE())</f>
        <v>0.085</v>
      </c>
      <c r="I1183" s="0" t="n">
        <f aca="false">VLOOKUP(F1183,Rates!$D$4:$E$8,2)</f>
        <v>0.85</v>
      </c>
      <c r="J1183" s="0" t="n">
        <f aca="false">ROUND(E1183*I1183,2)</f>
        <v>8600.68</v>
      </c>
      <c r="K1183" s="1" t="n">
        <f aca="false">PV(H1183/12,F1183/30,0,-E1183)</f>
        <v>9431.09421285518</v>
      </c>
      <c r="L1183" s="0" t="n">
        <f aca="false">ROUND(E1183-K1183,2)</f>
        <v>687.36</v>
      </c>
      <c r="M1183" s="0" t="n">
        <f aca="false">F1183/E1183</f>
        <v>0.0295499804812002</v>
      </c>
    </row>
    <row r="1184" customFormat="false" ht="12.8" hidden="false" customHeight="false" outlineLevel="0" collapsed="false">
      <c r="A1184" s="0" t="s">
        <v>1746</v>
      </c>
      <c r="B1184" s="0" t="s">
        <v>413</v>
      </c>
      <c r="C1184" s="0" t="s">
        <v>36</v>
      </c>
      <c r="D1184" s="0" t="s">
        <v>23</v>
      </c>
      <c r="E1184" s="0" t="n">
        <v>12939.1</v>
      </c>
      <c r="F1184" s="0" t="n">
        <v>306</v>
      </c>
      <c r="G1184" s="0" t="str">
        <f aca="false">IF(F1184&lt;=30,"Current",IF(F1184&lt;=60,"31 to 60 days",IF(F1184&lt;=90,"61 to 90 days",IF(F1184&lt;=120,"91 to 120 days","Over 120 days"))))</f>
        <v>Over 120 days</v>
      </c>
      <c r="H1184" s="0" t="n">
        <f aca="false">VLOOKUP(D1184,Rates!$A$4:$B$7,2,FALSE())</f>
        <v>0.115</v>
      </c>
      <c r="I1184" s="0" t="n">
        <f aca="false">VLOOKUP(F1184,Rates!$D$4:$E$8,2)</f>
        <v>0.85</v>
      </c>
      <c r="J1184" s="0" t="n">
        <f aca="false">ROUND(E1184*I1184,2)</f>
        <v>10998.24</v>
      </c>
      <c r="K1184" s="1" t="n">
        <f aca="false">PV(H1184/12,F1184/30,0,-E1184)</f>
        <v>11739.6165165283</v>
      </c>
      <c r="L1184" s="0" t="n">
        <f aca="false">ROUND(E1184-K1184,2)</f>
        <v>1199.48</v>
      </c>
      <c r="M1184" s="0" t="n">
        <f aca="false">F1184/E1184</f>
        <v>0.0236492491749813</v>
      </c>
    </row>
    <row r="1185" customFormat="false" ht="12.8" hidden="false" customHeight="false" outlineLevel="0" collapsed="false">
      <c r="A1185" s="0" t="s">
        <v>1747</v>
      </c>
      <c r="B1185" s="0" t="s">
        <v>1748</v>
      </c>
      <c r="C1185" s="0" t="s">
        <v>19</v>
      </c>
      <c r="D1185" s="0" t="s">
        <v>49</v>
      </c>
      <c r="E1185" s="0" t="n">
        <v>14737.85</v>
      </c>
      <c r="F1185" s="0" t="n">
        <v>282</v>
      </c>
      <c r="G1185" s="0" t="str">
        <f aca="false">IF(F1185&lt;=30,"Current",IF(F1185&lt;=60,"31 to 60 days",IF(F1185&lt;=90,"61 to 90 days",IF(F1185&lt;=120,"91 to 120 days","Over 120 days"))))</f>
        <v>Over 120 days</v>
      </c>
      <c r="H1185" s="0" t="n">
        <f aca="false">VLOOKUP(D1185,Rates!$A$4:$B$7,2,FALSE())</f>
        <v>0.02</v>
      </c>
      <c r="I1185" s="0" t="n">
        <f aca="false">VLOOKUP(F1185,Rates!$D$4:$E$8,2)</f>
        <v>0.85</v>
      </c>
      <c r="J1185" s="0" t="n">
        <f aca="false">ROUND(E1185*I1185,2)</f>
        <v>12527.17</v>
      </c>
      <c r="K1185" s="1" t="n">
        <f aca="false">PV(H1185/12,F1185/30,0,-E1185)</f>
        <v>14508.9454809178</v>
      </c>
      <c r="L1185" s="0" t="n">
        <f aca="false">ROUND(E1185-K1185,2)</f>
        <v>228.9</v>
      </c>
      <c r="M1185" s="0" t="n">
        <f aca="false">F1185/E1185</f>
        <v>0.0191344056290436</v>
      </c>
    </row>
    <row r="1186" customFormat="false" ht="12.8" hidden="false" customHeight="false" outlineLevel="0" collapsed="false">
      <c r="A1186" s="0" t="s">
        <v>1749</v>
      </c>
      <c r="B1186" s="0" t="s">
        <v>1750</v>
      </c>
      <c r="C1186" s="0" t="s">
        <v>31</v>
      </c>
      <c r="D1186" s="0" t="s">
        <v>16</v>
      </c>
      <c r="E1186" s="0" t="n">
        <v>39295.84</v>
      </c>
      <c r="F1186" s="0" t="n">
        <v>31</v>
      </c>
      <c r="G1186" s="0" t="str">
        <f aca="false">IF(F1186&lt;=30,"Current",IF(F1186&lt;=60,"31 to 60 days",IF(F1186&lt;=90,"61 to 90 days",IF(F1186&lt;=120,"91 to 120 days","Over 120 days"))))</f>
        <v>31 to 60 days</v>
      </c>
      <c r="H1186" s="0" t="n">
        <f aca="false">VLOOKUP(D1186,Rates!$A$4:$B$7,2,FALSE())</f>
        <v>0.085</v>
      </c>
      <c r="I1186" s="0" t="n">
        <f aca="false">VLOOKUP(F1186,Rates!$D$4:$E$8,2)</f>
        <v>0.1</v>
      </c>
      <c r="J1186" s="0" t="n">
        <f aca="false">ROUND(E1186*I1186,2)</f>
        <v>3929.58</v>
      </c>
      <c r="K1186" s="1" t="n">
        <f aca="false">PV(H1186/12,F1186/30,0,-E1186)</f>
        <v>39010.2728430145</v>
      </c>
      <c r="L1186" s="0" t="n">
        <f aca="false">ROUND(E1186-K1186,2)</f>
        <v>285.57</v>
      </c>
      <c r="M1186" s="0" t="n">
        <f aca="false">F1186/E1186</f>
        <v>0.000788887576903815</v>
      </c>
    </row>
    <row r="1187" customFormat="false" ht="12.8" hidden="false" customHeight="false" outlineLevel="0" collapsed="false">
      <c r="A1187" s="0" t="s">
        <v>1751</v>
      </c>
      <c r="B1187" s="0" t="s">
        <v>30</v>
      </c>
      <c r="C1187" s="0" t="s">
        <v>31</v>
      </c>
      <c r="D1187" s="0" t="s">
        <v>20</v>
      </c>
      <c r="E1187" s="0" t="n">
        <v>4999.98</v>
      </c>
      <c r="F1187" s="0" t="n">
        <v>63</v>
      </c>
      <c r="G1187" s="0" t="str">
        <f aca="false">IF(F1187&lt;=30,"Current",IF(F1187&lt;=60,"31 to 60 days",IF(F1187&lt;=90,"61 to 90 days",IF(F1187&lt;=120,"91 to 120 days","Over 120 days"))))</f>
        <v>61 to 90 days</v>
      </c>
      <c r="H1187" s="0" t="n">
        <f aca="false">VLOOKUP(D1187,Rates!$A$4:$B$7,2,FALSE())</f>
        <v>0.05</v>
      </c>
      <c r="I1187" s="0" t="n">
        <f aca="false">VLOOKUP(F1187,Rates!$D$4:$E$8,2)</f>
        <v>0.25</v>
      </c>
      <c r="J1187" s="0" t="n">
        <f aca="false">ROUND(E1187*I1187,2)</f>
        <v>1250</v>
      </c>
      <c r="K1187" s="1" t="n">
        <f aca="false">PV(H1187/12,F1187/30,0,-E1187)</f>
        <v>4956.51112548684</v>
      </c>
      <c r="L1187" s="0" t="n">
        <f aca="false">ROUND(E1187-K1187,2)</f>
        <v>43.47</v>
      </c>
      <c r="M1187" s="0" t="n">
        <f aca="false">F1187/E1187</f>
        <v>0.0126000504002016</v>
      </c>
    </row>
    <row r="1188" customFormat="false" ht="12.8" hidden="false" customHeight="false" outlineLevel="0" collapsed="false">
      <c r="A1188" s="0" t="s">
        <v>1752</v>
      </c>
      <c r="B1188" s="0" t="s">
        <v>326</v>
      </c>
      <c r="C1188" s="0" t="s">
        <v>42</v>
      </c>
      <c r="D1188" s="0" t="s">
        <v>23</v>
      </c>
      <c r="E1188" s="0" t="n">
        <v>44572.83</v>
      </c>
      <c r="F1188" s="0" t="n">
        <v>123</v>
      </c>
      <c r="G1188" s="0" t="str">
        <f aca="false">IF(F1188&lt;=30,"Current",IF(F1188&lt;=60,"31 to 60 days",IF(F1188&lt;=90,"61 to 90 days",IF(F1188&lt;=120,"91 to 120 days","Over 120 days"))))</f>
        <v>Over 120 days</v>
      </c>
      <c r="H1188" s="0" t="n">
        <f aca="false">VLOOKUP(D1188,Rates!$A$4:$B$7,2,FALSE())</f>
        <v>0.115</v>
      </c>
      <c r="I1188" s="0" t="n">
        <f aca="false">VLOOKUP(F1188,Rates!$D$4:$E$8,2)</f>
        <v>0.85</v>
      </c>
      <c r="J1188" s="0" t="n">
        <f aca="false">ROUND(E1188*I1188,2)</f>
        <v>37886.91</v>
      </c>
      <c r="K1188" s="1" t="n">
        <f aca="false">PV(H1188/12,F1188/30,0,-E1188)</f>
        <v>42863.4676065067</v>
      </c>
      <c r="L1188" s="0" t="n">
        <f aca="false">ROUND(E1188-K1188,2)</f>
        <v>1709.36</v>
      </c>
      <c r="M1188" s="0" t="n">
        <f aca="false">F1188/E1188</f>
        <v>0.00275952861866747</v>
      </c>
    </row>
    <row r="1189" customFormat="false" ht="12.8" hidden="false" customHeight="false" outlineLevel="0" collapsed="false">
      <c r="A1189" s="0" t="s">
        <v>1753</v>
      </c>
      <c r="B1189" s="0" t="s">
        <v>1754</v>
      </c>
      <c r="C1189" s="0" t="s">
        <v>15</v>
      </c>
      <c r="D1189" s="0" t="s">
        <v>16</v>
      </c>
      <c r="E1189" s="0" t="n">
        <v>17268.94</v>
      </c>
      <c r="F1189" s="0" t="n">
        <v>134</v>
      </c>
      <c r="G1189" s="0" t="str">
        <f aca="false">IF(F1189&lt;=30,"Current",IF(F1189&lt;=60,"31 to 60 days",IF(F1189&lt;=90,"61 to 90 days",IF(F1189&lt;=120,"91 to 120 days","Over 120 days"))))</f>
        <v>Over 120 days</v>
      </c>
      <c r="H1189" s="0" t="n">
        <f aca="false">VLOOKUP(D1189,Rates!$A$4:$B$7,2,FALSE())</f>
        <v>0.085</v>
      </c>
      <c r="I1189" s="0" t="n">
        <f aca="false">VLOOKUP(F1189,Rates!$D$4:$E$8,2)</f>
        <v>0.85</v>
      </c>
      <c r="J1189" s="0" t="n">
        <f aca="false">ROUND(E1189*I1189,2)</f>
        <v>14678.6</v>
      </c>
      <c r="K1189" s="1" t="n">
        <f aca="false">PV(H1189/12,F1189/30,0,-E1189)</f>
        <v>16732.9888526271</v>
      </c>
      <c r="L1189" s="0" t="n">
        <f aca="false">ROUND(E1189-K1189,2)</f>
        <v>535.95</v>
      </c>
      <c r="M1189" s="0" t="n">
        <f aca="false">F1189/E1189</f>
        <v>0.00775959613039364</v>
      </c>
    </row>
    <row r="1190" customFormat="false" ht="12.8" hidden="false" customHeight="false" outlineLevel="0" collapsed="false">
      <c r="A1190" s="0" t="s">
        <v>1755</v>
      </c>
      <c r="B1190" s="0" t="s">
        <v>1756</v>
      </c>
      <c r="C1190" s="0" t="s">
        <v>36</v>
      </c>
      <c r="D1190" s="0" t="s">
        <v>16</v>
      </c>
      <c r="E1190" s="0" t="n">
        <v>8619.4</v>
      </c>
      <c r="F1190" s="0" t="n">
        <v>287</v>
      </c>
      <c r="G1190" s="0" t="str">
        <f aca="false">IF(F1190&lt;=30,"Current",IF(F1190&lt;=60,"31 to 60 days",IF(F1190&lt;=90,"61 to 90 days",IF(F1190&lt;=120,"91 to 120 days","Over 120 days"))))</f>
        <v>Over 120 days</v>
      </c>
      <c r="H1190" s="0" t="n">
        <f aca="false">VLOOKUP(D1190,Rates!$A$4:$B$7,2,FALSE())</f>
        <v>0.085</v>
      </c>
      <c r="I1190" s="0" t="n">
        <f aca="false">VLOOKUP(F1190,Rates!$D$4:$E$8,2)</f>
        <v>0.85</v>
      </c>
      <c r="J1190" s="0" t="n">
        <f aca="false">ROUND(E1190*I1190,2)</f>
        <v>7326.49</v>
      </c>
      <c r="K1190" s="1" t="n">
        <f aca="false">PV(H1190/12,F1190/30,0,-E1190)</f>
        <v>8056.59054378903</v>
      </c>
      <c r="L1190" s="0" t="n">
        <f aca="false">ROUND(E1190-K1190,2)</f>
        <v>562.81</v>
      </c>
      <c r="M1190" s="0" t="n">
        <f aca="false">F1190/E1190</f>
        <v>0.0332969812283918</v>
      </c>
    </row>
    <row r="1191" customFormat="false" ht="12.8" hidden="false" customHeight="false" outlineLevel="0" collapsed="false">
      <c r="A1191" s="0" t="s">
        <v>1757</v>
      </c>
      <c r="B1191" s="0" t="s">
        <v>922</v>
      </c>
      <c r="C1191" s="0" t="s">
        <v>19</v>
      </c>
      <c r="D1191" s="0" t="s">
        <v>49</v>
      </c>
      <c r="E1191" s="0" t="n">
        <v>9394.59</v>
      </c>
      <c r="F1191" s="0" t="n">
        <v>372</v>
      </c>
      <c r="G1191" s="0" t="str">
        <f aca="false">IF(F1191&lt;=30,"Current",IF(F1191&lt;=60,"31 to 60 days",IF(F1191&lt;=90,"61 to 90 days",IF(F1191&lt;=120,"91 to 120 days","Over 120 days"))))</f>
        <v>Over 120 days</v>
      </c>
      <c r="H1191" s="0" t="n">
        <f aca="false">VLOOKUP(D1191,Rates!$A$4:$B$7,2,FALSE())</f>
        <v>0.02</v>
      </c>
      <c r="I1191" s="0" t="n">
        <f aca="false">VLOOKUP(F1191,Rates!$D$4:$E$8,2)</f>
        <v>0.85</v>
      </c>
      <c r="J1191" s="0" t="n">
        <f aca="false">ROUND(E1191*I1191,2)</f>
        <v>7985.4</v>
      </c>
      <c r="K1191" s="1" t="n">
        <f aca="false">PV(H1191/12,F1191/30,0,-E1191)</f>
        <v>9202.5859687909</v>
      </c>
      <c r="L1191" s="0" t="n">
        <f aca="false">ROUND(E1191-K1191,2)</f>
        <v>192</v>
      </c>
      <c r="M1191" s="0" t="n">
        <f aca="false">F1191/E1191</f>
        <v>0.0395972575705805</v>
      </c>
    </row>
    <row r="1192" customFormat="false" ht="12.8" hidden="false" customHeight="false" outlineLevel="0" collapsed="false">
      <c r="A1192" s="0" t="s">
        <v>1758</v>
      </c>
      <c r="B1192" s="0" t="s">
        <v>1759</v>
      </c>
      <c r="C1192" s="0" t="s">
        <v>42</v>
      </c>
      <c r="D1192" s="0" t="s">
        <v>16</v>
      </c>
      <c r="E1192" s="0" t="n">
        <v>23627.23</v>
      </c>
      <c r="F1192" s="0" t="n">
        <v>311</v>
      </c>
      <c r="G1192" s="0" t="str">
        <f aca="false">IF(F1192&lt;=30,"Current",IF(F1192&lt;=60,"31 to 60 days",IF(F1192&lt;=90,"61 to 90 days",IF(F1192&lt;=120,"91 to 120 days","Over 120 days"))))</f>
        <v>Over 120 days</v>
      </c>
      <c r="H1192" s="0" t="n">
        <f aca="false">VLOOKUP(D1192,Rates!$A$4:$B$7,2,FALSE())</f>
        <v>0.085</v>
      </c>
      <c r="I1192" s="0" t="n">
        <f aca="false">VLOOKUP(F1192,Rates!$D$4:$E$8,2)</f>
        <v>0.85</v>
      </c>
      <c r="J1192" s="0" t="n">
        <f aca="false">ROUND(E1192*I1192,2)</f>
        <v>20083.15</v>
      </c>
      <c r="K1192" s="1" t="n">
        <f aca="false">PV(H1192/12,F1192/30,0,-E1192)</f>
        <v>21960.1215096075</v>
      </c>
      <c r="L1192" s="0" t="n">
        <f aca="false">ROUND(E1192-K1192,2)</f>
        <v>1667.11</v>
      </c>
      <c r="M1192" s="0" t="n">
        <f aca="false">F1192/E1192</f>
        <v>0.013162778709142</v>
      </c>
    </row>
    <row r="1193" customFormat="false" ht="12.8" hidden="false" customHeight="false" outlineLevel="0" collapsed="false">
      <c r="A1193" s="0" t="s">
        <v>1760</v>
      </c>
      <c r="B1193" s="0" t="s">
        <v>1007</v>
      </c>
      <c r="C1193" s="0" t="s">
        <v>19</v>
      </c>
      <c r="D1193" s="0" t="s">
        <v>23</v>
      </c>
      <c r="E1193" s="0" t="n">
        <v>1912.77</v>
      </c>
      <c r="F1193" s="0" t="n">
        <v>378</v>
      </c>
      <c r="G1193" s="0" t="str">
        <f aca="false">IF(F1193&lt;=30,"Current",IF(F1193&lt;=60,"31 to 60 days",IF(F1193&lt;=90,"61 to 90 days",IF(F1193&lt;=120,"91 to 120 days","Over 120 days"))))</f>
        <v>Over 120 days</v>
      </c>
      <c r="H1193" s="0" t="n">
        <f aca="false">VLOOKUP(D1193,Rates!$A$4:$B$7,2,FALSE())</f>
        <v>0.115</v>
      </c>
      <c r="I1193" s="0" t="n">
        <f aca="false">VLOOKUP(F1193,Rates!$D$4:$E$8,2)</f>
        <v>0.85</v>
      </c>
      <c r="J1193" s="0" t="n">
        <f aca="false">ROUND(E1193*I1193,2)</f>
        <v>1625.85</v>
      </c>
      <c r="K1193" s="1" t="n">
        <f aca="false">PV(H1193/12,F1193/30,0,-E1193)</f>
        <v>1696.17781694473</v>
      </c>
      <c r="L1193" s="0" t="n">
        <f aca="false">ROUND(E1193-K1193,2)</f>
        <v>216.59</v>
      </c>
      <c r="M1193" s="0" t="n">
        <f aca="false">F1193/E1193</f>
        <v>0.19761915964805</v>
      </c>
    </row>
    <row r="1194" customFormat="false" ht="12.8" hidden="false" customHeight="false" outlineLevel="0" collapsed="false">
      <c r="A1194" s="0" t="s">
        <v>1761</v>
      </c>
      <c r="B1194" s="0" t="s">
        <v>138</v>
      </c>
      <c r="C1194" s="0" t="s">
        <v>15</v>
      </c>
      <c r="D1194" s="0" t="s">
        <v>23</v>
      </c>
      <c r="E1194" s="0" t="n">
        <v>25626.33</v>
      </c>
      <c r="F1194" s="0" t="n">
        <v>358</v>
      </c>
      <c r="G1194" s="0" t="str">
        <f aca="false">IF(F1194&lt;=30,"Current",IF(F1194&lt;=60,"31 to 60 days",IF(F1194&lt;=90,"61 to 90 days",IF(F1194&lt;=120,"91 to 120 days","Over 120 days"))))</f>
        <v>Over 120 days</v>
      </c>
      <c r="H1194" s="0" t="n">
        <f aca="false">VLOOKUP(D1194,Rates!$A$4:$B$7,2,FALSE())</f>
        <v>0.115</v>
      </c>
      <c r="I1194" s="0" t="n">
        <f aca="false">VLOOKUP(F1194,Rates!$D$4:$E$8,2)</f>
        <v>0.85</v>
      </c>
      <c r="J1194" s="0" t="n">
        <f aca="false">ROUND(E1194*I1194,2)</f>
        <v>21782.38</v>
      </c>
      <c r="K1194" s="1" t="n">
        <f aca="false">PV(H1194/12,F1194/30,0,-E1194)</f>
        <v>22869.4905470484</v>
      </c>
      <c r="L1194" s="0" t="n">
        <f aca="false">ROUND(E1194-K1194,2)</f>
        <v>2756.84</v>
      </c>
      <c r="M1194" s="0" t="n">
        <f aca="false">F1194/E1194</f>
        <v>0.0139700066298998</v>
      </c>
    </row>
    <row r="1195" customFormat="false" ht="12.8" hidden="false" customHeight="false" outlineLevel="0" collapsed="false">
      <c r="A1195" s="0" t="s">
        <v>1762</v>
      </c>
      <c r="B1195" s="0" t="s">
        <v>78</v>
      </c>
      <c r="C1195" s="0" t="s">
        <v>19</v>
      </c>
      <c r="D1195" s="0" t="s">
        <v>23</v>
      </c>
      <c r="E1195" s="0" t="n">
        <v>2241.38</v>
      </c>
      <c r="F1195" s="0" t="n">
        <v>134</v>
      </c>
      <c r="G1195" s="0" t="str">
        <f aca="false">IF(F1195&lt;=30,"Current",IF(F1195&lt;=60,"31 to 60 days",IF(F1195&lt;=90,"61 to 90 days",IF(F1195&lt;=120,"91 to 120 days","Over 120 days"))))</f>
        <v>Over 120 days</v>
      </c>
      <c r="H1195" s="0" t="n">
        <f aca="false">VLOOKUP(D1195,Rates!$A$4:$B$7,2,FALSE())</f>
        <v>0.115</v>
      </c>
      <c r="I1195" s="0" t="n">
        <f aca="false">VLOOKUP(F1195,Rates!$D$4:$E$8,2)</f>
        <v>0.85</v>
      </c>
      <c r="J1195" s="0" t="n">
        <f aca="false">ROUND(E1195*I1195,2)</f>
        <v>1905.17</v>
      </c>
      <c r="K1195" s="1" t="n">
        <f aca="false">PV(H1195/12,F1195/30,0,-E1195)</f>
        <v>2147.89866893352</v>
      </c>
      <c r="L1195" s="0" t="n">
        <f aca="false">ROUND(E1195-K1195,2)</f>
        <v>93.48</v>
      </c>
      <c r="M1195" s="0" t="n">
        <f aca="false">F1195/E1195</f>
        <v>0.0597845969893548</v>
      </c>
    </row>
    <row r="1196" customFormat="false" ht="12.8" hidden="false" customHeight="false" outlineLevel="0" collapsed="false">
      <c r="A1196" s="0" t="s">
        <v>1763</v>
      </c>
      <c r="B1196" s="0" t="s">
        <v>198</v>
      </c>
      <c r="C1196" s="0" t="s">
        <v>19</v>
      </c>
      <c r="D1196" s="0" t="s">
        <v>23</v>
      </c>
      <c r="E1196" s="0" t="n">
        <v>31857.54</v>
      </c>
      <c r="F1196" s="0" t="n">
        <v>300</v>
      </c>
      <c r="G1196" s="0" t="str">
        <f aca="false">IF(F1196&lt;=30,"Current",IF(F1196&lt;=60,"31 to 60 days",IF(F1196&lt;=90,"61 to 90 days",IF(F1196&lt;=120,"91 to 120 days","Over 120 days"))))</f>
        <v>Over 120 days</v>
      </c>
      <c r="H1196" s="0" t="n">
        <f aca="false">VLOOKUP(D1196,Rates!$A$4:$B$7,2,FALSE())</f>
        <v>0.115</v>
      </c>
      <c r="I1196" s="0" t="n">
        <f aca="false">VLOOKUP(F1196,Rates!$D$4:$E$8,2)</f>
        <v>0.85</v>
      </c>
      <c r="J1196" s="0" t="n">
        <f aca="false">ROUND(E1196*I1196,2)</f>
        <v>27078.91</v>
      </c>
      <c r="K1196" s="1" t="n">
        <f aca="false">PV(H1196/12,F1196/30,0,-E1196)</f>
        <v>28959.4635607135</v>
      </c>
      <c r="L1196" s="0" t="n">
        <f aca="false">ROUND(E1196-K1196,2)</f>
        <v>2898.08</v>
      </c>
      <c r="M1196" s="0" t="n">
        <f aca="false">F1196/E1196</f>
        <v>0.00941692296392</v>
      </c>
    </row>
    <row r="1197" customFormat="false" ht="12.8" hidden="false" customHeight="false" outlineLevel="0" collapsed="false">
      <c r="A1197" s="0" t="s">
        <v>1764</v>
      </c>
      <c r="B1197" s="0" t="s">
        <v>33</v>
      </c>
      <c r="C1197" s="0" t="s">
        <v>26</v>
      </c>
      <c r="D1197" s="0" t="s">
        <v>20</v>
      </c>
      <c r="E1197" s="0" t="n">
        <v>34893.95</v>
      </c>
      <c r="F1197" s="0" t="n">
        <v>372</v>
      </c>
      <c r="G1197" s="0" t="str">
        <f aca="false">IF(F1197&lt;=30,"Current",IF(F1197&lt;=60,"31 to 60 days",IF(F1197&lt;=90,"61 to 90 days",IF(F1197&lt;=120,"91 to 120 days","Over 120 days"))))</f>
        <v>Over 120 days</v>
      </c>
      <c r="H1197" s="0" t="n">
        <f aca="false">VLOOKUP(D1197,Rates!$A$4:$B$7,2,FALSE())</f>
        <v>0.05</v>
      </c>
      <c r="I1197" s="0" t="n">
        <f aca="false">VLOOKUP(F1197,Rates!$D$4:$E$8,2)</f>
        <v>0.85</v>
      </c>
      <c r="J1197" s="0" t="n">
        <f aca="false">ROUND(E1197*I1197,2)</f>
        <v>29659.86</v>
      </c>
      <c r="K1197" s="1" t="n">
        <f aca="false">PV(H1197/12,F1197/30,0,-E1197)</f>
        <v>33140.4349290237</v>
      </c>
      <c r="L1197" s="0" t="n">
        <f aca="false">ROUND(E1197-K1197,2)</f>
        <v>1753.52</v>
      </c>
      <c r="M1197" s="0" t="n">
        <f aca="false">F1197/E1197</f>
        <v>0.010660873876417</v>
      </c>
    </row>
    <row r="1198" customFormat="false" ht="12.8" hidden="false" customHeight="false" outlineLevel="0" collapsed="false">
      <c r="A1198" s="0" t="s">
        <v>1765</v>
      </c>
      <c r="B1198" s="0" t="s">
        <v>55</v>
      </c>
      <c r="C1198" s="0" t="s">
        <v>26</v>
      </c>
      <c r="D1198" s="0" t="s">
        <v>23</v>
      </c>
      <c r="E1198" s="0" t="n">
        <v>993.02</v>
      </c>
      <c r="F1198" s="0" t="n">
        <v>265</v>
      </c>
      <c r="G1198" s="0" t="str">
        <f aca="false">IF(F1198&lt;=30,"Current",IF(F1198&lt;=60,"31 to 60 days",IF(F1198&lt;=90,"61 to 90 days",IF(F1198&lt;=120,"91 to 120 days","Over 120 days"))))</f>
        <v>Over 120 days</v>
      </c>
      <c r="H1198" s="0" t="n">
        <f aca="false">VLOOKUP(D1198,Rates!$A$4:$B$7,2,FALSE())</f>
        <v>0.115</v>
      </c>
      <c r="I1198" s="0" t="n">
        <f aca="false">VLOOKUP(F1198,Rates!$D$4:$E$8,2)</f>
        <v>0.85</v>
      </c>
      <c r="J1198" s="0" t="n">
        <f aca="false">ROUND(E1198*I1198,2)</f>
        <v>844.07</v>
      </c>
      <c r="K1198" s="1" t="n">
        <f aca="false">PV(H1198/12,F1198/30,0,-E1198)</f>
        <v>912.785653973241</v>
      </c>
      <c r="L1198" s="0" t="n">
        <f aca="false">ROUND(E1198-K1198,2)</f>
        <v>80.23</v>
      </c>
      <c r="M1198" s="0" t="n">
        <f aca="false">F1198/E1198</f>
        <v>0.26686270165757</v>
      </c>
    </row>
    <row r="1199" customFormat="false" ht="12.8" hidden="false" customHeight="false" outlineLevel="0" collapsed="false">
      <c r="A1199" s="0" t="s">
        <v>1766</v>
      </c>
      <c r="B1199" s="0" t="s">
        <v>1767</v>
      </c>
      <c r="C1199" s="0" t="s">
        <v>19</v>
      </c>
      <c r="D1199" s="0" t="s">
        <v>49</v>
      </c>
      <c r="E1199" s="0" t="n">
        <v>42175.49</v>
      </c>
      <c r="F1199" s="0" t="n">
        <v>214</v>
      </c>
      <c r="G1199" s="0" t="str">
        <f aca="false">IF(F1199&lt;=30,"Current",IF(F1199&lt;=60,"31 to 60 days",IF(F1199&lt;=90,"61 to 90 days",IF(F1199&lt;=120,"91 to 120 days","Over 120 days"))))</f>
        <v>Over 120 days</v>
      </c>
      <c r="H1199" s="0" t="n">
        <f aca="false">VLOOKUP(D1199,Rates!$A$4:$B$7,2,FALSE())</f>
        <v>0.02</v>
      </c>
      <c r="I1199" s="0" t="n">
        <f aca="false">VLOOKUP(F1199,Rates!$D$4:$E$8,2)</f>
        <v>0.85</v>
      </c>
      <c r="J1199" s="0" t="n">
        <f aca="false">ROUND(E1199*I1199,2)</f>
        <v>35849.17</v>
      </c>
      <c r="K1199" s="1" t="n">
        <f aca="false">PV(H1199/12,F1199/30,0,-E1199)</f>
        <v>41677.4516251948</v>
      </c>
      <c r="L1199" s="0" t="n">
        <f aca="false">ROUND(E1199-K1199,2)</f>
        <v>498.04</v>
      </c>
      <c r="M1199" s="0" t="n">
        <f aca="false">F1199/E1199</f>
        <v>0.00507403707698476</v>
      </c>
    </row>
    <row r="1200" customFormat="false" ht="12.8" hidden="false" customHeight="false" outlineLevel="0" collapsed="false">
      <c r="A1200" s="0" t="s">
        <v>1768</v>
      </c>
      <c r="B1200" s="0" t="s">
        <v>1769</v>
      </c>
      <c r="C1200" s="0" t="s">
        <v>31</v>
      </c>
      <c r="D1200" s="0" t="s">
        <v>16</v>
      </c>
      <c r="E1200" s="0" t="n">
        <v>13336.32</v>
      </c>
      <c r="F1200" s="0" t="n">
        <v>286</v>
      </c>
      <c r="G1200" s="0" t="str">
        <f aca="false">IF(F1200&lt;=30,"Current",IF(F1200&lt;=60,"31 to 60 days",IF(F1200&lt;=90,"61 to 90 days",IF(F1200&lt;=120,"91 to 120 days","Over 120 days"))))</f>
        <v>Over 120 days</v>
      </c>
      <c r="H1200" s="0" t="n">
        <f aca="false">VLOOKUP(D1200,Rates!$A$4:$B$7,2,FALSE())</f>
        <v>0.085</v>
      </c>
      <c r="I1200" s="0" t="n">
        <f aca="false">VLOOKUP(F1200,Rates!$D$4:$E$8,2)</f>
        <v>0.85</v>
      </c>
      <c r="J1200" s="0" t="n">
        <f aca="false">ROUND(E1200*I1200,2)</f>
        <v>11335.87</v>
      </c>
      <c r="K1200" s="1" t="n">
        <f aca="false">PV(H1200/12,F1200/30,0,-E1200)</f>
        <v>12468.4493317943</v>
      </c>
      <c r="L1200" s="0" t="n">
        <f aca="false">ROUND(E1200-K1200,2)</f>
        <v>867.87</v>
      </c>
      <c r="M1200" s="0" t="n">
        <f aca="false">F1200/E1200</f>
        <v>0.0214451962760342</v>
      </c>
    </row>
    <row r="1201" customFormat="false" ht="12.8" hidden="false" customHeight="false" outlineLevel="0" collapsed="false">
      <c r="A1201" s="0" t="s">
        <v>1770</v>
      </c>
      <c r="B1201" s="0" t="s">
        <v>1007</v>
      </c>
      <c r="C1201" s="0" t="s">
        <v>19</v>
      </c>
      <c r="D1201" s="0" t="s">
        <v>23</v>
      </c>
      <c r="E1201" s="0" t="n">
        <v>16603.7</v>
      </c>
      <c r="F1201" s="0" t="n">
        <v>382</v>
      </c>
      <c r="G1201" s="0" t="str">
        <f aca="false">IF(F1201&lt;=30,"Current",IF(F1201&lt;=60,"31 to 60 days",IF(F1201&lt;=90,"61 to 90 days",IF(F1201&lt;=120,"91 to 120 days","Over 120 days"))))</f>
        <v>Over 120 days</v>
      </c>
      <c r="H1201" s="0" t="n">
        <f aca="false">VLOOKUP(D1201,Rates!$A$4:$B$7,2,FALSE())</f>
        <v>0.115</v>
      </c>
      <c r="I1201" s="0" t="n">
        <f aca="false">VLOOKUP(F1201,Rates!$D$4:$E$8,2)</f>
        <v>0.85</v>
      </c>
      <c r="J1201" s="0" t="n">
        <f aca="false">ROUND(E1201*I1201,2)</f>
        <v>14113.15</v>
      </c>
      <c r="K1201" s="1" t="n">
        <f aca="false">PV(H1201/12,F1201/30,0,-E1201)</f>
        <v>14704.8708862742</v>
      </c>
      <c r="L1201" s="0" t="n">
        <f aca="false">ROUND(E1201-K1201,2)</f>
        <v>1898.83</v>
      </c>
      <c r="M1201" s="0" t="n">
        <f aca="false">F1201/E1201</f>
        <v>0.0230069201443052</v>
      </c>
    </row>
    <row r="1202" customFormat="false" ht="12.8" hidden="false" customHeight="false" outlineLevel="0" collapsed="false">
      <c r="A1202" s="0" t="s">
        <v>1771</v>
      </c>
      <c r="B1202" s="0" t="s">
        <v>1712</v>
      </c>
      <c r="C1202" s="0" t="s">
        <v>31</v>
      </c>
      <c r="D1202" s="0" t="s">
        <v>16</v>
      </c>
      <c r="E1202" s="0" t="n">
        <v>20028.99</v>
      </c>
      <c r="F1202" s="0" t="n">
        <v>60</v>
      </c>
      <c r="G1202" s="0" t="str">
        <f aca="false">IF(F1202&lt;=30,"Current",IF(F1202&lt;=60,"31 to 60 days",IF(F1202&lt;=90,"61 to 90 days",IF(F1202&lt;=120,"91 to 120 days","Over 120 days"))))</f>
        <v>31 to 60 days</v>
      </c>
      <c r="H1202" s="0" t="n">
        <f aca="false">VLOOKUP(D1202,Rates!$A$4:$B$7,2,FALSE())</f>
        <v>0.085</v>
      </c>
      <c r="I1202" s="0" t="n">
        <f aca="false">VLOOKUP(F1202,Rates!$D$4:$E$8,2)</f>
        <v>0.1</v>
      </c>
      <c r="J1202" s="0" t="n">
        <f aca="false">ROUND(E1202*I1202,2)</f>
        <v>2002.9</v>
      </c>
      <c r="K1202" s="1" t="n">
        <f aca="false">PV(H1202/12,F1202/30,0,-E1202)</f>
        <v>19748.2325323196</v>
      </c>
      <c r="L1202" s="0" t="n">
        <f aca="false">ROUND(E1202-K1202,2)</f>
        <v>280.76</v>
      </c>
      <c r="M1202" s="0" t="n">
        <f aca="false">F1202/E1202</f>
        <v>0.00299565779402756</v>
      </c>
    </row>
    <row r="1203" customFormat="false" ht="12.8" hidden="false" customHeight="false" outlineLevel="0" collapsed="false">
      <c r="A1203" s="0" t="s">
        <v>1772</v>
      </c>
      <c r="B1203" s="0" t="s">
        <v>1667</v>
      </c>
      <c r="C1203" s="0" t="s">
        <v>19</v>
      </c>
      <c r="D1203" s="0" t="s">
        <v>16</v>
      </c>
      <c r="E1203" s="0" t="n">
        <v>1414.5</v>
      </c>
      <c r="F1203" s="0" t="n">
        <v>191</v>
      </c>
      <c r="G1203" s="0" t="str">
        <f aca="false">IF(F1203&lt;=30,"Current",IF(F1203&lt;=60,"31 to 60 days",IF(F1203&lt;=90,"61 to 90 days",IF(F1203&lt;=120,"91 to 120 days","Over 120 days"))))</f>
        <v>Over 120 days</v>
      </c>
      <c r="H1203" s="0" t="n">
        <f aca="false">VLOOKUP(D1203,Rates!$A$4:$B$7,2,FALSE())</f>
        <v>0.085</v>
      </c>
      <c r="I1203" s="0" t="n">
        <f aca="false">VLOOKUP(F1203,Rates!$D$4:$E$8,2)</f>
        <v>0.85</v>
      </c>
      <c r="J1203" s="0" t="n">
        <f aca="false">ROUND(E1203*I1203,2)</f>
        <v>1202.33</v>
      </c>
      <c r="K1203" s="1" t="n">
        <f aca="false">PV(H1203/12,F1203/30,0,-E1203)</f>
        <v>1352.34193834409</v>
      </c>
      <c r="L1203" s="0" t="n">
        <f aca="false">ROUND(E1203-K1203,2)</f>
        <v>62.16</v>
      </c>
      <c r="M1203" s="0" t="n">
        <f aca="false">F1203/E1203</f>
        <v>0.135030045952633</v>
      </c>
    </row>
    <row r="1204" customFormat="false" ht="12.8" hidden="false" customHeight="false" outlineLevel="0" collapsed="false">
      <c r="A1204" s="0" t="s">
        <v>1773</v>
      </c>
      <c r="B1204" s="0" t="s">
        <v>111</v>
      </c>
      <c r="C1204" s="0" t="s">
        <v>19</v>
      </c>
      <c r="D1204" s="0" t="s">
        <v>23</v>
      </c>
      <c r="E1204" s="0" t="n">
        <v>19057.2</v>
      </c>
      <c r="F1204" s="0" t="n">
        <v>370</v>
      </c>
      <c r="G1204" s="0" t="str">
        <f aca="false">IF(F1204&lt;=30,"Current",IF(F1204&lt;=60,"31 to 60 days",IF(F1204&lt;=90,"61 to 90 days",IF(F1204&lt;=120,"91 to 120 days","Over 120 days"))))</f>
        <v>Over 120 days</v>
      </c>
      <c r="H1204" s="0" t="n">
        <f aca="false">VLOOKUP(D1204,Rates!$A$4:$B$7,2,FALSE())</f>
        <v>0.115</v>
      </c>
      <c r="I1204" s="0" t="n">
        <f aca="false">VLOOKUP(F1204,Rates!$D$4:$E$8,2)</f>
        <v>0.85</v>
      </c>
      <c r="J1204" s="0" t="n">
        <f aca="false">ROUND(E1204*I1204,2)</f>
        <v>16198.62</v>
      </c>
      <c r="K1204" s="1" t="n">
        <f aca="false">PV(H1204/12,F1204/30,0,-E1204)</f>
        <v>16942.297306253</v>
      </c>
      <c r="L1204" s="0" t="n">
        <f aca="false">ROUND(E1204-K1204,2)</f>
        <v>2114.9</v>
      </c>
      <c r="M1204" s="0" t="n">
        <f aca="false">F1204/E1204</f>
        <v>0.019415234137229</v>
      </c>
    </row>
    <row r="1205" customFormat="false" ht="12.8" hidden="false" customHeight="false" outlineLevel="0" collapsed="false">
      <c r="A1205" s="0" t="s">
        <v>1774</v>
      </c>
      <c r="B1205" s="0" t="s">
        <v>111</v>
      </c>
      <c r="C1205" s="0" t="s">
        <v>19</v>
      </c>
      <c r="D1205" s="0" t="s">
        <v>23</v>
      </c>
      <c r="E1205" s="0" t="n">
        <v>19255.99</v>
      </c>
      <c r="F1205" s="0" t="n">
        <v>258</v>
      </c>
      <c r="G1205" s="0" t="str">
        <f aca="false">IF(F1205&lt;=30,"Current",IF(F1205&lt;=60,"31 to 60 days",IF(F1205&lt;=90,"61 to 90 days",IF(F1205&lt;=120,"91 to 120 days","Over 120 days"))))</f>
        <v>Over 120 days</v>
      </c>
      <c r="H1205" s="0" t="n">
        <f aca="false">VLOOKUP(D1205,Rates!$A$4:$B$7,2,FALSE())</f>
        <v>0.115</v>
      </c>
      <c r="I1205" s="0" t="n">
        <f aca="false">VLOOKUP(F1205,Rates!$D$4:$E$8,2)</f>
        <v>0.85</v>
      </c>
      <c r="J1205" s="0" t="n">
        <f aca="false">ROUND(E1205*I1205,2)</f>
        <v>16367.59</v>
      </c>
      <c r="K1205" s="1" t="n">
        <f aca="false">PV(H1205/12,F1205/30,0,-E1205)</f>
        <v>17739.5732827079</v>
      </c>
      <c r="L1205" s="0" t="n">
        <f aca="false">ROUND(E1205-K1205,2)</f>
        <v>1516.42</v>
      </c>
      <c r="M1205" s="0" t="n">
        <f aca="false">F1205/E1205</f>
        <v>0.0133984282293458</v>
      </c>
    </row>
    <row r="1206" customFormat="false" ht="12.8" hidden="false" customHeight="false" outlineLevel="0" collapsed="false">
      <c r="A1206" s="0" t="s">
        <v>1775</v>
      </c>
      <c r="B1206" s="0" t="s">
        <v>330</v>
      </c>
      <c r="C1206" s="0" t="s">
        <v>15</v>
      </c>
      <c r="D1206" s="0" t="s">
        <v>23</v>
      </c>
      <c r="E1206" s="0" t="n">
        <v>40341.21</v>
      </c>
      <c r="F1206" s="0" t="n">
        <v>16</v>
      </c>
      <c r="G1206" s="0" t="str">
        <f aca="false">IF(F1206&lt;=30,"Current",IF(F1206&lt;=60,"31 to 60 days",IF(F1206&lt;=90,"61 to 90 days",IF(F1206&lt;=120,"91 to 120 days","Over 120 days"))))</f>
        <v>Current</v>
      </c>
      <c r="H1206" s="0" t="n">
        <f aca="false">VLOOKUP(D1206,Rates!$A$4:$B$7,2,FALSE())</f>
        <v>0.115</v>
      </c>
      <c r="I1206" s="0" t="n">
        <f aca="false">VLOOKUP(F1206,Rates!$D$4:$E$8,2)</f>
        <v>0.02</v>
      </c>
      <c r="J1206" s="0" t="n">
        <f aca="false">ROUND(E1206*I1206,2)</f>
        <v>806.82</v>
      </c>
      <c r="K1206" s="1" t="n">
        <f aca="false">PV(H1206/12,F1206/30,0,-E1206)</f>
        <v>40136.5243486976</v>
      </c>
      <c r="L1206" s="0" t="n">
        <f aca="false">ROUND(E1206-K1206,2)</f>
        <v>204.69</v>
      </c>
      <c r="M1206" s="0" t="n">
        <f aca="false">F1206/E1206</f>
        <v>0.000396616759884</v>
      </c>
    </row>
    <row r="1207" customFormat="false" ht="12.8" hidden="false" customHeight="false" outlineLevel="0" collapsed="false">
      <c r="A1207" s="0" t="s">
        <v>1776</v>
      </c>
      <c r="B1207" s="0" t="s">
        <v>1777</v>
      </c>
      <c r="C1207" s="0" t="s">
        <v>26</v>
      </c>
      <c r="D1207" s="0" t="s">
        <v>49</v>
      </c>
      <c r="E1207" s="0" t="n">
        <v>20331.12</v>
      </c>
      <c r="F1207" s="0" t="n">
        <v>372</v>
      </c>
      <c r="G1207" s="0" t="str">
        <f aca="false">IF(F1207&lt;=30,"Current",IF(F1207&lt;=60,"31 to 60 days",IF(F1207&lt;=90,"61 to 90 days",IF(F1207&lt;=120,"91 to 120 days","Over 120 days"))))</f>
        <v>Over 120 days</v>
      </c>
      <c r="H1207" s="0" t="n">
        <f aca="false">VLOOKUP(D1207,Rates!$A$4:$B$7,2,FALSE())</f>
        <v>0.02</v>
      </c>
      <c r="I1207" s="0" t="n">
        <f aca="false">VLOOKUP(F1207,Rates!$D$4:$E$8,2)</f>
        <v>0.85</v>
      </c>
      <c r="J1207" s="0" t="n">
        <f aca="false">ROUND(E1207*I1207,2)</f>
        <v>17281.45</v>
      </c>
      <c r="K1207" s="1" t="n">
        <f aca="false">PV(H1207/12,F1207/30,0,-E1207)</f>
        <v>19915.5981944719</v>
      </c>
      <c r="L1207" s="0" t="n">
        <f aca="false">ROUND(E1207-K1207,2)</f>
        <v>415.52</v>
      </c>
      <c r="M1207" s="0" t="n">
        <f aca="false">F1207/E1207</f>
        <v>0.0182970736486726</v>
      </c>
    </row>
    <row r="1208" customFormat="false" ht="12.8" hidden="false" customHeight="false" outlineLevel="0" collapsed="false">
      <c r="A1208" s="0" t="s">
        <v>1778</v>
      </c>
      <c r="B1208" s="0" t="s">
        <v>30</v>
      </c>
      <c r="C1208" s="0" t="s">
        <v>31</v>
      </c>
      <c r="D1208" s="0" t="s">
        <v>20</v>
      </c>
      <c r="E1208" s="0" t="n">
        <v>3460.74</v>
      </c>
      <c r="F1208" s="0" t="n">
        <v>384</v>
      </c>
      <c r="G1208" s="0" t="str">
        <f aca="false">IF(F1208&lt;=30,"Current",IF(F1208&lt;=60,"31 to 60 days",IF(F1208&lt;=90,"61 to 90 days",IF(F1208&lt;=120,"91 to 120 days","Over 120 days"))))</f>
        <v>Over 120 days</v>
      </c>
      <c r="H1208" s="0" t="n">
        <f aca="false">VLOOKUP(D1208,Rates!$A$4:$B$7,2,FALSE())</f>
        <v>0.05</v>
      </c>
      <c r="I1208" s="0" t="n">
        <f aca="false">VLOOKUP(F1208,Rates!$D$4:$E$8,2)</f>
        <v>0.85</v>
      </c>
      <c r="J1208" s="0" t="n">
        <f aca="false">ROUND(E1208*I1208,2)</f>
        <v>2941.63</v>
      </c>
      <c r="K1208" s="1" t="n">
        <f aca="false">PV(H1208/12,F1208/30,0,-E1208)</f>
        <v>3281.36636100838</v>
      </c>
      <c r="L1208" s="0" t="n">
        <f aca="false">ROUND(E1208-K1208,2)</f>
        <v>179.37</v>
      </c>
      <c r="M1208" s="0" t="n">
        <f aca="false">F1208/E1208</f>
        <v>0.11095892785936</v>
      </c>
    </row>
    <row r="1209" customFormat="false" ht="12.8" hidden="false" customHeight="false" outlineLevel="0" collapsed="false">
      <c r="A1209" s="0" t="s">
        <v>1779</v>
      </c>
      <c r="B1209" s="0" t="s">
        <v>30</v>
      </c>
      <c r="C1209" s="0" t="s">
        <v>31</v>
      </c>
      <c r="D1209" s="0" t="s">
        <v>20</v>
      </c>
      <c r="E1209" s="0" t="n">
        <v>8602.26</v>
      </c>
      <c r="F1209" s="0" t="n">
        <v>221</v>
      </c>
      <c r="G1209" s="0" t="str">
        <f aca="false">IF(F1209&lt;=30,"Current",IF(F1209&lt;=60,"31 to 60 days",IF(F1209&lt;=90,"61 to 90 days",IF(F1209&lt;=120,"91 to 120 days","Over 120 days"))))</f>
        <v>Over 120 days</v>
      </c>
      <c r="H1209" s="0" t="n">
        <f aca="false">VLOOKUP(D1209,Rates!$A$4:$B$7,2,FALSE())</f>
        <v>0.05</v>
      </c>
      <c r="I1209" s="0" t="n">
        <f aca="false">VLOOKUP(F1209,Rates!$D$4:$E$8,2)</f>
        <v>0.85</v>
      </c>
      <c r="J1209" s="0" t="n">
        <f aca="false">ROUND(E1209*I1209,2)</f>
        <v>7311.92</v>
      </c>
      <c r="K1209" s="1" t="n">
        <f aca="false">PV(H1209/12,F1209/30,0,-E1209)</f>
        <v>8342.76156674065</v>
      </c>
      <c r="L1209" s="0" t="n">
        <f aca="false">ROUND(E1209-K1209,2)</f>
        <v>259.5</v>
      </c>
      <c r="M1209" s="0" t="n">
        <f aca="false">F1209/E1209</f>
        <v>0.0256909230830038</v>
      </c>
    </row>
    <row r="1210" customFormat="false" ht="12.8" hidden="false" customHeight="false" outlineLevel="0" collapsed="false">
      <c r="A1210" s="0" t="s">
        <v>1780</v>
      </c>
      <c r="B1210" s="0" t="s">
        <v>1781</v>
      </c>
      <c r="C1210" s="0" t="s">
        <v>36</v>
      </c>
      <c r="D1210" s="0" t="s">
        <v>49</v>
      </c>
      <c r="E1210" s="0" t="n">
        <v>31515.7</v>
      </c>
      <c r="F1210" s="0" t="n">
        <v>389</v>
      </c>
      <c r="G1210" s="0" t="str">
        <f aca="false">IF(F1210&lt;=30,"Current",IF(F1210&lt;=60,"31 to 60 days",IF(F1210&lt;=90,"61 to 90 days",IF(F1210&lt;=120,"91 to 120 days","Over 120 days"))))</f>
        <v>Over 120 days</v>
      </c>
      <c r="H1210" s="0" t="n">
        <f aca="false">VLOOKUP(D1210,Rates!$A$4:$B$7,2,FALSE())</f>
        <v>0.02</v>
      </c>
      <c r="I1210" s="0" t="n">
        <f aca="false">VLOOKUP(F1210,Rates!$D$4:$E$8,2)</f>
        <v>0.85</v>
      </c>
      <c r="J1210" s="0" t="n">
        <f aca="false">ROUND(E1210*I1210,2)</f>
        <v>26788.35</v>
      </c>
      <c r="K1210" s="1" t="n">
        <f aca="false">PV(H1210/12,F1210/30,0,-E1210)</f>
        <v>30842.4723516543</v>
      </c>
      <c r="L1210" s="0" t="n">
        <f aca="false">ROUND(E1210-K1210,2)</f>
        <v>673.23</v>
      </c>
      <c r="M1210" s="0" t="n">
        <f aca="false">F1210/E1210</f>
        <v>0.0123430544141491</v>
      </c>
    </row>
    <row r="1211" customFormat="false" ht="12.8" hidden="false" customHeight="false" outlineLevel="0" collapsed="false">
      <c r="A1211" s="0" t="s">
        <v>1782</v>
      </c>
      <c r="B1211" s="0" t="s">
        <v>349</v>
      </c>
      <c r="C1211" s="0" t="s">
        <v>15</v>
      </c>
      <c r="D1211" s="0" t="s">
        <v>49</v>
      </c>
      <c r="E1211" s="0" t="n">
        <v>18503.77</v>
      </c>
      <c r="F1211" s="0" t="n">
        <v>191</v>
      </c>
      <c r="G1211" s="0" t="str">
        <f aca="false">IF(F1211&lt;=30,"Current",IF(F1211&lt;=60,"31 to 60 days",IF(F1211&lt;=90,"61 to 90 days",IF(F1211&lt;=120,"91 to 120 days","Over 120 days"))))</f>
        <v>Over 120 days</v>
      </c>
      <c r="H1211" s="0" t="n">
        <f aca="false">VLOOKUP(D1211,Rates!$A$4:$B$7,2,FALSE())</f>
        <v>0.02</v>
      </c>
      <c r="I1211" s="0" t="n">
        <f aca="false">VLOOKUP(F1211,Rates!$D$4:$E$8,2)</f>
        <v>0.85</v>
      </c>
      <c r="J1211" s="0" t="n">
        <f aca="false">ROUND(E1211*I1211,2)</f>
        <v>15728.2</v>
      </c>
      <c r="K1211" s="1" t="n">
        <f aca="false">PV(H1211/12,F1211/30,0,-E1211)</f>
        <v>18308.6242033038</v>
      </c>
      <c r="L1211" s="0" t="n">
        <f aca="false">ROUND(E1211-K1211,2)</f>
        <v>195.15</v>
      </c>
      <c r="M1211" s="0" t="n">
        <f aca="false">F1211/E1211</f>
        <v>0.0103222208231079</v>
      </c>
    </row>
    <row r="1212" customFormat="false" ht="12.8" hidden="false" customHeight="false" outlineLevel="0" collapsed="false">
      <c r="A1212" s="0" t="s">
        <v>1783</v>
      </c>
      <c r="B1212" s="0" t="s">
        <v>205</v>
      </c>
      <c r="C1212" s="0" t="s">
        <v>42</v>
      </c>
      <c r="D1212" s="0" t="s">
        <v>23</v>
      </c>
      <c r="E1212" s="0" t="n">
        <v>30247.02</v>
      </c>
      <c r="F1212" s="0" t="n">
        <v>336</v>
      </c>
      <c r="G1212" s="0" t="str">
        <f aca="false">IF(F1212&lt;=30,"Current",IF(F1212&lt;=60,"31 to 60 days",IF(F1212&lt;=90,"61 to 90 days",IF(F1212&lt;=120,"91 to 120 days","Over 120 days"))))</f>
        <v>Over 120 days</v>
      </c>
      <c r="H1212" s="0" t="n">
        <f aca="false">VLOOKUP(D1212,Rates!$A$4:$B$7,2,FALSE())</f>
        <v>0.115</v>
      </c>
      <c r="I1212" s="0" t="n">
        <f aca="false">VLOOKUP(F1212,Rates!$D$4:$E$8,2)</f>
        <v>0.85</v>
      </c>
      <c r="J1212" s="0" t="n">
        <f aca="false">ROUND(E1212*I1212,2)</f>
        <v>25709.97</v>
      </c>
      <c r="K1212" s="1" t="n">
        <f aca="false">PV(H1212/12,F1212/30,0,-E1212)</f>
        <v>27182.5541790238</v>
      </c>
      <c r="L1212" s="0" t="n">
        <f aca="false">ROUND(E1212-K1212,2)</f>
        <v>3064.47</v>
      </c>
      <c r="M1212" s="0" t="n">
        <f aca="false">F1212/E1212</f>
        <v>0.011108532344674</v>
      </c>
    </row>
    <row r="1213" customFormat="false" ht="12.8" hidden="false" customHeight="false" outlineLevel="0" collapsed="false">
      <c r="A1213" s="0" t="s">
        <v>1784</v>
      </c>
      <c r="B1213" s="0" t="s">
        <v>97</v>
      </c>
      <c r="C1213" s="0" t="s">
        <v>42</v>
      </c>
      <c r="D1213" s="0" t="s">
        <v>20</v>
      </c>
      <c r="E1213" s="0" t="n">
        <v>31086.66</v>
      </c>
      <c r="F1213" s="0" t="n">
        <v>203</v>
      </c>
      <c r="G1213" s="0" t="str">
        <f aca="false">IF(F1213&lt;=30,"Current",IF(F1213&lt;=60,"31 to 60 days",IF(F1213&lt;=90,"61 to 90 days",IF(F1213&lt;=120,"91 to 120 days","Over 120 days"))))</f>
        <v>Over 120 days</v>
      </c>
      <c r="H1213" s="0" t="n">
        <f aca="false">VLOOKUP(D1213,Rates!$A$4:$B$7,2,FALSE())</f>
        <v>0.05</v>
      </c>
      <c r="I1213" s="0" t="n">
        <f aca="false">VLOOKUP(F1213,Rates!$D$4:$E$8,2)</f>
        <v>0.85</v>
      </c>
      <c r="J1213" s="0" t="n">
        <f aca="false">ROUND(E1213*I1213,2)</f>
        <v>26423.66</v>
      </c>
      <c r="K1213" s="1" t="n">
        <f aca="false">PV(H1213/12,F1213/30,0,-E1213)</f>
        <v>30224.1997458186</v>
      </c>
      <c r="L1213" s="0" t="n">
        <f aca="false">ROUND(E1213-K1213,2)</f>
        <v>862.46</v>
      </c>
      <c r="M1213" s="0" t="n">
        <f aca="false">F1213/E1213</f>
        <v>0.00653013221748493</v>
      </c>
    </row>
    <row r="1214" customFormat="false" ht="12.8" hidden="false" customHeight="false" outlineLevel="0" collapsed="false">
      <c r="A1214" s="0" t="s">
        <v>1785</v>
      </c>
      <c r="B1214" s="0" t="s">
        <v>1786</v>
      </c>
      <c r="C1214" s="0" t="s">
        <v>31</v>
      </c>
      <c r="D1214" s="0" t="s">
        <v>16</v>
      </c>
      <c r="E1214" s="0" t="n">
        <v>15098.44</v>
      </c>
      <c r="F1214" s="0" t="n">
        <v>290</v>
      </c>
      <c r="G1214" s="0" t="str">
        <f aca="false">IF(F1214&lt;=30,"Current",IF(F1214&lt;=60,"31 to 60 days",IF(F1214&lt;=90,"61 to 90 days",IF(F1214&lt;=120,"91 to 120 days","Over 120 days"))))</f>
        <v>Over 120 days</v>
      </c>
      <c r="H1214" s="0" t="n">
        <f aca="false">VLOOKUP(D1214,Rates!$A$4:$B$7,2,FALSE())</f>
        <v>0.085</v>
      </c>
      <c r="I1214" s="0" t="n">
        <f aca="false">VLOOKUP(F1214,Rates!$D$4:$E$8,2)</f>
        <v>0.85</v>
      </c>
      <c r="J1214" s="0" t="n">
        <f aca="false">ROUND(E1214*I1214,2)</f>
        <v>12833.67</v>
      </c>
      <c r="K1214" s="1" t="n">
        <f aca="false">PV(H1214/12,F1214/30,0,-E1214)</f>
        <v>14102.6196608076</v>
      </c>
      <c r="L1214" s="0" t="n">
        <f aca="false">ROUND(E1214-K1214,2)</f>
        <v>995.82</v>
      </c>
      <c r="M1214" s="0" t="n">
        <f aca="false">F1214/E1214</f>
        <v>0.0192072823417519</v>
      </c>
    </row>
    <row r="1215" customFormat="false" ht="12.8" hidden="false" customHeight="false" outlineLevel="0" collapsed="false">
      <c r="A1215" s="0" t="s">
        <v>1787</v>
      </c>
      <c r="B1215" s="0" t="s">
        <v>326</v>
      </c>
      <c r="C1215" s="0" t="s">
        <v>42</v>
      </c>
      <c r="D1215" s="0" t="s">
        <v>23</v>
      </c>
      <c r="E1215" s="0" t="n">
        <v>30650.85</v>
      </c>
      <c r="F1215" s="0" t="n">
        <v>277</v>
      </c>
      <c r="G1215" s="0" t="str">
        <f aca="false">IF(F1215&lt;=30,"Current",IF(F1215&lt;=60,"31 to 60 days",IF(F1215&lt;=90,"61 to 90 days",IF(F1215&lt;=120,"91 to 120 days","Over 120 days"))))</f>
        <v>Over 120 days</v>
      </c>
      <c r="H1215" s="0" t="n">
        <f aca="false">VLOOKUP(D1215,Rates!$A$4:$B$7,2,FALSE())</f>
        <v>0.115</v>
      </c>
      <c r="I1215" s="0" t="n">
        <f aca="false">VLOOKUP(F1215,Rates!$D$4:$E$8,2)</f>
        <v>0.85</v>
      </c>
      <c r="J1215" s="0" t="n">
        <f aca="false">ROUND(E1215*I1215,2)</f>
        <v>26053.22</v>
      </c>
      <c r="K1215" s="1" t="n">
        <f aca="false">PV(H1215/12,F1215/30,0,-E1215)</f>
        <v>28067.0303338081</v>
      </c>
      <c r="L1215" s="0" t="n">
        <f aca="false">ROUND(E1215-K1215,2)</f>
        <v>2583.82</v>
      </c>
      <c r="M1215" s="0" t="n">
        <f aca="false">F1215/E1215</f>
        <v>0.00903726976576506</v>
      </c>
    </row>
    <row r="1216" customFormat="false" ht="12.8" hidden="false" customHeight="false" outlineLevel="0" collapsed="false">
      <c r="A1216" s="0" t="s">
        <v>1788</v>
      </c>
      <c r="B1216" s="0" t="s">
        <v>606</v>
      </c>
      <c r="C1216" s="0" t="s">
        <v>19</v>
      </c>
      <c r="D1216" s="0" t="s">
        <v>23</v>
      </c>
      <c r="E1216" s="0" t="n">
        <v>27842.07</v>
      </c>
      <c r="F1216" s="0" t="n">
        <v>80</v>
      </c>
      <c r="G1216" s="0" t="str">
        <f aca="false">IF(F1216&lt;=30,"Current",IF(F1216&lt;=60,"31 to 60 days",IF(F1216&lt;=90,"61 to 90 days",IF(F1216&lt;=120,"91 to 120 days","Over 120 days"))))</f>
        <v>61 to 90 days</v>
      </c>
      <c r="H1216" s="0" t="n">
        <f aca="false">VLOOKUP(D1216,Rates!$A$4:$B$7,2,FALSE())</f>
        <v>0.115</v>
      </c>
      <c r="I1216" s="0" t="n">
        <f aca="false">VLOOKUP(F1216,Rates!$D$4:$E$8,2)</f>
        <v>0.25</v>
      </c>
      <c r="J1216" s="0" t="n">
        <f aca="false">ROUND(E1216*I1216,2)</f>
        <v>6960.52</v>
      </c>
      <c r="K1216" s="1" t="n">
        <f aca="false">PV(H1216/12,F1216/30,0,-E1216)</f>
        <v>27142.8675774041</v>
      </c>
      <c r="L1216" s="0" t="n">
        <f aca="false">ROUND(E1216-K1216,2)</f>
        <v>699.2</v>
      </c>
      <c r="M1216" s="0" t="n">
        <f aca="false">F1216/E1216</f>
        <v>0.00287334957494181</v>
      </c>
    </row>
    <row r="1217" customFormat="false" ht="12.8" hidden="false" customHeight="false" outlineLevel="0" collapsed="false">
      <c r="A1217" s="0" t="s">
        <v>1789</v>
      </c>
      <c r="B1217" s="0" t="s">
        <v>1790</v>
      </c>
      <c r="C1217" s="0" t="s">
        <v>15</v>
      </c>
      <c r="D1217" s="0" t="s">
        <v>16</v>
      </c>
      <c r="E1217" s="0" t="n">
        <v>29242.07</v>
      </c>
      <c r="F1217" s="0" t="n">
        <v>290</v>
      </c>
      <c r="G1217" s="0" t="str">
        <f aca="false">IF(F1217&lt;=30,"Current",IF(F1217&lt;=60,"31 to 60 days",IF(F1217&lt;=90,"61 to 90 days",IF(F1217&lt;=120,"91 to 120 days","Over 120 days"))))</f>
        <v>Over 120 days</v>
      </c>
      <c r="H1217" s="0" t="n">
        <f aca="false">VLOOKUP(D1217,Rates!$A$4:$B$7,2,FALSE())</f>
        <v>0.085</v>
      </c>
      <c r="I1217" s="0" t="n">
        <f aca="false">VLOOKUP(F1217,Rates!$D$4:$E$8,2)</f>
        <v>0.85</v>
      </c>
      <c r="J1217" s="0" t="n">
        <f aca="false">ROUND(E1217*I1217,2)</f>
        <v>24855.76</v>
      </c>
      <c r="K1217" s="1" t="n">
        <f aca="false">PV(H1217/12,F1217/30,0,-E1217)</f>
        <v>27313.4039877438</v>
      </c>
      <c r="L1217" s="0" t="n">
        <f aca="false">ROUND(E1217-K1217,2)</f>
        <v>1928.67</v>
      </c>
      <c r="M1217" s="0" t="n">
        <f aca="false">F1217/E1217</f>
        <v>0.009917218582679</v>
      </c>
    </row>
    <row r="1218" customFormat="false" ht="12.8" hidden="false" customHeight="false" outlineLevel="0" collapsed="false">
      <c r="A1218" s="0" t="s">
        <v>1791</v>
      </c>
      <c r="B1218" s="0" t="s">
        <v>28</v>
      </c>
      <c r="C1218" s="0" t="s">
        <v>15</v>
      </c>
      <c r="D1218" s="0" t="s">
        <v>20</v>
      </c>
      <c r="E1218" s="0" t="n">
        <v>4459.12</v>
      </c>
      <c r="F1218" s="0" t="n">
        <v>75</v>
      </c>
      <c r="G1218" s="0" t="str">
        <f aca="false">IF(F1218&lt;=30,"Current",IF(F1218&lt;=60,"31 to 60 days",IF(F1218&lt;=90,"61 to 90 days",IF(F1218&lt;=120,"91 to 120 days","Over 120 days"))))</f>
        <v>61 to 90 days</v>
      </c>
      <c r="H1218" s="0" t="n">
        <f aca="false">VLOOKUP(D1218,Rates!$A$4:$B$7,2,FALSE())</f>
        <v>0.05</v>
      </c>
      <c r="I1218" s="0" t="n">
        <f aca="false">VLOOKUP(F1218,Rates!$D$4:$E$8,2)</f>
        <v>0.25</v>
      </c>
      <c r="J1218" s="0" t="n">
        <f aca="false">ROUND(E1218*I1218,2)</f>
        <v>1114.78</v>
      </c>
      <c r="K1218" s="1" t="n">
        <f aca="false">PV(H1218/12,F1218/30,0,-E1218)</f>
        <v>4413.0074204119</v>
      </c>
      <c r="L1218" s="0" t="n">
        <f aca="false">ROUND(E1218-K1218,2)</f>
        <v>46.11</v>
      </c>
      <c r="M1218" s="0" t="n">
        <f aca="false">F1218/E1218</f>
        <v>0.0168194621360268</v>
      </c>
    </row>
    <row r="1219" customFormat="false" ht="12.8" hidden="false" customHeight="false" outlineLevel="0" collapsed="false">
      <c r="A1219" s="0" t="s">
        <v>1792</v>
      </c>
      <c r="B1219" s="0" t="s">
        <v>1793</v>
      </c>
      <c r="C1219" s="0" t="s">
        <v>42</v>
      </c>
      <c r="D1219" s="0" t="s">
        <v>16</v>
      </c>
      <c r="E1219" s="0" t="n">
        <v>42312.84</v>
      </c>
      <c r="F1219" s="0" t="n">
        <v>106</v>
      </c>
      <c r="G1219" s="0" t="str">
        <f aca="false">IF(F1219&lt;=30,"Current",IF(F1219&lt;=60,"31 to 60 days",IF(F1219&lt;=90,"61 to 90 days",IF(F1219&lt;=120,"91 to 120 days","Over 120 days"))))</f>
        <v>91 to 120 days</v>
      </c>
      <c r="H1219" s="0" t="n">
        <f aca="false">VLOOKUP(D1219,Rates!$A$4:$B$7,2,FALSE())</f>
        <v>0.085</v>
      </c>
      <c r="I1219" s="0" t="n">
        <f aca="false">VLOOKUP(F1219,Rates!$D$4:$E$8,2)</f>
        <v>0.5</v>
      </c>
      <c r="J1219" s="0" t="n">
        <f aca="false">ROUND(E1219*I1219,2)</f>
        <v>21156.42</v>
      </c>
      <c r="K1219" s="1" t="n">
        <f aca="false">PV(H1219/12,F1219/30,0,-E1219)</f>
        <v>41270.6268229267</v>
      </c>
      <c r="L1219" s="0" t="n">
        <f aca="false">ROUND(E1219-K1219,2)</f>
        <v>1042.21</v>
      </c>
      <c r="M1219" s="0" t="n">
        <f aca="false">F1219/E1219</f>
        <v>0.00250514973705381</v>
      </c>
    </row>
    <row r="1220" customFormat="false" ht="12.8" hidden="false" customHeight="false" outlineLevel="0" collapsed="false">
      <c r="A1220" s="0" t="s">
        <v>1794</v>
      </c>
      <c r="B1220" s="0" t="s">
        <v>1795</v>
      </c>
      <c r="C1220" s="0" t="s">
        <v>31</v>
      </c>
      <c r="D1220" s="0" t="s">
        <v>49</v>
      </c>
      <c r="E1220" s="0" t="n">
        <v>1999.07</v>
      </c>
      <c r="F1220" s="0" t="n">
        <v>170</v>
      </c>
      <c r="G1220" s="0" t="str">
        <f aca="false">IF(F1220&lt;=30,"Current",IF(F1220&lt;=60,"31 to 60 days",IF(F1220&lt;=90,"61 to 90 days",IF(F1220&lt;=120,"91 to 120 days","Over 120 days"))))</f>
        <v>Over 120 days</v>
      </c>
      <c r="H1220" s="0" t="n">
        <f aca="false">VLOOKUP(D1220,Rates!$A$4:$B$7,2,FALSE())</f>
        <v>0.02</v>
      </c>
      <c r="I1220" s="0" t="n">
        <f aca="false">VLOOKUP(F1220,Rates!$D$4:$E$8,2)</f>
        <v>0.85</v>
      </c>
      <c r="J1220" s="0" t="n">
        <f aca="false">ROUND(E1220*I1220,2)</f>
        <v>1699.21</v>
      </c>
      <c r="K1220" s="1" t="n">
        <f aca="false">PV(H1220/12,F1220/30,0,-E1220)</f>
        <v>1980.29433877637</v>
      </c>
      <c r="L1220" s="0" t="n">
        <f aca="false">ROUND(E1220-K1220,2)</f>
        <v>18.78</v>
      </c>
      <c r="M1220" s="0" t="n">
        <f aca="false">F1220/E1220</f>
        <v>0.0850395433876753</v>
      </c>
    </row>
    <row r="1221" customFormat="false" ht="12.8" hidden="false" customHeight="false" outlineLevel="0" collapsed="false">
      <c r="A1221" s="0" t="s">
        <v>1796</v>
      </c>
      <c r="B1221" s="0" t="s">
        <v>51</v>
      </c>
      <c r="C1221" s="0" t="s">
        <v>36</v>
      </c>
      <c r="D1221" s="0" t="s">
        <v>20</v>
      </c>
      <c r="E1221" s="0" t="n">
        <v>16718.22</v>
      </c>
      <c r="F1221" s="0" t="n">
        <v>286</v>
      </c>
      <c r="G1221" s="0" t="str">
        <f aca="false">IF(F1221&lt;=30,"Current",IF(F1221&lt;=60,"31 to 60 days",IF(F1221&lt;=90,"61 to 90 days",IF(F1221&lt;=120,"91 to 120 days","Over 120 days"))))</f>
        <v>Over 120 days</v>
      </c>
      <c r="H1221" s="0" t="n">
        <f aca="false">VLOOKUP(D1221,Rates!$A$4:$B$7,2,FALSE())</f>
        <v>0.05</v>
      </c>
      <c r="I1221" s="0" t="n">
        <f aca="false">VLOOKUP(F1221,Rates!$D$4:$E$8,2)</f>
        <v>0.85</v>
      </c>
      <c r="J1221" s="0" t="n">
        <f aca="false">ROUND(E1221*I1221,2)</f>
        <v>14210.49</v>
      </c>
      <c r="K1221" s="1" t="n">
        <f aca="false">PV(H1221/12,F1221/30,0,-E1221)</f>
        <v>16068.4776992862</v>
      </c>
      <c r="L1221" s="0" t="n">
        <f aca="false">ROUND(E1221-K1221,2)</f>
        <v>649.74</v>
      </c>
      <c r="M1221" s="0" t="n">
        <f aca="false">F1221/E1221</f>
        <v>0.0171070843666371</v>
      </c>
    </row>
    <row r="1222" customFormat="false" ht="12.8" hidden="false" customHeight="false" outlineLevel="0" collapsed="false">
      <c r="A1222" s="0" t="s">
        <v>1797</v>
      </c>
      <c r="B1222" s="0" t="s">
        <v>844</v>
      </c>
      <c r="C1222" s="0" t="s">
        <v>26</v>
      </c>
      <c r="D1222" s="0" t="s">
        <v>16</v>
      </c>
      <c r="E1222" s="0" t="n">
        <v>41079.48</v>
      </c>
      <c r="F1222" s="0" t="n">
        <v>289</v>
      </c>
      <c r="G1222" s="0" t="str">
        <f aca="false">IF(F1222&lt;=30,"Current",IF(F1222&lt;=60,"31 to 60 days",IF(F1222&lt;=90,"61 to 90 days",IF(F1222&lt;=120,"91 to 120 days","Over 120 days"))))</f>
        <v>Over 120 days</v>
      </c>
      <c r="H1222" s="0" t="n">
        <f aca="false">VLOOKUP(D1222,Rates!$A$4:$B$7,2,FALSE())</f>
        <v>0.085</v>
      </c>
      <c r="I1222" s="0" t="n">
        <f aca="false">VLOOKUP(F1222,Rates!$D$4:$E$8,2)</f>
        <v>0.85</v>
      </c>
      <c r="J1222" s="0" t="n">
        <f aca="false">ROUND(E1222*I1222,2)</f>
        <v>34917.56</v>
      </c>
      <c r="K1222" s="1" t="n">
        <f aca="false">PV(H1222/12,F1222/30,0,-E1222)</f>
        <v>38379.104199497</v>
      </c>
      <c r="L1222" s="0" t="n">
        <f aca="false">ROUND(E1222-K1222,2)</f>
        <v>2700.38</v>
      </c>
      <c r="M1222" s="0" t="n">
        <f aca="false">F1222/E1222</f>
        <v>0.00703514260647895</v>
      </c>
    </row>
    <row r="1223" customFormat="false" ht="12.8" hidden="false" customHeight="false" outlineLevel="0" collapsed="false">
      <c r="A1223" s="0" t="s">
        <v>1798</v>
      </c>
      <c r="B1223" s="0" t="s">
        <v>1799</v>
      </c>
      <c r="C1223" s="0" t="s">
        <v>36</v>
      </c>
      <c r="D1223" s="0" t="s">
        <v>16</v>
      </c>
      <c r="E1223" s="0" t="n">
        <v>30884.52</v>
      </c>
      <c r="F1223" s="0" t="n">
        <v>133</v>
      </c>
      <c r="G1223" s="0" t="str">
        <f aca="false">IF(F1223&lt;=30,"Current",IF(F1223&lt;=60,"31 to 60 days",IF(F1223&lt;=90,"61 to 90 days",IF(F1223&lt;=120,"91 to 120 days","Over 120 days"))))</f>
        <v>Over 120 days</v>
      </c>
      <c r="H1223" s="0" t="n">
        <f aca="false">VLOOKUP(D1223,Rates!$A$4:$B$7,2,FALSE())</f>
        <v>0.085</v>
      </c>
      <c r="I1223" s="0" t="n">
        <f aca="false">VLOOKUP(F1223,Rates!$D$4:$E$8,2)</f>
        <v>0.85</v>
      </c>
      <c r="J1223" s="0" t="n">
        <f aca="false">ROUND(E1223*I1223,2)</f>
        <v>26251.84</v>
      </c>
      <c r="K1223" s="1" t="n">
        <f aca="false">PV(H1223/12,F1223/30,0,-E1223)</f>
        <v>29933.043545138</v>
      </c>
      <c r="L1223" s="0" t="n">
        <f aca="false">ROUND(E1223-K1223,2)</f>
        <v>951.48</v>
      </c>
      <c r="M1223" s="0" t="n">
        <f aca="false">F1223/E1223</f>
        <v>0.00430636448291895</v>
      </c>
    </row>
    <row r="1224" customFormat="false" ht="12.8" hidden="false" customHeight="false" outlineLevel="0" collapsed="false">
      <c r="A1224" s="0" t="s">
        <v>1800</v>
      </c>
      <c r="B1224" s="0" t="s">
        <v>1801</v>
      </c>
      <c r="C1224" s="0" t="s">
        <v>26</v>
      </c>
      <c r="D1224" s="0" t="s">
        <v>49</v>
      </c>
      <c r="E1224" s="0" t="n">
        <v>0</v>
      </c>
      <c r="F1224" s="0" t="n">
        <v>338</v>
      </c>
      <c r="G1224" s="0" t="str">
        <f aca="false">IF(F1224&lt;=30,"Current",IF(F1224&lt;=60,"31 to 60 days",IF(F1224&lt;=90,"61 to 90 days",IF(F1224&lt;=120,"91 to 120 days","Over 120 days"))))</f>
        <v>Over 120 days</v>
      </c>
      <c r="H1224" s="0" t="n">
        <f aca="false">VLOOKUP(D1224,Rates!$A$4:$B$7,2,FALSE())</f>
        <v>0.02</v>
      </c>
      <c r="I1224" s="0" t="n">
        <f aca="false">VLOOKUP(F1224,Rates!$D$4:$E$8,2)</f>
        <v>0.85</v>
      </c>
      <c r="J1224" s="0" t="n">
        <f aca="false">ROUND(E1224*I1224,2)</f>
        <v>0</v>
      </c>
      <c r="K1224" s="1" t="n">
        <f aca="false">PV(H1224/12,F1224/30,0,-E1224)</f>
        <v>-0</v>
      </c>
      <c r="L1224" s="0" t="n">
        <f aca="false">ROUND(E1224-K1224,2)</f>
        <v>0</v>
      </c>
      <c r="M1224" s="0" t="e">
        <f aca="false">F1224/E1224</f>
        <v>#DIV/0!</v>
      </c>
    </row>
    <row r="1225" customFormat="false" ht="12.8" hidden="false" customHeight="false" outlineLevel="0" collapsed="false">
      <c r="A1225" s="0" t="s">
        <v>1802</v>
      </c>
      <c r="B1225" s="0" t="s">
        <v>18</v>
      </c>
      <c r="C1225" s="0" t="s">
        <v>19</v>
      </c>
      <c r="D1225" s="0" t="s">
        <v>20</v>
      </c>
      <c r="E1225" s="0" t="n">
        <v>6380.74</v>
      </c>
      <c r="F1225" s="0" t="n">
        <v>212</v>
      </c>
      <c r="G1225" s="0" t="str">
        <f aca="false">IF(F1225&lt;=30,"Current",IF(F1225&lt;=60,"31 to 60 days",IF(F1225&lt;=90,"61 to 90 days",IF(F1225&lt;=120,"91 to 120 days","Over 120 days"))))</f>
        <v>Over 120 days</v>
      </c>
      <c r="H1225" s="0" t="n">
        <f aca="false">VLOOKUP(D1225,Rates!$A$4:$B$7,2,FALSE())</f>
        <v>0.05</v>
      </c>
      <c r="I1225" s="0" t="n">
        <f aca="false">VLOOKUP(F1225,Rates!$D$4:$E$8,2)</f>
        <v>0.85</v>
      </c>
      <c r="J1225" s="0" t="n">
        <f aca="false">ROUND(E1225*I1225,2)</f>
        <v>5423.63</v>
      </c>
      <c r="K1225" s="1" t="n">
        <f aca="false">PV(H1225/12,F1225/30,0,-E1225)</f>
        <v>6195.98069217659</v>
      </c>
      <c r="L1225" s="0" t="n">
        <f aca="false">ROUND(E1225-K1225,2)</f>
        <v>184.76</v>
      </c>
      <c r="M1225" s="0" t="n">
        <f aca="false">F1225/E1225</f>
        <v>0.0332249864435786</v>
      </c>
    </row>
    <row r="1226" customFormat="false" ht="12.8" hidden="false" customHeight="false" outlineLevel="0" collapsed="false">
      <c r="A1226" s="0" t="s">
        <v>1803</v>
      </c>
      <c r="B1226" s="0" t="s">
        <v>645</v>
      </c>
      <c r="C1226" s="0" t="s">
        <v>19</v>
      </c>
      <c r="D1226" s="0" t="s">
        <v>49</v>
      </c>
      <c r="E1226" s="0" t="n">
        <v>20984.75</v>
      </c>
      <c r="F1226" s="0" t="n">
        <v>33</v>
      </c>
      <c r="G1226" s="0" t="str">
        <f aca="false">IF(F1226&lt;=30,"Current",IF(F1226&lt;=60,"31 to 60 days",IF(F1226&lt;=90,"61 to 90 days",IF(F1226&lt;=120,"91 to 120 days","Over 120 days"))))</f>
        <v>31 to 60 days</v>
      </c>
      <c r="H1226" s="0" t="n">
        <f aca="false">VLOOKUP(D1226,Rates!$A$4:$B$7,2,FALSE())</f>
        <v>0.02</v>
      </c>
      <c r="I1226" s="0" t="n">
        <f aca="false">VLOOKUP(F1226,Rates!$D$4:$E$8,2)</f>
        <v>0.1</v>
      </c>
      <c r="J1226" s="0" t="n">
        <f aca="false">ROUND(E1226*I1226,2)</f>
        <v>2098.48</v>
      </c>
      <c r="K1226" s="1" t="n">
        <f aca="false">PV(H1226/12,F1226/30,0,-E1226)</f>
        <v>20946.3451686535</v>
      </c>
      <c r="L1226" s="0" t="n">
        <f aca="false">ROUND(E1226-K1226,2)</f>
        <v>38.4</v>
      </c>
      <c r="M1226" s="0" t="n">
        <f aca="false">F1226/E1226</f>
        <v>0.00157257055719034</v>
      </c>
    </row>
    <row r="1227" customFormat="false" ht="12.8" hidden="false" customHeight="false" outlineLevel="0" collapsed="false">
      <c r="A1227" s="0" t="s">
        <v>1804</v>
      </c>
      <c r="B1227" s="0" t="s">
        <v>1805</v>
      </c>
      <c r="C1227" s="0" t="s">
        <v>42</v>
      </c>
      <c r="D1227" s="0" t="s">
        <v>49</v>
      </c>
      <c r="E1227" s="0" t="n">
        <v>18873.96</v>
      </c>
      <c r="F1227" s="0" t="n">
        <v>223</v>
      </c>
      <c r="G1227" s="0" t="str">
        <f aca="false">IF(F1227&lt;=30,"Current",IF(F1227&lt;=60,"31 to 60 days",IF(F1227&lt;=90,"61 to 90 days",IF(F1227&lt;=120,"91 to 120 days","Over 120 days"))))</f>
        <v>Over 120 days</v>
      </c>
      <c r="H1227" s="0" t="n">
        <f aca="false">VLOOKUP(D1227,Rates!$A$4:$B$7,2,FALSE())</f>
        <v>0.02</v>
      </c>
      <c r="I1227" s="0" t="n">
        <f aca="false">VLOOKUP(F1227,Rates!$D$4:$E$8,2)</f>
        <v>0.85</v>
      </c>
      <c r="J1227" s="0" t="n">
        <f aca="false">ROUND(E1227*I1227,2)</f>
        <v>16042.87</v>
      </c>
      <c r="K1227" s="1" t="n">
        <f aca="false">PV(H1227/12,F1227/30,0,-E1227)</f>
        <v>18641.7673188807</v>
      </c>
      <c r="L1227" s="0" t="n">
        <f aca="false">ROUND(E1227-K1227,2)</f>
        <v>232.19</v>
      </c>
      <c r="M1227" s="0" t="n">
        <f aca="false">F1227/E1227</f>
        <v>0.0118152205472513</v>
      </c>
    </row>
    <row r="1228" customFormat="false" ht="12.8" hidden="false" customHeight="false" outlineLevel="0" collapsed="false">
      <c r="A1228" s="0" t="s">
        <v>1806</v>
      </c>
      <c r="B1228" s="0" t="s">
        <v>1429</v>
      </c>
      <c r="C1228" s="0" t="s">
        <v>42</v>
      </c>
      <c r="D1228" s="0" t="s">
        <v>16</v>
      </c>
      <c r="E1228" s="0" t="n">
        <v>29951.83</v>
      </c>
      <c r="F1228" s="0" t="n">
        <v>381</v>
      </c>
      <c r="G1228" s="0" t="str">
        <f aca="false">IF(F1228&lt;=30,"Current",IF(F1228&lt;=60,"31 to 60 days",IF(F1228&lt;=90,"61 to 90 days",IF(F1228&lt;=120,"91 to 120 days","Over 120 days"))))</f>
        <v>Over 120 days</v>
      </c>
      <c r="H1228" s="0" t="n">
        <f aca="false">VLOOKUP(D1228,Rates!$A$4:$B$7,2,FALSE())</f>
        <v>0.085</v>
      </c>
      <c r="I1228" s="0" t="n">
        <f aca="false">VLOOKUP(F1228,Rates!$D$4:$E$8,2)</f>
        <v>0.85</v>
      </c>
      <c r="J1228" s="0" t="n">
        <f aca="false">ROUND(E1228*I1228,2)</f>
        <v>25459.06</v>
      </c>
      <c r="K1228" s="1" t="n">
        <f aca="false">PV(H1228/12,F1228/30,0,-E1228)</f>
        <v>27383.7342624833</v>
      </c>
      <c r="L1228" s="0" t="n">
        <f aca="false">ROUND(E1228-K1228,2)</f>
        <v>2568.1</v>
      </c>
      <c r="M1228" s="0" t="n">
        <f aca="false">F1228/E1228</f>
        <v>0.0127204247620262</v>
      </c>
    </row>
    <row r="1229" customFormat="false" ht="12.8" hidden="false" customHeight="false" outlineLevel="0" collapsed="false">
      <c r="A1229" s="0" t="s">
        <v>1807</v>
      </c>
      <c r="B1229" s="0" t="s">
        <v>609</v>
      </c>
      <c r="C1229" s="0" t="s">
        <v>31</v>
      </c>
      <c r="D1229" s="0" t="s">
        <v>23</v>
      </c>
      <c r="E1229" s="0" t="n">
        <v>43513.69</v>
      </c>
      <c r="F1229" s="0" t="n">
        <v>239</v>
      </c>
      <c r="G1229" s="0" t="str">
        <f aca="false">IF(F1229&lt;=30,"Current",IF(F1229&lt;=60,"31 to 60 days",IF(F1229&lt;=90,"61 to 90 days",IF(F1229&lt;=120,"91 to 120 days","Over 120 days"))))</f>
        <v>Over 120 days</v>
      </c>
      <c r="H1229" s="0" t="n">
        <f aca="false">VLOOKUP(D1229,Rates!$A$4:$B$7,2,FALSE())</f>
        <v>0.115</v>
      </c>
      <c r="I1229" s="0" t="n">
        <f aca="false">VLOOKUP(F1229,Rates!$D$4:$E$8,2)</f>
        <v>0.85</v>
      </c>
      <c r="J1229" s="0" t="n">
        <f aca="false">ROUND(E1229*I1229,2)</f>
        <v>36986.64</v>
      </c>
      <c r="K1229" s="1" t="n">
        <f aca="false">PV(H1229/12,F1229/30,0,-E1229)</f>
        <v>40329.8499718796</v>
      </c>
      <c r="L1229" s="0" t="n">
        <f aca="false">ROUND(E1229-K1229,2)</f>
        <v>3183.84</v>
      </c>
      <c r="M1229" s="0" t="n">
        <f aca="false">F1229/E1229</f>
        <v>0.00549252430671818</v>
      </c>
    </row>
    <row r="1230" customFormat="false" ht="12.8" hidden="false" customHeight="false" outlineLevel="0" collapsed="false">
      <c r="A1230" s="0" t="s">
        <v>1808</v>
      </c>
      <c r="B1230" s="0" t="s">
        <v>51</v>
      </c>
      <c r="C1230" s="0" t="s">
        <v>36</v>
      </c>
      <c r="D1230" s="0" t="s">
        <v>20</v>
      </c>
      <c r="E1230" s="0" t="n">
        <v>6785.78</v>
      </c>
      <c r="F1230" s="0" t="n">
        <v>216</v>
      </c>
      <c r="G1230" s="0" t="str">
        <f aca="false">IF(F1230&lt;=30,"Current",IF(F1230&lt;=60,"31 to 60 days",IF(F1230&lt;=90,"61 to 90 days",IF(F1230&lt;=120,"91 to 120 days","Over 120 days"))))</f>
        <v>Over 120 days</v>
      </c>
      <c r="H1230" s="0" t="n">
        <f aca="false">VLOOKUP(D1230,Rates!$A$4:$B$7,2,FALSE())</f>
        <v>0.05</v>
      </c>
      <c r="I1230" s="0" t="n">
        <f aca="false">VLOOKUP(F1230,Rates!$D$4:$E$8,2)</f>
        <v>0.85</v>
      </c>
      <c r="J1230" s="0" t="n">
        <f aca="false">ROUND(E1230*I1230,2)</f>
        <v>5767.91</v>
      </c>
      <c r="K1230" s="1" t="n">
        <f aca="false">PV(H1230/12,F1230/30,0,-E1230)</f>
        <v>6585.64034259377</v>
      </c>
      <c r="L1230" s="0" t="n">
        <f aca="false">ROUND(E1230-K1230,2)</f>
        <v>200.14</v>
      </c>
      <c r="M1230" s="0" t="n">
        <f aca="false">F1230/E1230</f>
        <v>0.0318312706866418</v>
      </c>
    </row>
    <row r="1231" customFormat="false" ht="12.8" hidden="false" customHeight="false" outlineLevel="0" collapsed="false">
      <c r="A1231" s="0" t="s">
        <v>1809</v>
      </c>
      <c r="B1231" s="0" t="s">
        <v>1810</v>
      </c>
      <c r="C1231" s="0" t="s">
        <v>19</v>
      </c>
      <c r="D1231" s="0" t="s">
        <v>16</v>
      </c>
      <c r="E1231" s="0" t="n">
        <v>17287.32</v>
      </c>
      <c r="F1231" s="0" t="n">
        <v>244</v>
      </c>
      <c r="G1231" s="0" t="str">
        <f aca="false">IF(F1231&lt;=30,"Current",IF(F1231&lt;=60,"31 to 60 days",IF(F1231&lt;=90,"61 to 90 days",IF(F1231&lt;=120,"91 to 120 days","Over 120 days"))))</f>
        <v>Over 120 days</v>
      </c>
      <c r="H1231" s="0" t="n">
        <f aca="false">VLOOKUP(D1231,Rates!$A$4:$B$7,2,FALSE())</f>
        <v>0.085</v>
      </c>
      <c r="I1231" s="0" t="n">
        <f aca="false">VLOOKUP(F1231,Rates!$D$4:$E$8,2)</f>
        <v>0.85</v>
      </c>
      <c r="J1231" s="0" t="n">
        <f aca="false">ROUND(E1231*I1231,2)</f>
        <v>14694.22</v>
      </c>
      <c r="K1231" s="1" t="n">
        <f aca="false">PV(H1231/12,F1231/30,0,-E1231)</f>
        <v>16322.8383774519</v>
      </c>
      <c r="L1231" s="0" t="n">
        <f aca="false">ROUND(E1231-K1231,2)</f>
        <v>964.48</v>
      </c>
      <c r="M1231" s="0" t="n">
        <f aca="false">F1231/E1231</f>
        <v>0.0141143913573648</v>
      </c>
    </row>
    <row r="1232" customFormat="false" ht="12.8" hidden="false" customHeight="false" outlineLevel="0" collapsed="false">
      <c r="A1232" s="0" t="s">
        <v>1811</v>
      </c>
      <c r="B1232" s="0" t="s">
        <v>375</v>
      </c>
      <c r="C1232" s="0" t="s">
        <v>42</v>
      </c>
      <c r="D1232" s="0" t="s">
        <v>23</v>
      </c>
      <c r="E1232" s="0" t="n">
        <v>29180.25</v>
      </c>
      <c r="F1232" s="0" t="n">
        <v>237</v>
      </c>
      <c r="G1232" s="0" t="str">
        <f aca="false">IF(F1232&lt;=30,"Current",IF(F1232&lt;=60,"31 to 60 days",IF(F1232&lt;=90,"61 to 90 days",IF(F1232&lt;=120,"91 to 120 days","Over 120 days"))))</f>
        <v>Over 120 days</v>
      </c>
      <c r="H1232" s="0" t="n">
        <f aca="false">VLOOKUP(D1232,Rates!$A$4:$B$7,2,FALSE())</f>
        <v>0.115</v>
      </c>
      <c r="I1232" s="0" t="n">
        <f aca="false">VLOOKUP(F1232,Rates!$D$4:$E$8,2)</f>
        <v>0.85</v>
      </c>
      <c r="J1232" s="0" t="n">
        <f aca="false">ROUND(E1232*I1232,2)</f>
        <v>24803.21</v>
      </c>
      <c r="K1232" s="1" t="n">
        <f aca="false">PV(H1232/12,F1232/30,0,-E1232)</f>
        <v>27062.3711668767</v>
      </c>
      <c r="L1232" s="0" t="n">
        <f aca="false">ROUND(E1232-K1232,2)</f>
        <v>2117.88</v>
      </c>
      <c r="M1232" s="0" t="n">
        <f aca="false">F1232/E1232</f>
        <v>0.00812193178605392</v>
      </c>
    </row>
    <row r="1233" customFormat="false" ht="12.8" hidden="false" customHeight="false" outlineLevel="0" collapsed="false">
      <c r="A1233" s="0" t="s">
        <v>1812</v>
      </c>
      <c r="B1233" s="0" t="s">
        <v>1813</v>
      </c>
      <c r="C1233" s="0" t="s">
        <v>15</v>
      </c>
      <c r="D1233" s="0" t="s">
        <v>16</v>
      </c>
      <c r="E1233" s="0" t="n">
        <v>5815.79</v>
      </c>
      <c r="F1233" s="0" t="n">
        <v>366</v>
      </c>
      <c r="G1233" s="0" t="str">
        <f aca="false">IF(F1233&lt;=30,"Current",IF(F1233&lt;=60,"31 to 60 days",IF(F1233&lt;=90,"61 to 90 days",IF(F1233&lt;=120,"91 to 120 days","Over 120 days"))))</f>
        <v>Over 120 days</v>
      </c>
      <c r="H1233" s="0" t="n">
        <f aca="false">VLOOKUP(D1233,Rates!$A$4:$B$7,2,FALSE())</f>
        <v>0.085</v>
      </c>
      <c r="I1233" s="0" t="n">
        <f aca="false">VLOOKUP(F1233,Rates!$D$4:$E$8,2)</f>
        <v>0.85</v>
      </c>
      <c r="J1233" s="0" t="n">
        <f aca="false">ROUND(E1233*I1233,2)</f>
        <v>4943.42</v>
      </c>
      <c r="K1233" s="1" t="n">
        <f aca="false">PV(H1233/12,F1233/30,0,-E1233)</f>
        <v>5335.93745387128</v>
      </c>
      <c r="L1233" s="0" t="n">
        <f aca="false">ROUND(E1233-K1233,2)</f>
        <v>479.85</v>
      </c>
      <c r="M1233" s="0" t="n">
        <f aca="false">F1233/E1233</f>
        <v>0.062932121001618</v>
      </c>
    </row>
    <row r="1234" customFormat="false" ht="12.8" hidden="false" customHeight="false" outlineLevel="0" collapsed="false">
      <c r="A1234" s="0" t="s">
        <v>1814</v>
      </c>
      <c r="B1234" s="0" t="s">
        <v>242</v>
      </c>
      <c r="C1234" s="0" t="s">
        <v>36</v>
      </c>
      <c r="D1234" s="0" t="s">
        <v>23</v>
      </c>
      <c r="E1234" s="0" t="n">
        <v>28767.28</v>
      </c>
      <c r="F1234" s="0" t="n">
        <v>90</v>
      </c>
      <c r="G1234" s="0" t="str">
        <f aca="false">IF(F1234&lt;=30,"Current",IF(F1234&lt;=60,"31 to 60 days",IF(F1234&lt;=90,"61 to 90 days",IF(F1234&lt;=120,"91 to 120 days","Over 120 days"))))</f>
        <v>61 to 90 days</v>
      </c>
      <c r="H1234" s="0" t="n">
        <f aca="false">VLOOKUP(D1234,Rates!$A$4:$B$7,2,FALSE())</f>
        <v>0.115</v>
      </c>
      <c r="I1234" s="0" t="n">
        <f aca="false">VLOOKUP(F1234,Rates!$D$4:$E$8,2)</f>
        <v>0.25</v>
      </c>
      <c r="J1234" s="0" t="n">
        <f aca="false">ROUND(E1234*I1234,2)</f>
        <v>7191.82</v>
      </c>
      <c r="K1234" s="1" t="n">
        <f aca="false">PV(H1234/12,F1234/30,0,-E1234)</f>
        <v>27955.8230701386</v>
      </c>
      <c r="L1234" s="0" t="n">
        <f aca="false">ROUND(E1234-K1234,2)</f>
        <v>811.46</v>
      </c>
      <c r="M1234" s="0" t="n">
        <f aca="false">F1234/E1234</f>
        <v>0.00312855438539897</v>
      </c>
    </row>
    <row r="1235" customFormat="false" ht="12.8" hidden="false" customHeight="false" outlineLevel="0" collapsed="false">
      <c r="A1235" s="0" t="s">
        <v>1815</v>
      </c>
      <c r="B1235" s="0" t="s">
        <v>55</v>
      </c>
      <c r="C1235" s="0" t="s">
        <v>26</v>
      </c>
      <c r="D1235" s="0" t="s">
        <v>23</v>
      </c>
      <c r="E1235" s="0" t="n">
        <v>37379.65</v>
      </c>
      <c r="F1235" s="0" t="n">
        <v>242</v>
      </c>
      <c r="G1235" s="0" t="str">
        <f aca="false">IF(F1235&lt;=30,"Current",IF(F1235&lt;=60,"31 to 60 days",IF(F1235&lt;=90,"61 to 90 days",IF(F1235&lt;=120,"91 to 120 days","Over 120 days"))))</f>
        <v>Over 120 days</v>
      </c>
      <c r="H1235" s="0" t="n">
        <f aca="false">VLOOKUP(D1235,Rates!$A$4:$B$7,2,FALSE())</f>
        <v>0.115</v>
      </c>
      <c r="I1235" s="0" t="n">
        <f aca="false">VLOOKUP(F1235,Rates!$D$4:$E$8,2)</f>
        <v>0.85</v>
      </c>
      <c r="J1235" s="0" t="n">
        <f aca="false">ROUND(E1235*I1235,2)</f>
        <v>31772.7</v>
      </c>
      <c r="K1235" s="1" t="n">
        <f aca="false">PV(H1235/12,F1235/30,0,-E1235)</f>
        <v>34611.6024188752</v>
      </c>
      <c r="L1235" s="0" t="n">
        <f aca="false">ROUND(E1235-K1235,2)</f>
        <v>2768.05</v>
      </c>
      <c r="M1235" s="0" t="n">
        <f aca="false">F1235/E1235</f>
        <v>0.00647411091329106</v>
      </c>
    </row>
    <row r="1236" customFormat="false" ht="12.8" hidden="false" customHeight="false" outlineLevel="0" collapsed="false">
      <c r="A1236" s="0" t="s">
        <v>1816</v>
      </c>
      <c r="B1236" s="0" t="s">
        <v>1817</v>
      </c>
      <c r="C1236" s="0" t="s">
        <v>19</v>
      </c>
      <c r="D1236" s="0" t="s">
        <v>49</v>
      </c>
      <c r="E1236" s="0" t="n">
        <v>32517.39</v>
      </c>
      <c r="F1236" s="0" t="n">
        <v>81</v>
      </c>
      <c r="G1236" s="0" t="str">
        <f aca="false">IF(F1236&lt;=30,"Current",IF(F1236&lt;=60,"31 to 60 days",IF(F1236&lt;=90,"61 to 90 days",IF(F1236&lt;=120,"91 to 120 days","Over 120 days"))))</f>
        <v>61 to 90 days</v>
      </c>
      <c r="H1236" s="0" t="n">
        <f aca="false">VLOOKUP(D1236,Rates!$A$4:$B$7,2,FALSE())</f>
        <v>0.02</v>
      </c>
      <c r="I1236" s="0" t="n">
        <f aca="false">VLOOKUP(F1236,Rates!$D$4:$E$8,2)</f>
        <v>0.25</v>
      </c>
      <c r="J1236" s="0" t="n">
        <f aca="false">ROUND(E1236*I1236,2)</f>
        <v>8129.35</v>
      </c>
      <c r="K1236" s="1" t="n">
        <f aca="false">PV(H1236/12,F1236/30,0,-E1236)</f>
        <v>32371.5117485</v>
      </c>
      <c r="L1236" s="0" t="n">
        <f aca="false">ROUND(E1236-K1236,2)</f>
        <v>145.88</v>
      </c>
      <c r="M1236" s="0" t="n">
        <f aca="false">F1236/E1236</f>
        <v>0.00249097482916064</v>
      </c>
    </row>
    <row r="1237" customFormat="false" ht="12.8" hidden="false" customHeight="false" outlineLevel="0" collapsed="false">
      <c r="A1237" s="0" t="s">
        <v>1818</v>
      </c>
      <c r="B1237" s="0" t="s">
        <v>1819</v>
      </c>
      <c r="C1237" s="0" t="s">
        <v>36</v>
      </c>
      <c r="D1237" s="0" t="s">
        <v>49</v>
      </c>
      <c r="E1237" s="0" t="n">
        <v>28074.7</v>
      </c>
      <c r="F1237" s="0" t="n">
        <v>360</v>
      </c>
      <c r="G1237" s="0" t="str">
        <f aca="false">IF(F1237&lt;=30,"Current",IF(F1237&lt;=60,"31 to 60 days",IF(F1237&lt;=90,"61 to 90 days",IF(F1237&lt;=120,"91 to 120 days","Over 120 days"))))</f>
        <v>Over 120 days</v>
      </c>
      <c r="H1237" s="0" t="n">
        <f aca="false">VLOOKUP(D1237,Rates!$A$4:$B$7,2,FALSE())</f>
        <v>0.02</v>
      </c>
      <c r="I1237" s="0" t="n">
        <f aca="false">VLOOKUP(F1237,Rates!$D$4:$E$8,2)</f>
        <v>0.85</v>
      </c>
      <c r="J1237" s="0" t="n">
        <f aca="false">ROUND(E1237*I1237,2)</f>
        <v>23863.5</v>
      </c>
      <c r="K1237" s="1" t="n">
        <f aca="false">PV(H1237/12,F1237/30,0,-E1237)</f>
        <v>27519.2418347227</v>
      </c>
      <c r="L1237" s="0" t="n">
        <f aca="false">ROUND(E1237-K1237,2)</f>
        <v>555.46</v>
      </c>
      <c r="M1237" s="0" t="n">
        <f aca="false">F1237/E1237</f>
        <v>0.0128229331034704</v>
      </c>
    </row>
    <row r="1238" customFormat="false" ht="12.8" hidden="false" customHeight="false" outlineLevel="0" collapsed="false">
      <c r="A1238" s="0" t="s">
        <v>1820</v>
      </c>
      <c r="B1238" s="0" t="s">
        <v>413</v>
      </c>
      <c r="C1238" s="0" t="s">
        <v>36</v>
      </c>
      <c r="D1238" s="0" t="s">
        <v>23</v>
      </c>
      <c r="E1238" s="0" t="n">
        <v>2174.72</v>
      </c>
      <c r="F1238" s="0" t="n">
        <v>79</v>
      </c>
      <c r="G1238" s="0" t="str">
        <f aca="false">IF(F1238&lt;=30,"Current",IF(F1238&lt;=60,"31 to 60 days",IF(F1238&lt;=90,"61 to 90 days",IF(F1238&lt;=120,"91 to 120 days","Over 120 days"))))</f>
        <v>61 to 90 days</v>
      </c>
      <c r="H1238" s="0" t="n">
        <f aca="false">VLOOKUP(D1238,Rates!$A$4:$B$7,2,FALSE())</f>
        <v>0.115</v>
      </c>
      <c r="I1238" s="0" t="n">
        <f aca="false">VLOOKUP(F1238,Rates!$D$4:$E$8,2)</f>
        <v>0.25</v>
      </c>
      <c r="J1238" s="0" t="n">
        <f aca="false">ROUND(E1238*I1238,2)</f>
        <v>543.68</v>
      </c>
      <c r="K1238" s="1" t="n">
        <f aca="false">PV(H1238/12,F1238/30,0,-E1238)</f>
        <v>2120.78004229848</v>
      </c>
      <c r="L1238" s="0" t="n">
        <f aca="false">ROUND(E1238-K1238,2)</f>
        <v>53.94</v>
      </c>
      <c r="M1238" s="0" t="n">
        <f aca="false">F1238/E1238</f>
        <v>0.0363265155974102</v>
      </c>
    </row>
    <row r="1239" customFormat="false" ht="12.8" hidden="false" customHeight="false" outlineLevel="0" collapsed="false">
      <c r="A1239" s="0" t="s">
        <v>1821</v>
      </c>
      <c r="B1239" s="0" t="s">
        <v>18</v>
      </c>
      <c r="C1239" s="0" t="s">
        <v>19</v>
      </c>
      <c r="D1239" s="0" t="s">
        <v>20</v>
      </c>
      <c r="E1239" s="0" t="n">
        <v>35983.66</v>
      </c>
      <c r="F1239" s="0" t="n">
        <v>95</v>
      </c>
      <c r="G1239" s="0" t="str">
        <f aca="false">IF(F1239&lt;=30,"Current",IF(F1239&lt;=60,"31 to 60 days",IF(F1239&lt;=90,"61 to 90 days",IF(F1239&lt;=120,"91 to 120 days","Over 120 days"))))</f>
        <v>91 to 120 days</v>
      </c>
      <c r="H1239" s="0" t="n">
        <f aca="false">VLOOKUP(D1239,Rates!$A$4:$B$7,2,FALSE())</f>
        <v>0.05</v>
      </c>
      <c r="I1239" s="0" t="n">
        <f aca="false">VLOOKUP(F1239,Rates!$D$4:$E$8,2)</f>
        <v>0.5</v>
      </c>
      <c r="J1239" s="0" t="n">
        <f aca="false">ROUND(E1239*I1239,2)</f>
        <v>17991.83</v>
      </c>
      <c r="K1239" s="1" t="n">
        <f aca="false">PV(H1239/12,F1239/30,0,-E1239)</f>
        <v>35512.9676036499</v>
      </c>
      <c r="L1239" s="0" t="n">
        <f aca="false">ROUND(E1239-K1239,2)</f>
        <v>470.69</v>
      </c>
      <c r="M1239" s="0" t="n">
        <f aca="false">F1239/E1239</f>
        <v>0.00264008719513246</v>
      </c>
    </row>
    <row r="1240" customFormat="false" ht="12.8" hidden="false" customHeight="false" outlineLevel="0" collapsed="false">
      <c r="A1240" s="0" t="s">
        <v>1822</v>
      </c>
      <c r="B1240" s="0" t="s">
        <v>1823</v>
      </c>
      <c r="C1240" s="0" t="s">
        <v>36</v>
      </c>
      <c r="D1240" s="0" t="s">
        <v>49</v>
      </c>
      <c r="E1240" s="0" t="n">
        <v>44598.44</v>
      </c>
      <c r="F1240" s="0" t="n">
        <v>114</v>
      </c>
      <c r="G1240" s="0" t="str">
        <f aca="false">IF(F1240&lt;=30,"Current",IF(F1240&lt;=60,"31 to 60 days",IF(F1240&lt;=90,"61 to 90 days",IF(F1240&lt;=120,"91 to 120 days","Over 120 days"))))</f>
        <v>91 to 120 days</v>
      </c>
      <c r="H1240" s="0" t="n">
        <f aca="false">VLOOKUP(D1240,Rates!$A$4:$B$7,2,FALSE())</f>
        <v>0.02</v>
      </c>
      <c r="I1240" s="0" t="n">
        <f aca="false">VLOOKUP(F1240,Rates!$D$4:$E$8,2)</f>
        <v>0.5</v>
      </c>
      <c r="J1240" s="0" t="n">
        <f aca="false">ROUND(E1240*I1240,2)</f>
        <v>22299.22</v>
      </c>
      <c r="K1240" s="1" t="n">
        <f aca="false">PV(H1240/12,F1240/30,0,-E1240)</f>
        <v>44317.109410214</v>
      </c>
      <c r="L1240" s="0" t="n">
        <f aca="false">ROUND(E1240-K1240,2)</f>
        <v>281.33</v>
      </c>
      <c r="M1240" s="0" t="n">
        <f aca="false">F1240/E1240</f>
        <v>0.00255614321935924</v>
      </c>
    </row>
    <row r="1241" customFormat="false" ht="12.8" hidden="false" customHeight="false" outlineLevel="0" collapsed="false">
      <c r="A1241" s="0" t="s">
        <v>1824</v>
      </c>
      <c r="B1241" s="0" t="s">
        <v>1825</v>
      </c>
      <c r="C1241" s="0" t="s">
        <v>42</v>
      </c>
      <c r="D1241" s="0" t="s">
        <v>49</v>
      </c>
      <c r="E1241" s="0" t="n">
        <v>38933.51</v>
      </c>
      <c r="F1241" s="0" t="n">
        <v>94</v>
      </c>
      <c r="G1241" s="0" t="str">
        <f aca="false">IF(F1241&lt;=30,"Current",IF(F1241&lt;=60,"31 to 60 days",IF(F1241&lt;=90,"61 to 90 days",IF(F1241&lt;=120,"91 to 120 days","Over 120 days"))))</f>
        <v>91 to 120 days</v>
      </c>
      <c r="H1241" s="0" t="n">
        <f aca="false">VLOOKUP(D1241,Rates!$A$4:$B$7,2,FALSE())</f>
        <v>0.02</v>
      </c>
      <c r="I1241" s="0" t="n">
        <f aca="false">VLOOKUP(F1241,Rates!$D$4:$E$8,2)</f>
        <v>0.5</v>
      </c>
      <c r="J1241" s="0" t="n">
        <f aca="false">ROUND(E1241*I1241,2)</f>
        <v>19466.76</v>
      </c>
      <c r="K1241" s="1" t="n">
        <f aca="false">PV(H1241/12,F1241/30,0,-E1241)</f>
        <v>38730.8888892841</v>
      </c>
      <c r="L1241" s="0" t="n">
        <f aca="false">ROUND(E1241-K1241,2)</f>
        <v>202.62</v>
      </c>
      <c r="M1241" s="0" t="n">
        <f aca="false">F1241/E1241</f>
        <v>0.00241437260601472</v>
      </c>
    </row>
    <row r="1242" customFormat="false" ht="12.8" hidden="false" customHeight="false" outlineLevel="0" collapsed="false">
      <c r="A1242" s="0" t="s">
        <v>1826</v>
      </c>
      <c r="B1242" s="0" t="s">
        <v>1635</v>
      </c>
      <c r="C1242" s="0" t="s">
        <v>26</v>
      </c>
      <c r="D1242" s="0" t="s">
        <v>49</v>
      </c>
      <c r="E1242" s="0" t="n">
        <v>41263.93</v>
      </c>
      <c r="F1242" s="0" t="n">
        <v>87</v>
      </c>
      <c r="G1242" s="0" t="str">
        <f aca="false">IF(F1242&lt;=30,"Current",IF(F1242&lt;=60,"31 to 60 days",IF(F1242&lt;=90,"61 to 90 days",IF(F1242&lt;=120,"91 to 120 days","Over 120 days"))))</f>
        <v>61 to 90 days</v>
      </c>
      <c r="H1242" s="0" t="n">
        <f aca="false">VLOOKUP(D1242,Rates!$A$4:$B$7,2,FALSE())</f>
        <v>0.02</v>
      </c>
      <c r="I1242" s="0" t="n">
        <f aca="false">VLOOKUP(F1242,Rates!$D$4:$E$8,2)</f>
        <v>0.25</v>
      </c>
      <c r="J1242" s="0" t="n">
        <f aca="false">ROUND(E1242*I1242,2)</f>
        <v>10315.98</v>
      </c>
      <c r="K1242" s="1" t="n">
        <f aca="false">PV(H1242/12,F1242/30,0,-E1242)</f>
        <v>41065.134099051</v>
      </c>
      <c r="L1242" s="0" t="n">
        <f aca="false">ROUND(E1242-K1242,2)</f>
        <v>198.8</v>
      </c>
      <c r="M1242" s="0" t="n">
        <f aca="false">F1242/E1242</f>
        <v>0.00210837891592003</v>
      </c>
    </row>
    <row r="1243" customFormat="false" ht="12.8" hidden="false" customHeight="false" outlineLevel="0" collapsed="false">
      <c r="A1243" s="0" t="s">
        <v>1827</v>
      </c>
      <c r="B1243" s="0" t="s">
        <v>1828</v>
      </c>
      <c r="C1243" s="0" t="s">
        <v>26</v>
      </c>
      <c r="D1243" s="0" t="s">
        <v>16</v>
      </c>
      <c r="E1243" s="0" t="n">
        <v>32940.84</v>
      </c>
      <c r="F1243" s="0" t="n">
        <v>182</v>
      </c>
      <c r="G1243" s="0" t="str">
        <f aca="false">IF(F1243&lt;=30,"Current",IF(F1243&lt;=60,"31 to 60 days",IF(F1243&lt;=90,"61 to 90 days",IF(F1243&lt;=120,"91 to 120 days","Over 120 days"))))</f>
        <v>Over 120 days</v>
      </c>
      <c r="H1243" s="0" t="n">
        <f aca="false">VLOOKUP(D1243,Rates!$A$4:$B$7,2,FALSE())</f>
        <v>0.085</v>
      </c>
      <c r="I1243" s="0" t="n">
        <f aca="false">VLOOKUP(F1243,Rates!$D$4:$E$8,2)</f>
        <v>0.85</v>
      </c>
      <c r="J1243" s="0" t="n">
        <f aca="false">ROUND(E1243*I1243,2)</f>
        <v>27999.71</v>
      </c>
      <c r="K1243" s="1" t="n">
        <f aca="false">PV(H1243/12,F1243/30,0,-E1243)</f>
        <v>31560.0626633339</v>
      </c>
      <c r="L1243" s="0" t="n">
        <f aca="false">ROUND(E1243-K1243,2)</f>
        <v>1380.78</v>
      </c>
      <c r="M1243" s="0" t="n">
        <f aca="false">F1243/E1243</f>
        <v>0.00552505643450501</v>
      </c>
    </row>
    <row r="1244" customFormat="false" ht="12.8" hidden="false" customHeight="false" outlineLevel="0" collapsed="false">
      <c r="A1244" s="0" t="s">
        <v>1829</v>
      </c>
      <c r="B1244" s="0" t="s">
        <v>1830</v>
      </c>
      <c r="C1244" s="0" t="s">
        <v>15</v>
      </c>
      <c r="D1244" s="0" t="s">
        <v>16</v>
      </c>
      <c r="E1244" s="0" t="n">
        <v>16641.25</v>
      </c>
      <c r="F1244" s="0" t="n">
        <v>346</v>
      </c>
      <c r="G1244" s="0" t="str">
        <f aca="false">IF(F1244&lt;=30,"Current",IF(F1244&lt;=60,"31 to 60 days",IF(F1244&lt;=90,"61 to 90 days",IF(F1244&lt;=120,"91 to 120 days","Over 120 days"))))</f>
        <v>Over 120 days</v>
      </c>
      <c r="H1244" s="0" t="n">
        <f aca="false">VLOOKUP(D1244,Rates!$A$4:$B$7,2,FALSE())</f>
        <v>0.085</v>
      </c>
      <c r="I1244" s="0" t="n">
        <f aca="false">VLOOKUP(F1244,Rates!$D$4:$E$8,2)</f>
        <v>0.85</v>
      </c>
      <c r="J1244" s="0" t="n">
        <f aca="false">ROUND(E1244*I1244,2)</f>
        <v>14145.06</v>
      </c>
      <c r="K1244" s="1" t="n">
        <f aca="false">PV(H1244/12,F1244/30,0,-E1244)</f>
        <v>15340.2191762184</v>
      </c>
      <c r="L1244" s="0" t="n">
        <f aca="false">ROUND(E1244-K1244,2)</f>
        <v>1301.03</v>
      </c>
      <c r="M1244" s="0" t="n">
        <f aca="false">F1244/E1244</f>
        <v>0.0207917073537144</v>
      </c>
    </row>
    <row r="1245" customFormat="false" ht="12.8" hidden="false" customHeight="false" outlineLevel="0" collapsed="false">
      <c r="A1245" s="0" t="s">
        <v>1831</v>
      </c>
      <c r="B1245" s="0" t="s">
        <v>1204</v>
      </c>
      <c r="C1245" s="0" t="s">
        <v>31</v>
      </c>
      <c r="D1245" s="0" t="s">
        <v>49</v>
      </c>
      <c r="E1245" s="0" t="n">
        <v>42984.23</v>
      </c>
      <c r="F1245" s="0" t="n">
        <v>269</v>
      </c>
      <c r="G1245" s="0" t="str">
        <f aca="false">IF(F1245&lt;=30,"Current",IF(F1245&lt;=60,"31 to 60 days",IF(F1245&lt;=90,"61 to 90 days",IF(F1245&lt;=120,"91 to 120 days","Over 120 days"))))</f>
        <v>Over 120 days</v>
      </c>
      <c r="H1245" s="0" t="n">
        <f aca="false">VLOOKUP(D1245,Rates!$A$4:$B$7,2,FALSE())</f>
        <v>0.02</v>
      </c>
      <c r="I1245" s="0" t="n">
        <f aca="false">VLOOKUP(F1245,Rates!$D$4:$E$8,2)</f>
        <v>0.85</v>
      </c>
      <c r="J1245" s="0" t="n">
        <f aca="false">ROUND(E1245*I1245,2)</f>
        <v>36536.6</v>
      </c>
      <c r="K1245" s="1" t="n">
        <f aca="false">PV(H1245/12,F1245/30,0,-E1245)</f>
        <v>42347.1575033213</v>
      </c>
      <c r="L1245" s="0" t="n">
        <f aca="false">ROUND(E1245-K1245,2)</f>
        <v>637.07</v>
      </c>
      <c r="M1245" s="0" t="n">
        <f aca="false">F1245/E1245</f>
        <v>0.0062581090786086</v>
      </c>
    </row>
    <row r="1246" customFormat="false" ht="12.8" hidden="false" customHeight="false" outlineLevel="0" collapsed="false">
      <c r="A1246" s="0" t="s">
        <v>1832</v>
      </c>
      <c r="B1246" s="0" t="s">
        <v>97</v>
      </c>
      <c r="C1246" s="0" t="s">
        <v>42</v>
      </c>
      <c r="D1246" s="0" t="s">
        <v>20</v>
      </c>
      <c r="E1246" s="0" t="n">
        <v>2837.29</v>
      </c>
      <c r="F1246" s="0" t="n">
        <v>33</v>
      </c>
      <c r="G1246" s="0" t="str">
        <f aca="false">IF(F1246&lt;=30,"Current",IF(F1246&lt;=60,"31 to 60 days",IF(F1246&lt;=90,"61 to 90 days",IF(F1246&lt;=120,"91 to 120 days","Over 120 days"))))</f>
        <v>31 to 60 days</v>
      </c>
      <c r="H1246" s="0" t="n">
        <f aca="false">VLOOKUP(D1246,Rates!$A$4:$B$7,2,FALSE())</f>
        <v>0.05</v>
      </c>
      <c r="I1246" s="0" t="n">
        <f aca="false">VLOOKUP(F1246,Rates!$D$4:$E$8,2)</f>
        <v>0.1</v>
      </c>
      <c r="J1246" s="0" t="n">
        <f aca="false">ROUND(E1246*I1246,2)</f>
        <v>283.73</v>
      </c>
      <c r="K1246" s="1" t="n">
        <f aca="false">PV(H1246/12,F1246/30,0,-E1246)</f>
        <v>2824.34240382549</v>
      </c>
      <c r="L1246" s="0" t="n">
        <f aca="false">ROUND(E1246-K1246,2)</f>
        <v>12.95</v>
      </c>
      <c r="M1246" s="0" t="n">
        <f aca="false">F1246/E1246</f>
        <v>0.0116308167300487</v>
      </c>
    </row>
    <row r="1247" customFormat="false" ht="12.8" hidden="false" customHeight="false" outlineLevel="0" collapsed="false">
      <c r="A1247" s="0" t="s">
        <v>1833</v>
      </c>
      <c r="B1247" s="0" t="s">
        <v>25</v>
      </c>
      <c r="C1247" s="0" t="s">
        <v>26</v>
      </c>
      <c r="D1247" s="0" t="s">
        <v>23</v>
      </c>
      <c r="E1247" s="0" t="n">
        <v>4496.97</v>
      </c>
      <c r="F1247" s="0" t="n">
        <v>258</v>
      </c>
      <c r="G1247" s="0" t="str">
        <f aca="false">IF(F1247&lt;=30,"Current",IF(F1247&lt;=60,"31 to 60 days",IF(F1247&lt;=90,"61 to 90 days",IF(F1247&lt;=120,"91 to 120 days","Over 120 days"))))</f>
        <v>Over 120 days</v>
      </c>
      <c r="H1247" s="0" t="n">
        <f aca="false">VLOOKUP(D1247,Rates!$A$4:$B$7,2,FALSE())</f>
        <v>0.115</v>
      </c>
      <c r="I1247" s="0" t="n">
        <f aca="false">VLOOKUP(F1247,Rates!$D$4:$E$8,2)</f>
        <v>0.85</v>
      </c>
      <c r="J1247" s="0" t="n">
        <f aca="false">ROUND(E1247*I1247,2)</f>
        <v>3822.42</v>
      </c>
      <c r="K1247" s="1" t="n">
        <f aca="false">PV(H1247/12,F1247/30,0,-E1247)</f>
        <v>4142.83185985965</v>
      </c>
      <c r="L1247" s="0" t="n">
        <f aca="false">ROUND(E1247-K1247,2)</f>
        <v>354.14</v>
      </c>
      <c r="M1247" s="0" t="n">
        <f aca="false">F1247/E1247</f>
        <v>0.0573719637889512</v>
      </c>
    </row>
    <row r="1248" customFormat="false" ht="12.8" hidden="false" customHeight="false" outlineLevel="0" collapsed="false">
      <c r="A1248" s="0" t="s">
        <v>1834</v>
      </c>
      <c r="B1248" s="0" t="s">
        <v>1835</v>
      </c>
      <c r="C1248" s="0" t="s">
        <v>31</v>
      </c>
      <c r="D1248" s="0" t="s">
        <v>16</v>
      </c>
      <c r="E1248" s="0" t="n">
        <v>2412.95</v>
      </c>
      <c r="F1248" s="0" t="n">
        <v>317</v>
      </c>
      <c r="G1248" s="0" t="str">
        <f aca="false">IF(F1248&lt;=30,"Current",IF(F1248&lt;=60,"31 to 60 days",IF(F1248&lt;=90,"61 to 90 days",IF(F1248&lt;=120,"91 to 120 days","Over 120 days"))))</f>
        <v>Over 120 days</v>
      </c>
      <c r="H1248" s="0" t="n">
        <f aca="false">VLOOKUP(D1248,Rates!$A$4:$B$7,2,FALSE())</f>
        <v>0.085</v>
      </c>
      <c r="I1248" s="0" t="n">
        <f aca="false">VLOOKUP(F1248,Rates!$D$4:$E$8,2)</f>
        <v>0.85</v>
      </c>
      <c r="J1248" s="0" t="n">
        <f aca="false">ROUND(E1248*I1248,2)</f>
        <v>2051.01</v>
      </c>
      <c r="K1248" s="1" t="n">
        <f aca="false">PV(H1248/12,F1248/30,0,-E1248)</f>
        <v>2239.53147681079</v>
      </c>
      <c r="L1248" s="0" t="n">
        <f aca="false">ROUND(E1248-K1248,2)</f>
        <v>173.42</v>
      </c>
      <c r="M1248" s="0" t="n">
        <f aca="false">F1248/E1248</f>
        <v>0.1313744586502</v>
      </c>
    </row>
    <row r="1249" customFormat="false" ht="12.8" hidden="false" customHeight="false" outlineLevel="0" collapsed="false">
      <c r="A1249" s="0" t="s">
        <v>1836</v>
      </c>
      <c r="B1249" s="0" t="s">
        <v>30</v>
      </c>
      <c r="C1249" s="0" t="s">
        <v>31</v>
      </c>
      <c r="D1249" s="0" t="s">
        <v>20</v>
      </c>
      <c r="E1249" s="0" t="n">
        <v>44193.1</v>
      </c>
      <c r="F1249" s="0" t="n">
        <v>279</v>
      </c>
      <c r="G1249" s="0" t="str">
        <f aca="false">IF(F1249&lt;=30,"Current",IF(F1249&lt;=60,"31 to 60 days",IF(F1249&lt;=90,"61 to 90 days",IF(F1249&lt;=120,"91 to 120 days","Over 120 days"))))</f>
        <v>Over 120 days</v>
      </c>
      <c r="H1249" s="0" t="n">
        <f aca="false">VLOOKUP(D1249,Rates!$A$4:$B$7,2,FALSE())</f>
        <v>0.05</v>
      </c>
      <c r="I1249" s="0" t="n">
        <f aca="false">VLOOKUP(F1249,Rates!$D$4:$E$8,2)</f>
        <v>0.85</v>
      </c>
      <c r="J1249" s="0" t="n">
        <f aca="false">ROUND(E1249*I1249,2)</f>
        <v>37564.14</v>
      </c>
      <c r="K1249" s="1" t="n">
        <f aca="false">PV(H1249/12,F1249/30,0,-E1249)</f>
        <v>42516.7949820697</v>
      </c>
      <c r="L1249" s="0" t="n">
        <f aca="false">ROUND(E1249-K1249,2)</f>
        <v>1676.31</v>
      </c>
      <c r="M1249" s="0" t="n">
        <f aca="false">F1249/E1249</f>
        <v>0.00631320273979422</v>
      </c>
    </row>
    <row r="1250" customFormat="false" ht="12.8" hidden="false" customHeight="false" outlineLevel="0" collapsed="false">
      <c r="A1250" s="0" t="s">
        <v>1837</v>
      </c>
      <c r="B1250" s="0" t="s">
        <v>269</v>
      </c>
      <c r="C1250" s="0" t="s">
        <v>42</v>
      </c>
      <c r="D1250" s="0" t="s">
        <v>23</v>
      </c>
      <c r="E1250" s="0" t="n">
        <v>30738.95</v>
      </c>
      <c r="F1250" s="0" t="n">
        <v>321</v>
      </c>
      <c r="G1250" s="0" t="str">
        <f aca="false">IF(F1250&lt;=30,"Current",IF(F1250&lt;=60,"31 to 60 days",IF(F1250&lt;=90,"61 to 90 days",IF(F1250&lt;=120,"91 to 120 days","Over 120 days"))))</f>
        <v>Over 120 days</v>
      </c>
      <c r="H1250" s="0" t="n">
        <f aca="false">VLOOKUP(D1250,Rates!$A$4:$B$7,2,FALSE())</f>
        <v>0.115</v>
      </c>
      <c r="I1250" s="0" t="n">
        <f aca="false">VLOOKUP(F1250,Rates!$D$4:$E$8,2)</f>
        <v>0.85</v>
      </c>
      <c r="J1250" s="0" t="n">
        <f aca="false">ROUND(E1250*I1250,2)</f>
        <v>26128.11</v>
      </c>
      <c r="K1250" s="1" t="n">
        <f aca="false">PV(H1250/12,F1250/30,0,-E1250)</f>
        <v>27756.6969369005</v>
      </c>
      <c r="L1250" s="0" t="n">
        <f aca="false">ROUND(E1250-K1250,2)</f>
        <v>2982.25</v>
      </c>
      <c r="M1250" s="0" t="n">
        <f aca="false">F1250/E1250</f>
        <v>0.0104427769979131</v>
      </c>
    </row>
    <row r="1251" customFormat="false" ht="12.8" hidden="false" customHeight="false" outlineLevel="0" collapsed="false">
      <c r="A1251" s="0" t="s">
        <v>1838</v>
      </c>
      <c r="B1251" s="0" t="s">
        <v>375</v>
      </c>
      <c r="C1251" s="0" t="s">
        <v>42</v>
      </c>
      <c r="D1251" s="0" t="s">
        <v>23</v>
      </c>
      <c r="E1251" s="0" t="n">
        <v>38962.8</v>
      </c>
      <c r="F1251" s="0" t="n">
        <v>259</v>
      </c>
      <c r="G1251" s="0" t="str">
        <f aca="false">IF(F1251&lt;=30,"Current",IF(F1251&lt;=60,"31 to 60 days",IF(F1251&lt;=90,"61 to 90 days",IF(F1251&lt;=120,"91 to 120 days","Over 120 days"))))</f>
        <v>Over 120 days</v>
      </c>
      <c r="H1251" s="0" t="n">
        <f aca="false">VLOOKUP(D1251,Rates!$A$4:$B$7,2,FALSE())</f>
        <v>0.115</v>
      </c>
      <c r="I1251" s="0" t="n">
        <f aca="false">VLOOKUP(F1251,Rates!$D$4:$E$8,2)</f>
        <v>0.85</v>
      </c>
      <c r="J1251" s="0" t="n">
        <f aca="false">ROUND(E1251*I1251,2)</f>
        <v>33118.38</v>
      </c>
      <c r="K1251" s="1" t="n">
        <f aca="false">PV(H1251/12,F1251/30,0,-E1251)</f>
        <v>35883.0544354404</v>
      </c>
      <c r="L1251" s="0" t="n">
        <f aca="false">ROUND(E1251-K1251,2)</f>
        <v>3079.75</v>
      </c>
      <c r="M1251" s="0" t="n">
        <f aca="false">F1251/E1251</f>
        <v>0.00664736620571417</v>
      </c>
    </row>
    <row r="1252" customFormat="false" ht="12.8" hidden="false" customHeight="false" outlineLevel="0" collapsed="false">
      <c r="A1252" s="0" t="s">
        <v>1839</v>
      </c>
      <c r="B1252" s="0" t="s">
        <v>1840</v>
      </c>
      <c r="C1252" s="0" t="s">
        <v>31</v>
      </c>
      <c r="D1252" s="0" t="s">
        <v>16</v>
      </c>
      <c r="E1252" s="0" t="n">
        <v>10098.72</v>
      </c>
      <c r="F1252" s="0" t="n">
        <v>60</v>
      </c>
      <c r="G1252" s="0" t="str">
        <f aca="false">IF(F1252&lt;=30,"Current",IF(F1252&lt;=60,"31 to 60 days",IF(F1252&lt;=90,"61 to 90 days",IF(F1252&lt;=120,"91 to 120 days","Over 120 days"))))</f>
        <v>31 to 60 days</v>
      </c>
      <c r="H1252" s="0" t="n">
        <f aca="false">VLOOKUP(D1252,Rates!$A$4:$B$7,2,FALSE())</f>
        <v>0.085</v>
      </c>
      <c r="I1252" s="0" t="n">
        <f aca="false">VLOOKUP(F1252,Rates!$D$4:$E$8,2)</f>
        <v>0.1</v>
      </c>
      <c r="J1252" s="0" t="n">
        <f aca="false">ROUND(E1252*I1252,2)</f>
        <v>1009.87</v>
      </c>
      <c r="K1252" s="1" t="n">
        <f aca="false">PV(H1252/12,F1252/30,0,-E1252)</f>
        <v>9957.16063759513</v>
      </c>
      <c r="L1252" s="0" t="n">
        <f aca="false">ROUND(E1252-K1252,2)</f>
        <v>141.56</v>
      </c>
      <c r="M1252" s="0" t="n">
        <f aca="false">F1252/E1252</f>
        <v>0.00594134702219687</v>
      </c>
    </row>
    <row r="1253" customFormat="false" ht="12.8" hidden="false" customHeight="false" outlineLevel="0" collapsed="false">
      <c r="A1253" s="0" t="s">
        <v>1841</v>
      </c>
      <c r="B1253" s="0" t="s">
        <v>1635</v>
      </c>
      <c r="C1253" s="0" t="s">
        <v>26</v>
      </c>
      <c r="D1253" s="0" t="s">
        <v>16</v>
      </c>
      <c r="E1253" s="0" t="n">
        <v>18314.97</v>
      </c>
      <c r="F1253" s="0" t="n">
        <v>339</v>
      </c>
      <c r="G1253" s="0" t="str">
        <f aca="false">IF(F1253&lt;=30,"Current",IF(F1253&lt;=60,"31 to 60 days",IF(F1253&lt;=90,"61 to 90 days",IF(F1253&lt;=120,"91 to 120 days","Over 120 days"))))</f>
        <v>Over 120 days</v>
      </c>
      <c r="H1253" s="0" t="n">
        <f aca="false">VLOOKUP(D1253,Rates!$A$4:$B$7,2,FALSE())</f>
        <v>0.085</v>
      </c>
      <c r="I1253" s="0" t="n">
        <f aca="false">VLOOKUP(F1253,Rates!$D$4:$E$8,2)</f>
        <v>0.85</v>
      </c>
      <c r="J1253" s="0" t="n">
        <f aca="false">ROUND(E1253*I1253,2)</f>
        <v>15567.72</v>
      </c>
      <c r="K1253" s="1" t="n">
        <f aca="false">PV(H1253/12,F1253/30,0,-E1253)</f>
        <v>16910.9144831175</v>
      </c>
      <c r="L1253" s="0" t="n">
        <f aca="false">ROUND(E1253-K1253,2)</f>
        <v>1404.06</v>
      </c>
      <c r="M1253" s="0" t="n">
        <f aca="false">F1253/E1253</f>
        <v>0.018509448827926</v>
      </c>
    </row>
    <row r="1254" customFormat="false" ht="12.8" hidden="false" customHeight="false" outlineLevel="0" collapsed="false">
      <c r="A1254" s="0" t="s">
        <v>1842</v>
      </c>
      <c r="B1254" s="0" t="s">
        <v>74</v>
      </c>
      <c r="C1254" s="0" t="s">
        <v>31</v>
      </c>
      <c r="D1254" s="0" t="s">
        <v>23</v>
      </c>
      <c r="E1254" s="0" t="n">
        <v>29029.36</v>
      </c>
      <c r="F1254" s="0" t="n">
        <v>302</v>
      </c>
      <c r="G1254" s="0" t="str">
        <f aca="false">IF(F1254&lt;=30,"Current",IF(F1254&lt;=60,"31 to 60 days",IF(F1254&lt;=90,"61 to 90 days",IF(F1254&lt;=120,"91 to 120 days","Over 120 days"))))</f>
        <v>Over 120 days</v>
      </c>
      <c r="H1254" s="0" t="n">
        <f aca="false">VLOOKUP(D1254,Rates!$A$4:$B$7,2,FALSE())</f>
        <v>0.115</v>
      </c>
      <c r="I1254" s="0" t="n">
        <f aca="false">VLOOKUP(F1254,Rates!$D$4:$E$8,2)</f>
        <v>0.85</v>
      </c>
      <c r="J1254" s="0" t="n">
        <f aca="false">ROUND(E1254*I1254,2)</f>
        <v>24674.96</v>
      </c>
      <c r="K1254" s="1" t="n">
        <f aca="false">PV(H1254/12,F1254/30,0,-E1254)</f>
        <v>26371.788988268</v>
      </c>
      <c r="L1254" s="0" t="n">
        <f aca="false">ROUND(E1254-K1254,2)</f>
        <v>2657.57</v>
      </c>
      <c r="M1254" s="0" t="n">
        <f aca="false">F1254/E1254</f>
        <v>0.0104032606988235</v>
      </c>
    </row>
    <row r="1255" customFormat="false" ht="12.8" hidden="false" customHeight="false" outlineLevel="0" collapsed="false">
      <c r="A1255" s="0" t="s">
        <v>1843</v>
      </c>
      <c r="B1255" s="0" t="s">
        <v>28</v>
      </c>
      <c r="C1255" s="0" t="s">
        <v>15</v>
      </c>
      <c r="D1255" s="0" t="s">
        <v>20</v>
      </c>
      <c r="E1255" s="0" t="n">
        <v>34220.9</v>
      </c>
      <c r="F1255" s="0" t="n">
        <v>201</v>
      </c>
      <c r="G1255" s="0" t="str">
        <f aca="false">IF(F1255&lt;=30,"Current",IF(F1255&lt;=60,"31 to 60 days",IF(F1255&lt;=90,"61 to 90 days",IF(F1255&lt;=120,"91 to 120 days","Over 120 days"))))</f>
        <v>Over 120 days</v>
      </c>
      <c r="H1255" s="0" t="n">
        <f aca="false">VLOOKUP(D1255,Rates!$A$4:$B$7,2,FALSE())</f>
        <v>0.05</v>
      </c>
      <c r="I1255" s="0" t="n">
        <f aca="false">VLOOKUP(F1255,Rates!$D$4:$E$8,2)</f>
        <v>0.85</v>
      </c>
      <c r="J1255" s="0" t="n">
        <f aca="false">ROUND(E1255*I1255,2)</f>
        <v>29087.77</v>
      </c>
      <c r="K1255" s="1" t="n">
        <f aca="false">PV(H1255/12,F1255/30,0,-E1255)</f>
        <v>33280.7083583031</v>
      </c>
      <c r="L1255" s="0" t="n">
        <f aca="false">ROUND(E1255-K1255,2)</f>
        <v>940.19</v>
      </c>
      <c r="M1255" s="0" t="n">
        <f aca="false">F1255/E1255</f>
        <v>0.00587360355805955</v>
      </c>
    </row>
    <row r="1256" customFormat="false" ht="12.8" hidden="false" customHeight="false" outlineLevel="0" collapsed="false">
      <c r="A1256" s="0" t="s">
        <v>1844</v>
      </c>
      <c r="B1256" s="0" t="s">
        <v>1845</v>
      </c>
      <c r="C1256" s="0" t="s">
        <v>36</v>
      </c>
      <c r="D1256" s="0" t="s">
        <v>49</v>
      </c>
      <c r="E1256" s="0" t="n">
        <v>18573.12</v>
      </c>
      <c r="F1256" s="0" t="n">
        <v>208</v>
      </c>
      <c r="G1256" s="0" t="str">
        <f aca="false">IF(F1256&lt;=30,"Current",IF(F1256&lt;=60,"31 to 60 days",IF(F1256&lt;=90,"61 to 90 days",IF(F1256&lt;=120,"91 to 120 days","Over 120 days"))))</f>
        <v>Over 120 days</v>
      </c>
      <c r="H1256" s="0" t="n">
        <f aca="false">VLOOKUP(D1256,Rates!$A$4:$B$7,2,FALSE())</f>
        <v>0.02</v>
      </c>
      <c r="I1256" s="0" t="n">
        <f aca="false">VLOOKUP(F1256,Rates!$D$4:$E$8,2)</f>
        <v>0.85</v>
      </c>
      <c r="J1256" s="0" t="n">
        <f aca="false">ROUND(E1256*I1256,2)</f>
        <v>15787.15</v>
      </c>
      <c r="K1256" s="1" t="n">
        <f aca="false">PV(H1256/12,F1256/30,0,-E1256)</f>
        <v>18359.9091617672</v>
      </c>
      <c r="L1256" s="0" t="n">
        <f aca="false">ROUND(E1256-K1256,2)</f>
        <v>213.21</v>
      </c>
      <c r="M1256" s="0" t="n">
        <f aca="false">F1256/E1256</f>
        <v>0.0111989800313571</v>
      </c>
    </row>
    <row r="1257" customFormat="false" ht="12.8" hidden="false" customHeight="false" outlineLevel="0" collapsed="false">
      <c r="A1257" s="0" t="s">
        <v>1846</v>
      </c>
      <c r="B1257" s="0" t="s">
        <v>194</v>
      </c>
      <c r="C1257" s="0" t="s">
        <v>15</v>
      </c>
      <c r="D1257" s="0" t="s">
        <v>23</v>
      </c>
      <c r="E1257" s="0" t="n">
        <v>44957.23</v>
      </c>
      <c r="F1257" s="0" t="n">
        <v>290</v>
      </c>
      <c r="G1257" s="0" t="str">
        <f aca="false">IF(F1257&lt;=30,"Current",IF(F1257&lt;=60,"31 to 60 days",IF(F1257&lt;=90,"61 to 90 days",IF(F1257&lt;=120,"91 to 120 days","Over 120 days"))))</f>
        <v>Over 120 days</v>
      </c>
      <c r="H1257" s="0" t="n">
        <f aca="false">VLOOKUP(D1257,Rates!$A$4:$B$7,2,FALSE())</f>
        <v>0.115</v>
      </c>
      <c r="I1257" s="0" t="n">
        <f aca="false">VLOOKUP(F1257,Rates!$D$4:$E$8,2)</f>
        <v>0.85</v>
      </c>
      <c r="J1257" s="0" t="n">
        <f aca="false">ROUND(E1257*I1257,2)</f>
        <v>38213.65</v>
      </c>
      <c r="K1257" s="1" t="n">
        <f aca="false">PV(H1257/12,F1257/30,0,-E1257)</f>
        <v>40997.6104537125</v>
      </c>
      <c r="L1257" s="0" t="n">
        <f aca="false">ROUND(E1257-K1257,2)</f>
        <v>3959.62</v>
      </c>
      <c r="M1257" s="0" t="n">
        <f aca="false">F1257/E1257</f>
        <v>0.00645057535795689</v>
      </c>
    </row>
    <row r="1258" customFormat="false" ht="12.8" hidden="false" customHeight="false" outlineLevel="0" collapsed="false">
      <c r="A1258" s="0" t="s">
        <v>1847</v>
      </c>
      <c r="B1258" s="0" t="s">
        <v>1848</v>
      </c>
      <c r="C1258" s="0" t="s">
        <v>19</v>
      </c>
      <c r="D1258" s="0" t="s">
        <v>49</v>
      </c>
      <c r="E1258" s="0" t="n">
        <v>21071.21</v>
      </c>
      <c r="F1258" s="0" t="n">
        <v>107</v>
      </c>
      <c r="G1258" s="0" t="str">
        <f aca="false">IF(F1258&lt;=30,"Current",IF(F1258&lt;=60,"31 to 60 days",IF(F1258&lt;=90,"61 to 90 days",IF(F1258&lt;=120,"91 to 120 days","Over 120 days"))))</f>
        <v>91 to 120 days</v>
      </c>
      <c r="H1258" s="0" t="n">
        <f aca="false">VLOOKUP(D1258,Rates!$A$4:$B$7,2,FALSE())</f>
        <v>0.02</v>
      </c>
      <c r="I1258" s="0" t="n">
        <f aca="false">VLOOKUP(F1258,Rates!$D$4:$E$8,2)</f>
        <v>0.5</v>
      </c>
      <c r="J1258" s="0" t="n">
        <f aca="false">ROUND(E1258*I1258,2)</f>
        <v>10535.61</v>
      </c>
      <c r="K1258" s="1" t="n">
        <f aca="false">PV(H1258/12,F1258/30,0,-E1258)</f>
        <v>20946.4285637432</v>
      </c>
      <c r="L1258" s="0" t="n">
        <f aca="false">ROUND(E1258-K1258,2)</f>
        <v>124.78</v>
      </c>
      <c r="M1258" s="0" t="n">
        <f aca="false">F1258/E1258</f>
        <v>0.0050780187753812</v>
      </c>
    </row>
    <row r="1259" customFormat="false" ht="12.8" hidden="false" customHeight="false" outlineLevel="0" collapsed="false">
      <c r="A1259" s="0" t="s">
        <v>1849</v>
      </c>
      <c r="B1259" s="0" t="s">
        <v>30</v>
      </c>
      <c r="C1259" s="0" t="s">
        <v>31</v>
      </c>
      <c r="D1259" s="0" t="s">
        <v>20</v>
      </c>
      <c r="E1259" s="0" t="n">
        <v>25466.63</v>
      </c>
      <c r="F1259" s="0" t="n">
        <v>2</v>
      </c>
      <c r="G1259" s="0" t="str">
        <f aca="false">IF(F1259&lt;=30,"Current",IF(F1259&lt;=60,"31 to 60 days",IF(F1259&lt;=90,"61 to 90 days",IF(F1259&lt;=120,"91 to 120 days","Over 120 days"))))</f>
        <v>Current</v>
      </c>
      <c r="H1259" s="0" t="n">
        <f aca="false">VLOOKUP(D1259,Rates!$A$4:$B$7,2,FALSE())</f>
        <v>0.05</v>
      </c>
      <c r="I1259" s="0" t="n">
        <f aca="false">VLOOKUP(F1259,Rates!$D$4:$E$8,2)</f>
        <v>0.02</v>
      </c>
      <c r="J1259" s="0" t="n">
        <f aca="false">ROUND(E1259*I1259,2)</f>
        <v>509.33</v>
      </c>
      <c r="K1259" s="1" t="n">
        <f aca="false">PV(H1259/12,F1259/30,0,-E1259)</f>
        <v>25459.5716112741</v>
      </c>
      <c r="L1259" s="0" t="n">
        <f aca="false">ROUND(E1259-K1259,2)</f>
        <v>7.06</v>
      </c>
      <c r="M1259" s="0" t="n">
        <f aca="false">F1259/E1259</f>
        <v>7.85341444863337E-005</v>
      </c>
    </row>
    <row r="1260" customFormat="false" ht="12.8" hidden="false" customHeight="false" outlineLevel="0" collapsed="false">
      <c r="A1260" s="0" t="s">
        <v>1850</v>
      </c>
      <c r="B1260" s="0" t="s">
        <v>97</v>
      </c>
      <c r="C1260" s="0" t="s">
        <v>42</v>
      </c>
      <c r="D1260" s="0" t="s">
        <v>20</v>
      </c>
      <c r="E1260" s="0" t="n">
        <v>38965.47</v>
      </c>
      <c r="F1260" s="0" t="n">
        <v>184</v>
      </c>
      <c r="G1260" s="0" t="str">
        <f aca="false">IF(F1260&lt;=30,"Current",IF(F1260&lt;=60,"31 to 60 days",IF(F1260&lt;=90,"61 to 90 days",IF(F1260&lt;=120,"91 to 120 days","Over 120 days"))))</f>
        <v>Over 120 days</v>
      </c>
      <c r="H1260" s="0" t="n">
        <f aca="false">VLOOKUP(D1260,Rates!$A$4:$B$7,2,FALSE())</f>
        <v>0.05</v>
      </c>
      <c r="I1260" s="0" t="n">
        <f aca="false">VLOOKUP(F1260,Rates!$D$4:$E$8,2)</f>
        <v>0.85</v>
      </c>
      <c r="J1260" s="0" t="n">
        <f aca="false">ROUND(E1260*I1260,2)</f>
        <v>33120.65</v>
      </c>
      <c r="K1260" s="1" t="n">
        <f aca="false">PV(H1260/12,F1260/30,0,-E1260)</f>
        <v>37984.3186360992</v>
      </c>
      <c r="L1260" s="0" t="n">
        <f aca="false">ROUND(E1260-K1260,2)</f>
        <v>981.15</v>
      </c>
      <c r="M1260" s="0" t="n">
        <f aca="false">F1260/E1260</f>
        <v>0.00472212961886511</v>
      </c>
    </row>
    <row r="1261" customFormat="false" ht="12.8" hidden="false" customHeight="false" outlineLevel="0" collapsed="false">
      <c r="A1261" s="0" t="s">
        <v>1851</v>
      </c>
      <c r="B1261" s="0" t="s">
        <v>1852</v>
      </c>
      <c r="C1261" s="0" t="s">
        <v>15</v>
      </c>
      <c r="D1261" s="0" t="s">
        <v>49</v>
      </c>
      <c r="E1261" s="0" t="n">
        <v>24712.56</v>
      </c>
      <c r="F1261" s="0" t="n">
        <v>288</v>
      </c>
      <c r="G1261" s="0" t="str">
        <f aca="false">IF(F1261&lt;=30,"Current",IF(F1261&lt;=60,"31 to 60 days",IF(F1261&lt;=90,"61 to 90 days",IF(F1261&lt;=120,"91 to 120 days","Over 120 days"))))</f>
        <v>Over 120 days</v>
      </c>
      <c r="H1261" s="0" t="n">
        <f aca="false">VLOOKUP(D1261,Rates!$A$4:$B$7,2,FALSE())</f>
        <v>0.02</v>
      </c>
      <c r="I1261" s="0" t="n">
        <f aca="false">VLOOKUP(F1261,Rates!$D$4:$E$8,2)</f>
        <v>0.85</v>
      </c>
      <c r="J1261" s="0" t="n">
        <f aca="false">ROUND(E1261*I1261,2)</f>
        <v>21005.68</v>
      </c>
      <c r="K1261" s="1" t="n">
        <f aca="false">PV(H1261/12,F1261/30,0,-E1261)</f>
        <v>24320.6293575507</v>
      </c>
      <c r="L1261" s="0" t="n">
        <f aca="false">ROUND(E1261-K1261,2)</f>
        <v>391.93</v>
      </c>
      <c r="M1261" s="0" t="n">
        <f aca="false">F1261/E1261</f>
        <v>0.0116539929493343</v>
      </c>
    </row>
    <row r="1262" customFormat="false" ht="12.8" hidden="false" customHeight="false" outlineLevel="0" collapsed="false">
      <c r="A1262" s="0" t="s">
        <v>1853</v>
      </c>
      <c r="B1262" s="0" t="s">
        <v>186</v>
      </c>
      <c r="C1262" s="0" t="s">
        <v>31</v>
      </c>
      <c r="D1262" s="0" t="s">
        <v>23</v>
      </c>
      <c r="E1262" s="0" t="n">
        <v>5398.7</v>
      </c>
      <c r="F1262" s="0" t="n">
        <v>14</v>
      </c>
      <c r="G1262" s="0" t="str">
        <f aca="false">IF(F1262&lt;=30,"Current",IF(F1262&lt;=60,"31 to 60 days",IF(F1262&lt;=90,"61 to 90 days",IF(F1262&lt;=120,"91 to 120 days","Over 120 days"))))</f>
        <v>Current</v>
      </c>
      <c r="H1262" s="0" t="n">
        <f aca="false">VLOOKUP(D1262,Rates!$A$4:$B$7,2,FALSE())</f>
        <v>0.115</v>
      </c>
      <c r="I1262" s="0" t="n">
        <f aca="false">VLOOKUP(F1262,Rates!$D$4:$E$8,2)</f>
        <v>0.02</v>
      </c>
      <c r="J1262" s="0" t="n">
        <f aca="false">ROUND(E1262*I1262,2)</f>
        <v>107.97</v>
      </c>
      <c r="K1262" s="1" t="n">
        <f aca="false">PV(H1262/12,F1262/30,0,-E1262)</f>
        <v>5374.72416785856</v>
      </c>
      <c r="L1262" s="0" t="n">
        <f aca="false">ROUND(E1262-K1262,2)</f>
        <v>23.98</v>
      </c>
      <c r="M1262" s="0" t="n">
        <f aca="false">F1262/E1262</f>
        <v>0.00259321688554652</v>
      </c>
    </row>
    <row r="1263" customFormat="false" ht="12.8" hidden="false" customHeight="false" outlineLevel="0" collapsed="false">
      <c r="A1263" s="0" t="s">
        <v>1854</v>
      </c>
      <c r="B1263" s="0" t="s">
        <v>1855</v>
      </c>
      <c r="C1263" s="0" t="s">
        <v>31</v>
      </c>
      <c r="D1263" s="0" t="s">
        <v>16</v>
      </c>
      <c r="E1263" s="0" t="n">
        <v>36818.23</v>
      </c>
      <c r="F1263" s="0" t="n">
        <v>50</v>
      </c>
      <c r="G1263" s="0" t="str">
        <f aca="false">IF(F1263&lt;=30,"Current",IF(F1263&lt;=60,"31 to 60 days",IF(F1263&lt;=90,"61 to 90 days",IF(F1263&lt;=120,"91 to 120 days","Over 120 days"))))</f>
        <v>31 to 60 days</v>
      </c>
      <c r="H1263" s="0" t="n">
        <f aca="false">VLOOKUP(D1263,Rates!$A$4:$B$7,2,FALSE())</f>
        <v>0.085</v>
      </c>
      <c r="I1263" s="0" t="n">
        <f aca="false">VLOOKUP(F1263,Rates!$D$4:$E$8,2)</f>
        <v>0.1</v>
      </c>
      <c r="J1263" s="0" t="n">
        <f aca="false">ROUND(E1263*I1263,2)</f>
        <v>3681.82</v>
      </c>
      <c r="K1263" s="1" t="n">
        <f aca="false">PV(H1263/12,F1263/30,0,-E1263)</f>
        <v>36387.6402109553</v>
      </c>
      <c r="L1263" s="0" t="n">
        <f aca="false">ROUND(E1263-K1263,2)</f>
        <v>430.59</v>
      </c>
      <c r="M1263" s="0" t="n">
        <f aca="false">F1263/E1263</f>
        <v>0.00135802291419224</v>
      </c>
    </row>
    <row r="1264" customFormat="false" ht="12.8" hidden="false" customHeight="false" outlineLevel="0" collapsed="false">
      <c r="A1264" s="0" t="s">
        <v>1856</v>
      </c>
      <c r="B1264" s="0" t="s">
        <v>1857</v>
      </c>
      <c r="C1264" s="0" t="s">
        <v>26</v>
      </c>
      <c r="D1264" s="0" t="s">
        <v>16</v>
      </c>
      <c r="E1264" s="0" t="n">
        <v>719.91</v>
      </c>
      <c r="F1264" s="0" t="n">
        <v>384</v>
      </c>
      <c r="G1264" s="0" t="str">
        <f aca="false">IF(F1264&lt;=30,"Current",IF(F1264&lt;=60,"31 to 60 days",IF(F1264&lt;=90,"61 to 90 days",IF(F1264&lt;=120,"91 to 120 days","Over 120 days"))))</f>
        <v>Over 120 days</v>
      </c>
      <c r="H1264" s="0" t="n">
        <f aca="false">VLOOKUP(D1264,Rates!$A$4:$B$7,2,FALSE())</f>
        <v>0.085</v>
      </c>
      <c r="I1264" s="0" t="n">
        <f aca="false">VLOOKUP(F1264,Rates!$D$4:$E$8,2)</f>
        <v>0.85</v>
      </c>
      <c r="J1264" s="0" t="n">
        <f aca="false">ROUND(E1264*I1264,2)</f>
        <v>611.92</v>
      </c>
      <c r="K1264" s="1" t="n">
        <f aca="false">PV(H1264/12,F1264/30,0,-E1264)</f>
        <v>657.719889139735</v>
      </c>
      <c r="L1264" s="0" t="n">
        <f aca="false">ROUND(E1264-K1264,2)</f>
        <v>62.19</v>
      </c>
      <c r="M1264" s="0" t="n">
        <f aca="false">F1264/E1264</f>
        <v>0.533400008334375</v>
      </c>
    </row>
    <row r="1265" customFormat="false" ht="12.8" hidden="false" customHeight="false" outlineLevel="0" collapsed="false">
      <c r="A1265" s="0" t="s">
        <v>1858</v>
      </c>
      <c r="B1265" s="0" t="s">
        <v>44</v>
      </c>
      <c r="C1265" s="0" t="s">
        <v>36</v>
      </c>
      <c r="D1265" s="0" t="s">
        <v>23</v>
      </c>
      <c r="E1265" s="0" t="n">
        <v>14527.03</v>
      </c>
      <c r="F1265" s="0" t="n">
        <v>28</v>
      </c>
      <c r="G1265" s="0" t="str">
        <f aca="false">IF(F1265&lt;=30,"Current",IF(F1265&lt;=60,"31 to 60 days",IF(F1265&lt;=90,"61 to 90 days",IF(F1265&lt;=120,"91 to 120 days","Over 120 days"))))</f>
        <v>Current</v>
      </c>
      <c r="H1265" s="0" t="n">
        <f aca="false">VLOOKUP(D1265,Rates!$A$4:$B$7,2,FALSE())</f>
        <v>0.115</v>
      </c>
      <c r="I1265" s="0" t="n">
        <f aca="false">VLOOKUP(F1265,Rates!$D$4:$E$8,2)</f>
        <v>0.02</v>
      </c>
      <c r="J1265" s="0" t="n">
        <f aca="false">ROUND(E1265*I1265,2)</f>
        <v>290.54</v>
      </c>
      <c r="K1265" s="1" t="n">
        <f aca="false">PV(H1265/12,F1265/30,0,-E1265)</f>
        <v>14398.2863279037</v>
      </c>
      <c r="L1265" s="0" t="n">
        <f aca="false">ROUND(E1265-K1265,2)</f>
        <v>128.74</v>
      </c>
      <c r="M1265" s="0" t="n">
        <f aca="false">F1265/E1265</f>
        <v>0.00192744146601198</v>
      </c>
    </row>
    <row r="1266" customFormat="false" ht="12.8" hidden="false" customHeight="false" outlineLevel="0" collapsed="false">
      <c r="A1266" s="0" t="s">
        <v>1859</v>
      </c>
      <c r="B1266" s="0" t="s">
        <v>51</v>
      </c>
      <c r="C1266" s="0" t="s">
        <v>36</v>
      </c>
      <c r="D1266" s="0" t="s">
        <v>20</v>
      </c>
      <c r="E1266" s="0" t="n">
        <v>33133.73</v>
      </c>
      <c r="F1266" s="0" t="n">
        <v>151</v>
      </c>
      <c r="G1266" s="0" t="str">
        <f aca="false">IF(F1266&lt;=30,"Current",IF(F1266&lt;=60,"31 to 60 days",IF(F1266&lt;=90,"61 to 90 days",IF(F1266&lt;=120,"91 to 120 days","Over 120 days"))))</f>
        <v>Over 120 days</v>
      </c>
      <c r="H1266" s="0" t="n">
        <f aca="false">VLOOKUP(D1266,Rates!$A$4:$B$7,2,FALSE())</f>
        <v>0.05</v>
      </c>
      <c r="I1266" s="0" t="n">
        <f aca="false">VLOOKUP(F1266,Rates!$D$4:$E$8,2)</f>
        <v>0.85</v>
      </c>
      <c r="J1266" s="0" t="n">
        <f aca="false">ROUND(E1266*I1266,2)</f>
        <v>28163.67</v>
      </c>
      <c r="K1266" s="1" t="n">
        <f aca="false">PV(H1266/12,F1266/30,0,-E1266)</f>
        <v>32447.4917937803</v>
      </c>
      <c r="L1266" s="0" t="n">
        <f aca="false">ROUND(E1266-K1266,2)</f>
        <v>686.24</v>
      </c>
      <c r="M1266" s="0" t="n">
        <f aca="false">F1266/E1266</f>
        <v>0.00455728950528661</v>
      </c>
    </row>
    <row r="1267" customFormat="false" ht="12.8" hidden="false" customHeight="false" outlineLevel="0" collapsed="false">
      <c r="A1267" s="0" t="s">
        <v>1860</v>
      </c>
      <c r="B1267" s="0" t="s">
        <v>78</v>
      </c>
      <c r="C1267" s="0" t="s">
        <v>19</v>
      </c>
      <c r="D1267" s="0" t="s">
        <v>23</v>
      </c>
      <c r="E1267" s="0" t="n">
        <v>11005.1</v>
      </c>
      <c r="F1267" s="0" t="n">
        <v>351</v>
      </c>
      <c r="G1267" s="0" t="str">
        <f aca="false">IF(F1267&lt;=30,"Current",IF(F1267&lt;=60,"31 to 60 days",IF(F1267&lt;=90,"61 to 90 days",IF(F1267&lt;=120,"91 to 120 days","Over 120 days"))))</f>
        <v>Over 120 days</v>
      </c>
      <c r="H1267" s="0" t="n">
        <f aca="false">VLOOKUP(D1267,Rates!$A$4:$B$7,2,FALSE())</f>
        <v>0.115</v>
      </c>
      <c r="I1267" s="0" t="n">
        <f aca="false">VLOOKUP(F1267,Rates!$D$4:$E$8,2)</f>
        <v>0.85</v>
      </c>
      <c r="J1267" s="0" t="n">
        <f aca="false">ROUND(E1267*I1267,2)</f>
        <v>9354.34</v>
      </c>
      <c r="K1267" s="1" t="n">
        <f aca="false">PV(H1267/12,F1267/30,0,-E1267)</f>
        <v>9843.07004940652</v>
      </c>
      <c r="L1267" s="0" t="n">
        <f aca="false">ROUND(E1267-K1267,2)</f>
        <v>1162.03</v>
      </c>
      <c r="M1267" s="0" t="n">
        <f aca="false">F1267/E1267</f>
        <v>0.0318943035501722</v>
      </c>
    </row>
    <row r="1268" customFormat="false" ht="12.8" hidden="false" customHeight="false" outlineLevel="0" collapsed="false">
      <c r="A1268" s="0" t="s">
        <v>1861</v>
      </c>
      <c r="B1268" s="0" t="s">
        <v>186</v>
      </c>
      <c r="C1268" s="0" t="s">
        <v>31</v>
      </c>
      <c r="D1268" s="0" t="s">
        <v>23</v>
      </c>
      <c r="E1268" s="0" t="n">
        <v>18014.82</v>
      </c>
      <c r="F1268" s="0" t="n">
        <v>200</v>
      </c>
      <c r="G1268" s="0" t="str">
        <f aca="false">IF(F1268&lt;=30,"Current",IF(F1268&lt;=60,"31 to 60 days",IF(F1268&lt;=90,"61 to 90 days",IF(F1268&lt;=120,"91 to 120 days","Over 120 days"))))</f>
        <v>Over 120 days</v>
      </c>
      <c r="H1268" s="0" t="n">
        <f aca="false">VLOOKUP(D1268,Rates!$A$4:$B$7,2,FALSE())</f>
        <v>0.115</v>
      </c>
      <c r="I1268" s="0" t="n">
        <f aca="false">VLOOKUP(F1268,Rates!$D$4:$E$8,2)</f>
        <v>0.85</v>
      </c>
      <c r="J1268" s="0" t="n">
        <f aca="false">ROUND(E1268*I1268,2)</f>
        <v>15312.6</v>
      </c>
      <c r="K1268" s="1" t="n">
        <f aca="false">PV(H1268/12,F1268/30,0,-E1268)</f>
        <v>16905.0104773857</v>
      </c>
      <c r="L1268" s="0" t="n">
        <f aca="false">ROUND(E1268-K1268,2)</f>
        <v>1109.81</v>
      </c>
      <c r="M1268" s="0" t="n">
        <f aca="false">F1268/E1268</f>
        <v>0.011101970488742</v>
      </c>
    </row>
    <row r="1269" customFormat="false" ht="12.8" hidden="false" customHeight="false" outlineLevel="0" collapsed="false">
      <c r="A1269" s="0" t="s">
        <v>1862</v>
      </c>
      <c r="B1269" s="0" t="s">
        <v>97</v>
      </c>
      <c r="C1269" s="0" t="s">
        <v>42</v>
      </c>
      <c r="D1269" s="0" t="s">
        <v>20</v>
      </c>
      <c r="E1269" s="0" t="n">
        <v>20738.47</v>
      </c>
      <c r="F1269" s="0" t="n">
        <v>249</v>
      </c>
      <c r="G1269" s="0" t="str">
        <f aca="false">IF(F1269&lt;=30,"Current",IF(F1269&lt;=60,"31 to 60 days",IF(F1269&lt;=90,"61 to 90 days",IF(F1269&lt;=120,"91 to 120 days","Over 120 days"))))</f>
        <v>Over 120 days</v>
      </c>
      <c r="H1269" s="0" t="n">
        <f aca="false">VLOOKUP(D1269,Rates!$A$4:$B$7,2,FALSE())</f>
        <v>0.05</v>
      </c>
      <c r="I1269" s="0" t="n">
        <f aca="false">VLOOKUP(F1269,Rates!$D$4:$E$8,2)</f>
        <v>0.85</v>
      </c>
      <c r="J1269" s="0" t="n">
        <f aca="false">ROUND(E1269*I1269,2)</f>
        <v>17627.7</v>
      </c>
      <c r="K1269" s="1" t="n">
        <f aca="false">PV(H1269/12,F1269/30,0,-E1269)</f>
        <v>20034.9639624044</v>
      </c>
      <c r="L1269" s="0" t="n">
        <f aca="false">ROUND(E1269-K1269,2)</f>
        <v>703.51</v>
      </c>
      <c r="M1269" s="0" t="n">
        <f aca="false">F1269/E1269</f>
        <v>0.012006671658999</v>
      </c>
    </row>
    <row r="1270" customFormat="false" ht="12.8" hidden="false" customHeight="false" outlineLevel="0" collapsed="false">
      <c r="A1270" s="0" t="s">
        <v>1863</v>
      </c>
      <c r="B1270" s="0" t="s">
        <v>18</v>
      </c>
      <c r="C1270" s="0" t="s">
        <v>19</v>
      </c>
      <c r="D1270" s="0" t="s">
        <v>20</v>
      </c>
      <c r="E1270" s="0" t="n">
        <v>42340.29</v>
      </c>
      <c r="F1270" s="0" t="n">
        <v>301</v>
      </c>
      <c r="G1270" s="0" t="str">
        <f aca="false">IF(F1270&lt;=30,"Current",IF(F1270&lt;=60,"31 to 60 days",IF(F1270&lt;=90,"61 to 90 days",IF(F1270&lt;=120,"91 to 120 days","Over 120 days"))))</f>
        <v>Over 120 days</v>
      </c>
      <c r="H1270" s="0" t="n">
        <f aca="false">VLOOKUP(D1270,Rates!$A$4:$B$7,2,FALSE())</f>
        <v>0.05</v>
      </c>
      <c r="I1270" s="0" t="n">
        <f aca="false">VLOOKUP(F1270,Rates!$D$4:$E$8,2)</f>
        <v>0.85</v>
      </c>
      <c r="J1270" s="0" t="n">
        <f aca="false">ROUND(E1270*I1270,2)</f>
        <v>35989.25</v>
      </c>
      <c r="K1270" s="1" t="n">
        <f aca="false">PV(H1270/12,F1270/30,0,-E1270)</f>
        <v>40610.2465633563</v>
      </c>
      <c r="L1270" s="0" t="n">
        <f aca="false">ROUND(E1270-K1270,2)</f>
        <v>1730.04</v>
      </c>
      <c r="M1270" s="0" t="n">
        <f aca="false">F1270/E1270</f>
        <v>0.00710906798229299</v>
      </c>
    </row>
    <row r="1271" customFormat="false" ht="12.8" hidden="false" customHeight="false" outlineLevel="0" collapsed="false">
      <c r="A1271" s="0" t="s">
        <v>1864</v>
      </c>
      <c r="B1271" s="0" t="s">
        <v>1865</v>
      </c>
      <c r="C1271" s="0" t="s">
        <v>31</v>
      </c>
      <c r="D1271" s="0" t="s">
        <v>49</v>
      </c>
      <c r="E1271" s="0" t="n">
        <v>0</v>
      </c>
      <c r="F1271" s="0" t="n">
        <v>309</v>
      </c>
      <c r="G1271" s="0" t="str">
        <f aca="false">IF(F1271&lt;=30,"Current",IF(F1271&lt;=60,"31 to 60 days",IF(F1271&lt;=90,"61 to 90 days",IF(F1271&lt;=120,"91 to 120 days","Over 120 days"))))</f>
        <v>Over 120 days</v>
      </c>
      <c r="H1271" s="0" t="n">
        <f aca="false">VLOOKUP(D1271,Rates!$A$4:$B$7,2,FALSE())</f>
        <v>0.02</v>
      </c>
      <c r="I1271" s="0" t="n">
        <f aca="false">VLOOKUP(F1271,Rates!$D$4:$E$8,2)</f>
        <v>0.85</v>
      </c>
      <c r="J1271" s="0" t="n">
        <f aca="false">ROUND(E1271*I1271,2)</f>
        <v>0</v>
      </c>
      <c r="K1271" s="1" t="n">
        <f aca="false">PV(H1271/12,F1271/30,0,-E1271)</f>
        <v>-0</v>
      </c>
      <c r="L1271" s="0" t="n">
        <f aca="false">ROUND(E1271-K1271,2)</f>
        <v>0</v>
      </c>
      <c r="M1271" s="0" t="e">
        <f aca="false">F1271/E1271</f>
        <v>#DIV/0!</v>
      </c>
    </row>
    <row r="1272" customFormat="false" ht="12.8" hidden="false" customHeight="false" outlineLevel="0" collapsed="false">
      <c r="A1272" s="0" t="s">
        <v>1866</v>
      </c>
      <c r="B1272" s="0" t="s">
        <v>97</v>
      </c>
      <c r="C1272" s="0" t="s">
        <v>42</v>
      </c>
      <c r="D1272" s="0" t="s">
        <v>20</v>
      </c>
      <c r="E1272" s="0" t="n">
        <v>41371.68</v>
      </c>
      <c r="F1272" s="0" t="n">
        <v>46</v>
      </c>
      <c r="G1272" s="0" t="str">
        <f aca="false">IF(F1272&lt;=30,"Current",IF(F1272&lt;=60,"31 to 60 days",IF(F1272&lt;=90,"61 to 90 days",IF(F1272&lt;=120,"91 to 120 days","Over 120 days"))))</f>
        <v>31 to 60 days</v>
      </c>
      <c r="H1272" s="0" t="n">
        <f aca="false">VLOOKUP(D1272,Rates!$A$4:$B$7,2,FALSE())</f>
        <v>0.05</v>
      </c>
      <c r="I1272" s="0" t="n">
        <f aca="false">VLOOKUP(F1272,Rates!$D$4:$E$8,2)</f>
        <v>0.1</v>
      </c>
      <c r="J1272" s="0" t="n">
        <f aca="false">ROUND(E1272*I1272,2)</f>
        <v>4137.17</v>
      </c>
      <c r="K1272" s="1" t="n">
        <f aca="false">PV(H1272/12,F1272/30,0,-E1272)</f>
        <v>41108.749136891</v>
      </c>
      <c r="L1272" s="0" t="n">
        <f aca="false">ROUND(E1272-K1272,2)</f>
        <v>262.93</v>
      </c>
      <c r="M1272" s="0" t="n">
        <f aca="false">F1272/E1272</f>
        <v>0.00111187169580737</v>
      </c>
    </row>
    <row r="1273" customFormat="false" ht="12.8" hidden="false" customHeight="false" outlineLevel="0" collapsed="false">
      <c r="A1273" s="0" t="s">
        <v>1867</v>
      </c>
      <c r="B1273" s="0" t="s">
        <v>1868</v>
      </c>
      <c r="C1273" s="0" t="s">
        <v>15</v>
      </c>
      <c r="D1273" s="0" t="s">
        <v>49</v>
      </c>
      <c r="E1273" s="0" t="n">
        <v>30116.56</v>
      </c>
      <c r="F1273" s="0" t="n">
        <v>244</v>
      </c>
      <c r="G1273" s="0" t="str">
        <f aca="false">IF(F1273&lt;=30,"Current",IF(F1273&lt;=60,"31 to 60 days",IF(F1273&lt;=90,"61 to 90 days",IF(F1273&lt;=120,"91 to 120 days","Over 120 days"))))</f>
        <v>Over 120 days</v>
      </c>
      <c r="H1273" s="0" t="n">
        <f aca="false">VLOOKUP(D1273,Rates!$A$4:$B$7,2,FALSE())</f>
        <v>0.02</v>
      </c>
      <c r="I1273" s="0" t="n">
        <f aca="false">VLOOKUP(F1273,Rates!$D$4:$E$8,2)</f>
        <v>0.85</v>
      </c>
      <c r="J1273" s="0" t="n">
        <f aca="false">ROUND(E1273*I1273,2)</f>
        <v>25599.08</v>
      </c>
      <c r="K1273" s="1" t="n">
        <f aca="false">PV(H1273/12,F1273/30,0,-E1273)</f>
        <v>29711.4030971605</v>
      </c>
      <c r="L1273" s="0" t="n">
        <f aca="false">ROUND(E1273-K1273,2)</f>
        <v>405.16</v>
      </c>
      <c r="M1273" s="0" t="n">
        <f aca="false">F1273/E1273</f>
        <v>0.00810185492632625</v>
      </c>
    </row>
    <row r="1274" customFormat="false" ht="12.8" hidden="false" customHeight="false" outlineLevel="0" collapsed="false">
      <c r="A1274" s="0" t="s">
        <v>1869</v>
      </c>
      <c r="B1274" s="0" t="s">
        <v>1007</v>
      </c>
      <c r="C1274" s="0" t="s">
        <v>19</v>
      </c>
      <c r="D1274" s="0" t="s">
        <v>23</v>
      </c>
      <c r="E1274" s="0" t="n">
        <v>22166.29</v>
      </c>
      <c r="F1274" s="0" t="n">
        <v>203</v>
      </c>
      <c r="G1274" s="0" t="str">
        <f aca="false">IF(F1274&lt;=30,"Current",IF(F1274&lt;=60,"31 to 60 days",IF(F1274&lt;=90,"61 to 90 days",IF(F1274&lt;=120,"91 to 120 days","Over 120 days"))))</f>
        <v>Over 120 days</v>
      </c>
      <c r="H1274" s="0" t="n">
        <f aca="false">VLOOKUP(D1274,Rates!$A$4:$B$7,2,FALSE())</f>
        <v>0.115</v>
      </c>
      <c r="I1274" s="0" t="n">
        <f aca="false">VLOOKUP(F1274,Rates!$D$4:$E$8,2)</f>
        <v>0.85</v>
      </c>
      <c r="J1274" s="0" t="n">
        <f aca="false">ROUND(E1274*I1274,2)</f>
        <v>18841.35</v>
      </c>
      <c r="K1274" s="1" t="n">
        <f aca="false">PV(H1274/12,F1274/30,0,-E1274)</f>
        <v>20780.8980003465</v>
      </c>
      <c r="L1274" s="0" t="n">
        <f aca="false">ROUND(E1274-K1274,2)</f>
        <v>1385.39</v>
      </c>
      <c r="M1274" s="0" t="n">
        <f aca="false">F1274/E1274</f>
        <v>0.00915805035484062</v>
      </c>
    </row>
    <row r="1275" customFormat="false" ht="12.8" hidden="false" customHeight="false" outlineLevel="0" collapsed="false">
      <c r="A1275" s="0" t="s">
        <v>1870</v>
      </c>
      <c r="B1275" s="0" t="s">
        <v>28</v>
      </c>
      <c r="C1275" s="0" t="s">
        <v>15</v>
      </c>
      <c r="D1275" s="0" t="s">
        <v>20</v>
      </c>
      <c r="E1275" s="0" t="n">
        <v>21682.03</v>
      </c>
      <c r="F1275" s="0" t="n">
        <v>245</v>
      </c>
      <c r="G1275" s="0" t="str">
        <f aca="false">IF(F1275&lt;=30,"Current",IF(F1275&lt;=60,"31 to 60 days",IF(F1275&lt;=90,"61 to 90 days",IF(F1275&lt;=120,"91 to 120 days","Over 120 days"))))</f>
        <v>Over 120 days</v>
      </c>
      <c r="H1275" s="0" t="n">
        <f aca="false">VLOOKUP(D1275,Rates!$A$4:$B$7,2,FALSE())</f>
        <v>0.05</v>
      </c>
      <c r="I1275" s="0" t="n">
        <f aca="false">VLOOKUP(F1275,Rates!$D$4:$E$8,2)</f>
        <v>0.85</v>
      </c>
      <c r="J1275" s="0" t="n">
        <f aca="false">ROUND(E1275*I1275,2)</f>
        <v>18429.73</v>
      </c>
      <c r="K1275" s="1" t="n">
        <f aca="false">PV(H1275/12,F1275/30,0,-E1275)</f>
        <v>20958.1318040365</v>
      </c>
      <c r="L1275" s="0" t="n">
        <f aca="false">ROUND(E1275-K1275,2)</f>
        <v>723.9</v>
      </c>
      <c r="M1275" s="0" t="n">
        <f aca="false">F1275/E1275</f>
        <v>0.0112996799653907</v>
      </c>
    </row>
    <row r="1276" customFormat="false" ht="12.8" hidden="false" customHeight="false" outlineLevel="0" collapsed="false">
      <c r="A1276" s="0" t="s">
        <v>1871</v>
      </c>
      <c r="B1276" s="0" t="s">
        <v>28</v>
      </c>
      <c r="C1276" s="0" t="s">
        <v>15</v>
      </c>
      <c r="D1276" s="0" t="s">
        <v>20</v>
      </c>
      <c r="E1276" s="0" t="n">
        <v>15254.01</v>
      </c>
      <c r="F1276" s="0" t="n">
        <v>59</v>
      </c>
      <c r="G1276" s="0" t="str">
        <f aca="false">IF(F1276&lt;=30,"Current",IF(F1276&lt;=60,"31 to 60 days",IF(F1276&lt;=90,"61 to 90 days",IF(F1276&lt;=120,"91 to 120 days","Over 120 days"))))</f>
        <v>31 to 60 days</v>
      </c>
      <c r="H1276" s="0" t="n">
        <f aca="false">VLOOKUP(D1276,Rates!$A$4:$B$7,2,FALSE())</f>
        <v>0.05</v>
      </c>
      <c r="I1276" s="0" t="n">
        <f aca="false">VLOOKUP(F1276,Rates!$D$4:$E$8,2)</f>
        <v>0.1</v>
      </c>
      <c r="J1276" s="0" t="n">
        <f aca="false">ROUND(E1276*I1276,2)</f>
        <v>1525.4</v>
      </c>
      <c r="K1276" s="1" t="n">
        <f aca="false">PV(H1276/12,F1276/30,0,-E1276)</f>
        <v>15129.7801861223</v>
      </c>
      <c r="L1276" s="0" t="n">
        <f aca="false">ROUND(E1276-K1276,2)</f>
        <v>124.23</v>
      </c>
      <c r="M1276" s="0" t="n">
        <f aca="false">F1276/E1276</f>
        <v>0.00386783540852536</v>
      </c>
    </row>
    <row r="1277" customFormat="false" ht="12.8" hidden="false" customHeight="false" outlineLevel="0" collapsed="false">
      <c r="A1277" s="0" t="s">
        <v>1872</v>
      </c>
      <c r="B1277" s="0" t="s">
        <v>74</v>
      </c>
      <c r="C1277" s="0" t="s">
        <v>31</v>
      </c>
      <c r="D1277" s="0" t="s">
        <v>23</v>
      </c>
      <c r="E1277" s="0" t="n">
        <v>40522.15</v>
      </c>
      <c r="F1277" s="0" t="n">
        <v>210</v>
      </c>
      <c r="G1277" s="0" t="str">
        <f aca="false">IF(F1277&lt;=30,"Current",IF(F1277&lt;=60,"31 to 60 days",IF(F1277&lt;=90,"61 to 90 days",IF(F1277&lt;=120,"91 to 120 days","Over 120 days"))))</f>
        <v>Over 120 days</v>
      </c>
      <c r="H1277" s="0" t="n">
        <f aca="false">VLOOKUP(D1277,Rates!$A$4:$B$7,2,FALSE())</f>
        <v>0.115</v>
      </c>
      <c r="I1277" s="0" t="n">
        <f aca="false">VLOOKUP(F1277,Rates!$D$4:$E$8,2)</f>
        <v>0.85</v>
      </c>
      <c r="J1277" s="0" t="n">
        <f aca="false">ROUND(E1277*I1277,2)</f>
        <v>34443.83</v>
      </c>
      <c r="K1277" s="1" t="n">
        <f aca="false">PV(H1277/12,F1277/30,0,-E1277)</f>
        <v>37905.0673693111</v>
      </c>
      <c r="L1277" s="0" t="n">
        <f aca="false">ROUND(E1277-K1277,2)</f>
        <v>2617.08</v>
      </c>
      <c r="M1277" s="0" t="n">
        <f aca="false">F1277/E1277</f>
        <v>0.00518235088710742</v>
      </c>
    </row>
    <row r="1278" customFormat="false" ht="12.8" hidden="false" customHeight="false" outlineLevel="0" collapsed="false">
      <c r="A1278" s="0" t="s">
        <v>1873</v>
      </c>
      <c r="B1278" s="0" t="s">
        <v>51</v>
      </c>
      <c r="C1278" s="0" t="s">
        <v>36</v>
      </c>
      <c r="D1278" s="0" t="s">
        <v>20</v>
      </c>
      <c r="E1278" s="0" t="n">
        <v>35277.75</v>
      </c>
      <c r="F1278" s="0" t="n">
        <v>261</v>
      </c>
      <c r="G1278" s="0" t="str">
        <f aca="false">IF(F1278&lt;=30,"Current",IF(F1278&lt;=60,"31 to 60 days",IF(F1278&lt;=90,"61 to 90 days",IF(F1278&lt;=120,"91 to 120 days","Over 120 days"))))</f>
        <v>Over 120 days</v>
      </c>
      <c r="H1278" s="0" t="n">
        <f aca="false">VLOOKUP(D1278,Rates!$A$4:$B$7,2,FALSE())</f>
        <v>0.05</v>
      </c>
      <c r="I1278" s="0" t="n">
        <f aca="false">VLOOKUP(F1278,Rates!$D$4:$E$8,2)</f>
        <v>0.85</v>
      </c>
      <c r="J1278" s="0" t="n">
        <f aca="false">ROUND(E1278*I1278,2)</f>
        <v>29986.09</v>
      </c>
      <c r="K1278" s="1" t="n">
        <f aca="false">PV(H1278/12,F1278/30,0,-E1278)</f>
        <v>34024.3949307663</v>
      </c>
      <c r="L1278" s="0" t="n">
        <f aca="false">ROUND(E1278-K1278,2)</f>
        <v>1253.36</v>
      </c>
      <c r="M1278" s="0" t="n">
        <f aca="false">F1278/E1278</f>
        <v>0.00739843102238663</v>
      </c>
    </row>
    <row r="1279" customFormat="false" ht="12.8" hidden="false" customHeight="false" outlineLevel="0" collapsed="false">
      <c r="A1279" s="0" t="s">
        <v>1874</v>
      </c>
      <c r="B1279" s="0" t="s">
        <v>526</v>
      </c>
      <c r="C1279" s="0" t="s">
        <v>26</v>
      </c>
      <c r="D1279" s="0" t="s">
        <v>23</v>
      </c>
      <c r="E1279" s="0" t="n">
        <v>29228.82</v>
      </c>
      <c r="F1279" s="0" t="n">
        <v>164</v>
      </c>
      <c r="G1279" s="0" t="str">
        <f aca="false">IF(F1279&lt;=30,"Current",IF(F1279&lt;=60,"31 to 60 days",IF(F1279&lt;=90,"61 to 90 days",IF(F1279&lt;=120,"91 to 120 days","Over 120 days"))))</f>
        <v>Over 120 days</v>
      </c>
      <c r="H1279" s="0" t="n">
        <f aca="false">VLOOKUP(D1279,Rates!$A$4:$B$7,2,FALSE())</f>
        <v>0.115</v>
      </c>
      <c r="I1279" s="0" t="n">
        <f aca="false">VLOOKUP(F1279,Rates!$D$4:$E$8,2)</f>
        <v>0.85</v>
      </c>
      <c r="J1279" s="0" t="n">
        <f aca="false">ROUND(E1279*I1279,2)</f>
        <v>24844.5</v>
      </c>
      <c r="K1279" s="1" t="n">
        <f aca="false">PV(H1279/12,F1279/30,0,-E1279)</f>
        <v>27743.8933818645</v>
      </c>
      <c r="L1279" s="0" t="n">
        <f aca="false">ROUND(E1279-K1279,2)</f>
        <v>1484.93</v>
      </c>
      <c r="M1279" s="0" t="n">
        <f aca="false">F1279/E1279</f>
        <v>0.00561090047425794</v>
      </c>
    </row>
    <row r="1280" customFormat="false" ht="12.8" hidden="false" customHeight="false" outlineLevel="0" collapsed="false">
      <c r="A1280" s="0" t="s">
        <v>1875</v>
      </c>
      <c r="B1280" s="0" t="s">
        <v>97</v>
      </c>
      <c r="C1280" s="0" t="s">
        <v>42</v>
      </c>
      <c r="D1280" s="0" t="s">
        <v>20</v>
      </c>
      <c r="E1280" s="0" t="n">
        <v>4869.02</v>
      </c>
      <c r="F1280" s="0" t="n">
        <v>91</v>
      </c>
      <c r="G1280" s="0" t="str">
        <f aca="false">IF(F1280&lt;=30,"Current",IF(F1280&lt;=60,"31 to 60 days",IF(F1280&lt;=90,"61 to 90 days",IF(F1280&lt;=120,"91 to 120 days","Over 120 days"))))</f>
        <v>91 to 120 days</v>
      </c>
      <c r="H1280" s="0" t="n">
        <f aca="false">VLOOKUP(D1280,Rates!$A$4:$B$7,2,FALSE())</f>
        <v>0.05</v>
      </c>
      <c r="I1280" s="0" t="n">
        <f aca="false">VLOOKUP(F1280,Rates!$D$4:$E$8,2)</f>
        <v>0.5</v>
      </c>
      <c r="J1280" s="0" t="n">
        <f aca="false">ROUND(E1280*I1280,2)</f>
        <v>2434.51</v>
      </c>
      <c r="K1280" s="1" t="n">
        <f aca="false">PV(H1280/12,F1280/30,0,-E1280)</f>
        <v>4807.99450347146</v>
      </c>
      <c r="L1280" s="0" t="n">
        <f aca="false">ROUND(E1280-K1280,2)</f>
        <v>61.03</v>
      </c>
      <c r="M1280" s="0" t="n">
        <f aca="false">F1280/E1280</f>
        <v>0.018689592566882</v>
      </c>
    </row>
    <row r="1281" customFormat="false" ht="12.8" hidden="false" customHeight="false" outlineLevel="0" collapsed="false">
      <c r="A1281" s="0" t="s">
        <v>1876</v>
      </c>
      <c r="B1281" s="0" t="s">
        <v>754</v>
      </c>
      <c r="C1281" s="0" t="s">
        <v>36</v>
      </c>
      <c r="D1281" s="0" t="s">
        <v>49</v>
      </c>
      <c r="E1281" s="0" t="n">
        <v>2419.56</v>
      </c>
      <c r="F1281" s="0" t="n">
        <v>192</v>
      </c>
      <c r="G1281" s="0" t="str">
        <f aca="false">IF(F1281&lt;=30,"Current",IF(F1281&lt;=60,"31 to 60 days",IF(F1281&lt;=90,"61 to 90 days",IF(F1281&lt;=120,"91 to 120 days","Over 120 days"))))</f>
        <v>Over 120 days</v>
      </c>
      <c r="H1281" s="0" t="n">
        <f aca="false">VLOOKUP(D1281,Rates!$A$4:$B$7,2,FALSE())</f>
        <v>0.02</v>
      </c>
      <c r="I1281" s="0" t="n">
        <f aca="false">VLOOKUP(F1281,Rates!$D$4:$E$8,2)</f>
        <v>0.85</v>
      </c>
      <c r="J1281" s="0" t="n">
        <f aca="false">ROUND(E1281*I1281,2)</f>
        <v>2056.63</v>
      </c>
      <c r="K1281" s="1" t="n">
        <f aca="false">PV(H1281/12,F1281/30,0,-E1281)</f>
        <v>2393.90977346361</v>
      </c>
      <c r="L1281" s="0" t="n">
        <f aca="false">ROUND(E1281-K1281,2)</f>
        <v>25.65</v>
      </c>
      <c r="M1281" s="0" t="n">
        <f aca="false">F1281/E1281</f>
        <v>0.0793532708426326</v>
      </c>
    </row>
    <row r="1282" customFormat="false" ht="12.8" hidden="false" customHeight="false" outlineLevel="0" collapsed="false">
      <c r="A1282" s="0" t="s">
        <v>1877</v>
      </c>
      <c r="B1282" s="0" t="s">
        <v>1878</v>
      </c>
      <c r="C1282" s="0" t="s">
        <v>36</v>
      </c>
      <c r="D1282" s="0" t="s">
        <v>16</v>
      </c>
      <c r="E1282" s="0" t="n">
        <v>2425.34</v>
      </c>
      <c r="F1282" s="0" t="n">
        <v>286</v>
      </c>
      <c r="G1282" s="0" t="str">
        <f aca="false">IF(F1282&lt;=30,"Current",IF(F1282&lt;=60,"31 to 60 days",IF(F1282&lt;=90,"61 to 90 days",IF(F1282&lt;=120,"91 to 120 days","Over 120 days"))))</f>
        <v>Over 120 days</v>
      </c>
      <c r="H1282" s="0" t="n">
        <f aca="false">VLOOKUP(D1282,Rates!$A$4:$B$7,2,FALSE())</f>
        <v>0.085</v>
      </c>
      <c r="I1282" s="0" t="n">
        <f aca="false">VLOOKUP(F1282,Rates!$D$4:$E$8,2)</f>
        <v>0.85</v>
      </c>
      <c r="J1282" s="0" t="n">
        <f aca="false">ROUND(E1282*I1282,2)</f>
        <v>2061.54</v>
      </c>
      <c r="K1282" s="1" t="n">
        <f aca="false">PV(H1282/12,F1282/30,0,-E1282)</f>
        <v>2267.50924560703</v>
      </c>
      <c r="L1282" s="0" t="n">
        <f aca="false">ROUND(E1282-K1282,2)</f>
        <v>157.83</v>
      </c>
      <c r="M1282" s="0" t="n">
        <f aca="false">F1282/E1282</f>
        <v>0.117921610990624</v>
      </c>
    </row>
    <row r="1283" customFormat="false" ht="12.8" hidden="false" customHeight="false" outlineLevel="0" collapsed="false">
      <c r="A1283" s="0" t="s">
        <v>1879</v>
      </c>
      <c r="B1283" s="0" t="s">
        <v>368</v>
      </c>
      <c r="C1283" s="0" t="s">
        <v>42</v>
      </c>
      <c r="D1283" s="0" t="s">
        <v>23</v>
      </c>
      <c r="E1283" s="0" t="n">
        <v>24133.48</v>
      </c>
      <c r="F1283" s="0" t="n">
        <v>60</v>
      </c>
      <c r="G1283" s="0" t="str">
        <f aca="false">IF(F1283&lt;=30,"Current",IF(F1283&lt;=60,"31 to 60 days",IF(F1283&lt;=90,"61 to 90 days",IF(F1283&lt;=120,"91 to 120 days","Over 120 days"))))</f>
        <v>31 to 60 days</v>
      </c>
      <c r="H1283" s="0" t="n">
        <f aca="false">VLOOKUP(D1283,Rates!$A$4:$B$7,2,FALSE())</f>
        <v>0.115</v>
      </c>
      <c r="I1283" s="0" t="n">
        <f aca="false">VLOOKUP(F1283,Rates!$D$4:$E$8,2)</f>
        <v>0.1</v>
      </c>
      <c r="J1283" s="0" t="n">
        <f aca="false">ROUND(E1283*I1283,2)</f>
        <v>2413.35</v>
      </c>
      <c r="K1283" s="1" t="n">
        <f aca="false">PV(H1283/12,F1283/30,0,-E1283)</f>
        <v>23677.486953087</v>
      </c>
      <c r="L1283" s="0" t="n">
        <f aca="false">ROUND(E1283-K1283,2)</f>
        <v>455.99</v>
      </c>
      <c r="M1283" s="0" t="n">
        <f aca="false">F1283/E1283</f>
        <v>0.0024861727359668</v>
      </c>
    </row>
    <row r="1284" customFormat="false" ht="12.8" hidden="false" customHeight="false" outlineLevel="0" collapsed="false">
      <c r="A1284" s="0" t="s">
        <v>1880</v>
      </c>
      <c r="B1284" s="0" t="s">
        <v>1881</v>
      </c>
      <c r="C1284" s="0" t="s">
        <v>19</v>
      </c>
      <c r="D1284" s="0" t="s">
        <v>49</v>
      </c>
      <c r="E1284" s="0" t="n">
        <v>38977.45</v>
      </c>
      <c r="F1284" s="0" t="n">
        <v>392</v>
      </c>
      <c r="G1284" s="0" t="str">
        <f aca="false">IF(F1284&lt;=30,"Current",IF(F1284&lt;=60,"31 to 60 days",IF(F1284&lt;=90,"61 to 90 days",IF(F1284&lt;=120,"91 to 120 days","Over 120 days"))))</f>
        <v>Over 120 days</v>
      </c>
      <c r="H1284" s="0" t="n">
        <f aca="false">VLOOKUP(D1284,Rates!$A$4:$B$7,2,FALSE())</f>
        <v>0.02</v>
      </c>
      <c r="I1284" s="0" t="n">
        <f aca="false">VLOOKUP(F1284,Rates!$D$4:$E$8,2)</f>
        <v>0.85</v>
      </c>
      <c r="J1284" s="0" t="n">
        <f aca="false">ROUND(E1284*I1284,2)</f>
        <v>33130.83</v>
      </c>
      <c r="K1284" s="1" t="n">
        <f aca="false">PV(H1284/12,F1284/30,0,-E1284)</f>
        <v>38138.4753395442</v>
      </c>
      <c r="L1284" s="0" t="n">
        <f aca="false">ROUND(E1284-K1284,2)</f>
        <v>838.97</v>
      </c>
      <c r="M1284" s="0" t="n">
        <f aca="false">F1284/E1284</f>
        <v>0.0100570971164096</v>
      </c>
    </row>
    <row r="1285" customFormat="false" ht="12.8" hidden="false" customHeight="false" outlineLevel="0" collapsed="false">
      <c r="A1285" s="0" t="s">
        <v>1882</v>
      </c>
      <c r="B1285" s="0" t="s">
        <v>1883</v>
      </c>
      <c r="C1285" s="0" t="s">
        <v>42</v>
      </c>
      <c r="D1285" s="0" t="s">
        <v>49</v>
      </c>
      <c r="E1285" s="0" t="n">
        <v>33369.98</v>
      </c>
      <c r="F1285" s="0" t="n">
        <v>221</v>
      </c>
      <c r="G1285" s="0" t="str">
        <f aca="false">IF(F1285&lt;=30,"Current",IF(F1285&lt;=60,"31 to 60 days",IF(F1285&lt;=90,"61 to 90 days",IF(F1285&lt;=120,"91 to 120 days","Over 120 days"))))</f>
        <v>Over 120 days</v>
      </c>
      <c r="H1285" s="0" t="n">
        <f aca="false">VLOOKUP(D1285,Rates!$A$4:$B$7,2,FALSE())</f>
        <v>0.02</v>
      </c>
      <c r="I1285" s="0" t="n">
        <f aca="false">VLOOKUP(F1285,Rates!$D$4:$E$8,2)</f>
        <v>0.85</v>
      </c>
      <c r="J1285" s="0" t="n">
        <f aca="false">ROUND(E1285*I1285,2)</f>
        <v>28364.48</v>
      </c>
      <c r="K1285" s="1" t="n">
        <f aca="false">PV(H1285/12,F1285/30,0,-E1285)</f>
        <v>32963.112583843</v>
      </c>
      <c r="L1285" s="0" t="n">
        <f aca="false">ROUND(E1285-K1285,2)</f>
        <v>406.87</v>
      </c>
      <c r="M1285" s="0" t="n">
        <f aca="false">F1285/E1285</f>
        <v>0.00662271898275036</v>
      </c>
    </row>
    <row r="1286" customFormat="false" ht="12.8" hidden="false" customHeight="false" outlineLevel="0" collapsed="false">
      <c r="A1286" s="0" t="s">
        <v>1884</v>
      </c>
      <c r="B1286" s="0" t="s">
        <v>18</v>
      </c>
      <c r="C1286" s="0" t="s">
        <v>19</v>
      </c>
      <c r="D1286" s="0" t="s">
        <v>20</v>
      </c>
      <c r="E1286" s="0" t="n">
        <v>8631.36</v>
      </c>
      <c r="F1286" s="0" t="n">
        <v>306</v>
      </c>
      <c r="G1286" s="0" t="str">
        <f aca="false">IF(F1286&lt;=30,"Current",IF(F1286&lt;=60,"31 to 60 days",IF(F1286&lt;=90,"61 to 90 days",IF(F1286&lt;=120,"91 to 120 days","Over 120 days"))))</f>
        <v>Over 120 days</v>
      </c>
      <c r="H1286" s="0" t="n">
        <f aca="false">VLOOKUP(D1286,Rates!$A$4:$B$7,2,FALSE())</f>
        <v>0.05</v>
      </c>
      <c r="I1286" s="0" t="n">
        <f aca="false">VLOOKUP(F1286,Rates!$D$4:$E$8,2)</f>
        <v>0.85</v>
      </c>
      <c r="J1286" s="0" t="n">
        <f aca="false">ROUND(E1286*I1286,2)</f>
        <v>7336.66</v>
      </c>
      <c r="K1286" s="1" t="n">
        <f aca="false">PV(H1286/12,F1286/30,0,-E1286)</f>
        <v>8272.94356805712</v>
      </c>
      <c r="L1286" s="0" t="n">
        <f aca="false">ROUND(E1286-K1286,2)</f>
        <v>358.42</v>
      </c>
      <c r="M1286" s="0" t="n">
        <f aca="false">F1286/E1286</f>
        <v>0.0354521187854521</v>
      </c>
    </row>
    <row r="1287" customFormat="false" ht="12.8" hidden="false" customHeight="false" outlineLevel="0" collapsed="false">
      <c r="A1287" s="0" t="s">
        <v>1885</v>
      </c>
      <c r="B1287" s="0" t="s">
        <v>1886</v>
      </c>
      <c r="C1287" s="0" t="s">
        <v>36</v>
      </c>
      <c r="D1287" s="0" t="s">
        <v>16</v>
      </c>
      <c r="E1287" s="0" t="n">
        <v>6993.46</v>
      </c>
      <c r="F1287" s="0" t="n">
        <v>191</v>
      </c>
      <c r="G1287" s="0" t="str">
        <f aca="false">IF(F1287&lt;=30,"Current",IF(F1287&lt;=60,"31 to 60 days",IF(F1287&lt;=90,"61 to 90 days",IF(F1287&lt;=120,"91 to 120 days","Over 120 days"))))</f>
        <v>Over 120 days</v>
      </c>
      <c r="H1287" s="0" t="n">
        <f aca="false">VLOOKUP(D1287,Rates!$A$4:$B$7,2,FALSE())</f>
        <v>0.085</v>
      </c>
      <c r="I1287" s="0" t="n">
        <f aca="false">VLOOKUP(F1287,Rates!$D$4:$E$8,2)</f>
        <v>0.85</v>
      </c>
      <c r="J1287" s="0" t="n">
        <f aca="false">ROUND(E1287*I1287,2)</f>
        <v>5944.44</v>
      </c>
      <c r="K1287" s="1" t="n">
        <f aca="false">PV(H1287/12,F1287/30,0,-E1287)</f>
        <v>6686.14298489353</v>
      </c>
      <c r="L1287" s="0" t="n">
        <f aca="false">ROUND(E1287-K1287,2)</f>
        <v>307.32</v>
      </c>
      <c r="M1287" s="0" t="n">
        <f aca="false">F1287/E1287</f>
        <v>0.0273112307784702</v>
      </c>
    </row>
    <row r="1288" customFormat="false" ht="12.8" hidden="false" customHeight="false" outlineLevel="0" collapsed="false">
      <c r="A1288" s="0" t="s">
        <v>1887</v>
      </c>
      <c r="B1288" s="0" t="s">
        <v>1888</v>
      </c>
      <c r="C1288" s="0" t="s">
        <v>42</v>
      </c>
      <c r="D1288" s="0" t="s">
        <v>16</v>
      </c>
      <c r="E1288" s="0" t="n">
        <v>37794.97</v>
      </c>
      <c r="F1288" s="0" t="n">
        <v>176</v>
      </c>
      <c r="G1288" s="0" t="str">
        <f aca="false">IF(F1288&lt;=30,"Current",IF(F1288&lt;=60,"31 to 60 days",IF(F1288&lt;=90,"61 to 90 days",IF(F1288&lt;=120,"91 to 120 days","Over 120 days"))))</f>
        <v>Over 120 days</v>
      </c>
      <c r="H1288" s="0" t="n">
        <f aca="false">VLOOKUP(D1288,Rates!$A$4:$B$7,2,FALSE())</f>
        <v>0.085</v>
      </c>
      <c r="I1288" s="0" t="n">
        <f aca="false">VLOOKUP(F1288,Rates!$D$4:$E$8,2)</f>
        <v>0.85</v>
      </c>
      <c r="J1288" s="0" t="n">
        <f aca="false">ROUND(E1288*I1288,2)</f>
        <v>32125.72</v>
      </c>
      <c r="K1288" s="1" t="n">
        <f aca="false">PV(H1288/12,F1288/30,0,-E1288)</f>
        <v>36261.8764566185</v>
      </c>
      <c r="L1288" s="0" t="n">
        <f aca="false">ROUND(E1288-K1288,2)</f>
        <v>1533.09</v>
      </c>
      <c r="M1288" s="0" t="n">
        <f aca="false">F1288/E1288</f>
        <v>0.00465670431806137</v>
      </c>
    </row>
    <row r="1289" customFormat="false" ht="12.8" hidden="false" customHeight="false" outlineLevel="0" collapsed="false">
      <c r="A1289" s="0" t="s">
        <v>1889</v>
      </c>
      <c r="B1289" s="0" t="s">
        <v>51</v>
      </c>
      <c r="C1289" s="0" t="s">
        <v>36</v>
      </c>
      <c r="D1289" s="0" t="s">
        <v>20</v>
      </c>
      <c r="E1289" s="0" t="n">
        <v>7452.56</v>
      </c>
      <c r="F1289" s="0" t="n">
        <v>111</v>
      </c>
      <c r="G1289" s="0" t="str">
        <f aca="false">IF(F1289&lt;=30,"Current",IF(F1289&lt;=60,"31 to 60 days",IF(F1289&lt;=90,"61 to 90 days",IF(F1289&lt;=120,"91 to 120 days","Over 120 days"))))</f>
        <v>91 to 120 days</v>
      </c>
      <c r="H1289" s="0" t="n">
        <f aca="false">VLOOKUP(D1289,Rates!$A$4:$B$7,2,FALSE())</f>
        <v>0.05</v>
      </c>
      <c r="I1289" s="0" t="n">
        <f aca="false">VLOOKUP(F1289,Rates!$D$4:$E$8,2)</f>
        <v>0.5</v>
      </c>
      <c r="J1289" s="0" t="n">
        <f aca="false">ROUND(E1289*I1289,2)</f>
        <v>3726.28</v>
      </c>
      <c r="K1289" s="1" t="n">
        <f aca="false">PV(H1289/12,F1289/30,0,-E1289)</f>
        <v>7338.78252233688</v>
      </c>
      <c r="L1289" s="0" t="n">
        <f aca="false">ROUND(E1289-K1289,2)</f>
        <v>113.78</v>
      </c>
      <c r="M1289" s="0" t="n">
        <f aca="false">F1289/E1289</f>
        <v>0.0148942108483528</v>
      </c>
    </row>
    <row r="1290" customFormat="false" ht="12.8" hidden="false" customHeight="false" outlineLevel="0" collapsed="false">
      <c r="A1290" s="0" t="s">
        <v>1890</v>
      </c>
      <c r="B1290" s="0" t="s">
        <v>18</v>
      </c>
      <c r="C1290" s="0" t="s">
        <v>19</v>
      </c>
      <c r="D1290" s="0" t="s">
        <v>20</v>
      </c>
      <c r="E1290" s="0" t="n">
        <v>43015.79</v>
      </c>
      <c r="F1290" s="0" t="n">
        <v>343</v>
      </c>
      <c r="G1290" s="0" t="str">
        <f aca="false">IF(F1290&lt;=30,"Current",IF(F1290&lt;=60,"31 to 60 days",IF(F1290&lt;=90,"61 to 90 days",IF(F1290&lt;=120,"91 to 120 days","Over 120 days"))))</f>
        <v>Over 120 days</v>
      </c>
      <c r="H1290" s="0" t="n">
        <f aca="false">VLOOKUP(D1290,Rates!$A$4:$B$7,2,FALSE())</f>
        <v>0.05</v>
      </c>
      <c r="I1290" s="0" t="n">
        <f aca="false">VLOOKUP(F1290,Rates!$D$4:$E$8,2)</f>
        <v>0.85</v>
      </c>
      <c r="J1290" s="0" t="n">
        <f aca="false">ROUND(E1290*I1290,2)</f>
        <v>36563.42</v>
      </c>
      <c r="K1290" s="1" t="n">
        <f aca="false">PV(H1290/12,F1290/30,0,-E1290)</f>
        <v>41018.6705187877</v>
      </c>
      <c r="L1290" s="0" t="n">
        <f aca="false">ROUND(E1290-K1290,2)</f>
        <v>1997.12</v>
      </c>
      <c r="M1290" s="0" t="n">
        <f aca="false">F1290/E1290</f>
        <v>0.00797381612658979</v>
      </c>
    </row>
    <row r="1291" customFormat="false" ht="12.8" hidden="false" customHeight="false" outlineLevel="0" collapsed="false">
      <c r="A1291" s="0" t="s">
        <v>1891</v>
      </c>
      <c r="B1291" s="0" t="s">
        <v>1892</v>
      </c>
      <c r="C1291" s="0" t="s">
        <v>26</v>
      </c>
      <c r="D1291" s="0" t="s">
        <v>49</v>
      </c>
      <c r="E1291" s="0" t="n">
        <v>38856.08</v>
      </c>
      <c r="F1291" s="0" t="n">
        <v>62</v>
      </c>
      <c r="G1291" s="0" t="str">
        <f aca="false">IF(F1291&lt;=30,"Current",IF(F1291&lt;=60,"31 to 60 days",IF(F1291&lt;=90,"61 to 90 days",IF(F1291&lt;=120,"91 to 120 days","Over 120 days"))))</f>
        <v>61 to 90 days</v>
      </c>
      <c r="H1291" s="0" t="n">
        <f aca="false">VLOOKUP(D1291,Rates!$A$4:$B$7,2,FALSE())</f>
        <v>0.02</v>
      </c>
      <c r="I1291" s="0" t="n">
        <f aca="false">VLOOKUP(F1291,Rates!$D$4:$E$8,2)</f>
        <v>0.25</v>
      </c>
      <c r="J1291" s="0" t="n">
        <f aca="false">ROUND(E1291*I1291,2)</f>
        <v>9714.02</v>
      </c>
      <c r="K1291" s="1" t="n">
        <f aca="false">PV(H1291/12,F1291/30,0,-E1291)</f>
        <v>38722.5836494509</v>
      </c>
      <c r="L1291" s="0" t="n">
        <f aca="false">ROUND(E1291-K1291,2)</f>
        <v>133.5</v>
      </c>
      <c r="M1291" s="0" t="n">
        <f aca="false">F1291/E1291</f>
        <v>0.00159563188051908</v>
      </c>
    </row>
    <row r="1292" customFormat="false" ht="12.8" hidden="false" customHeight="false" outlineLevel="0" collapsed="false">
      <c r="A1292" s="0" t="s">
        <v>1893</v>
      </c>
      <c r="B1292" s="0" t="s">
        <v>1894</v>
      </c>
      <c r="C1292" s="0" t="s">
        <v>31</v>
      </c>
      <c r="D1292" s="0" t="s">
        <v>49</v>
      </c>
      <c r="E1292" s="0" t="n">
        <v>32696.57</v>
      </c>
      <c r="F1292" s="0" t="n">
        <v>260</v>
      </c>
      <c r="G1292" s="0" t="str">
        <f aca="false">IF(F1292&lt;=30,"Current",IF(F1292&lt;=60,"31 to 60 days",IF(F1292&lt;=90,"61 to 90 days",IF(F1292&lt;=120,"91 to 120 days","Over 120 days"))))</f>
        <v>Over 120 days</v>
      </c>
      <c r="H1292" s="0" t="n">
        <f aca="false">VLOOKUP(D1292,Rates!$A$4:$B$7,2,FALSE())</f>
        <v>0.02</v>
      </c>
      <c r="I1292" s="0" t="n">
        <f aca="false">VLOOKUP(F1292,Rates!$D$4:$E$8,2)</f>
        <v>0.85</v>
      </c>
      <c r="J1292" s="0" t="n">
        <f aca="false">ROUND(E1292*I1292,2)</f>
        <v>27792.08</v>
      </c>
      <c r="K1292" s="1" t="n">
        <f aca="false">PV(H1292/12,F1292/30,0,-E1292)</f>
        <v>32228.06828331</v>
      </c>
      <c r="L1292" s="0" t="n">
        <f aca="false">ROUND(E1292-K1292,2)</f>
        <v>468.5</v>
      </c>
      <c r="M1292" s="0" t="n">
        <f aca="false">F1292/E1292</f>
        <v>0.00795190443523587</v>
      </c>
    </row>
    <row r="1293" customFormat="false" ht="12.8" hidden="false" customHeight="false" outlineLevel="0" collapsed="false">
      <c r="A1293" s="0" t="s">
        <v>1895</v>
      </c>
      <c r="B1293" s="0" t="s">
        <v>30</v>
      </c>
      <c r="C1293" s="0" t="s">
        <v>31</v>
      </c>
      <c r="D1293" s="0" t="s">
        <v>20</v>
      </c>
      <c r="E1293" s="0" t="n">
        <v>1743.99</v>
      </c>
      <c r="F1293" s="0" t="n">
        <v>323</v>
      </c>
      <c r="G1293" s="0" t="str">
        <f aca="false">IF(F1293&lt;=30,"Current",IF(F1293&lt;=60,"31 to 60 days",IF(F1293&lt;=90,"61 to 90 days",IF(F1293&lt;=120,"91 to 120 days","Over 120 days"))))</f>
        <v>Over 120 days</v>
      </c>
      <c r="H1293" s="0" t="n">
        <f aca="false">VLOOKUP(D1293,Rates!$A$4:$B$7,2,FALSE())</f>
        <v>0.05</v>
      </c>
      <c r="I1293" s="0" t="n">
        <f aca="false">VLOOKUP(F1293,Rates!$D$4:$E$8,2)</f>
        <v>0.85</v>
      </c>
      <c r="J1293" s="0" t="n">
        <f aca="false">ROUND(E1293*I1293,2)</f>
        <v>1482.39</v>
      </c>
      <c r="K1293" s="1" t="n">
        <f aca="false">PV(H1293/12,F1293/30,0,-E1293)</f>
        <v>1667.63704653507</v>
      </c>
      <c r="L1293" s="0" t="n">
        <f aca="false">ROUND(E1293-K1293,2)</f>
        <v>76.35</v>
      </c>
      <c r="M1293" s="0" t="n">
        <f aca="false">F1293/E1293</f>
        <v>0.185207483987867</v>
      </c>
    </row>
    <row r="1294" customFormat="false" ht="12.8" hidden="false" customHeight="false" outlineLevel="0" collapsed="false">
      <c r="A1294" s="0" t="s">
        <v>1896</v>
      </c>
      <c r="B1294" s="0" t="s">
        <v>490</v>
      </c>
      <c r="C1294" s="0" t="s">
        <v>42</v>
      </c>
      <c r="D1294" s="0" t="s">
        <v>23</v>
      </c>
      <c r="E1294" s="0" t="n">
        <v>12112.87</v>
      </c>
      <c r="F1294" s="0" t="n">
        <v>386</v>
      </c>
      <c r="G1294" s="0" t="str">
        <f aca="false">IF(F1294&lt;=30,"Current",IF(F1294&lt;=60,"31 to 60 days",IF(F1294&lt;=90,"61 to 90 days",IF(F1294&lt;=120,"91 to 120 days","Over 120 days"))))</f>
        <v>Over 120 days</v>
      </c>
      <c r="H1294" s="0" t="n">
        <f aca="false">VLOOKUP(D1294,Rates!$A$4:$B$7,2,FALSE())</f>
        <v>0.115</v>
      </c>
      <c r="I1294" s="0" t="n">
        <f aca="false">VLOOKUP(F1294,Rates!$D$4:$E$8,2)</f>
        <v>0.85</v>
      </c>
      <c r="J1294" s="0" t="n">
        <f aca="false">ROUND(E1294*I1294,2)</f>
        <v>10295.94</v>
      </c>
      <c r="K1294" s="1" t="n">
        <f aca="false">PV(H1294/12,F1294/30,0,-E1294)</f>
        <v>10713.9867353431</v>
      </c>
      <c r="L1294" s="0" t="n">
        <f aca="false">ROUND(E1294-K1294,2)</f>
        <v>1398.88</v>
      </c>
      <c r="M1294" s="0" t="n">
        <f aca="false">F1294/E1294</f>
        <v>0.0318669316190135</v>
      </c>
    </row>
    <row r="1295" customFormat="false" ht="12.8" hidden="false" customHeight="false" outlineLevel="0" collapsed="false">
      <c r="A1295" s="0" t="s">
        <v>1897</v>
      </c>
      <c r="B1295" s="0" t="s">
        <v>1898</v>
      </c>
      <c r="C1295" s="0" t="s">
        <v>31</v>
      </c>
      <c r="D1295" s="0" t="s">
        <v>16</v>
      </c>
      <c r="E1295" s="0" t="n">
        <v>39222.7</v>
      </c>
      <c r="F1295" s="0" t="n">
        <v>72</v>
      </c>
      <c r="G1295" s="0" t="str">
        <f aca="false">IF(F1295&lt;=30,"Current",IF(F1295&lt;=60,"31 to 60 days",IF(F1295&lt;=90,"61 to 90 days",IF(F1295&lt;=120,"91 to 120 days","Over 120 days"))))</f>
        <v>61 to 90 days</v>
      </c>
      <c r="H1295" s="0" t="n">
        <f aca="false">VLOOKUP(D1295,Rates!$A$4:$B$7,2,FALSE())</f>
        <v>0.085</v>
      </c>
      <c r="I1295" s="0" t="n">
        <f aca="false">VLOOKUP(F1295,Rates!$D$4:$E$8,2)</f>
        <v>0.25</v>
      </c>
      <c r="J1295" s="0" t="n">
        <f aca="false">ROUND(E1295*I1295,2)</f>
        <v>9805.68</v>
      </c>
      <c r="K1295" s="1" t="n">
        <f aca="false">PV(H1295/12,F1295/30,0,-E1295)</f>
        <v>38563.8606894212</v>
      </c>
      <c r="L1295" s="0" t="n">
        <f aca="false">ROUND(E1295-K1295,2)</f>
        <v>658.84</v>
      </c>
      <c r="M1295" s="0" t="n">
        <f aca="false">F1295/E1295</f>
        <v>0.00183567169011822</v>
      </c>
    </row>
    <row r="1296" customFormat="false" ht="12.8" hidden="false" customHeight="false" outlineLevel="0" collapsed="false">
      <c r="A1296" s="0" t="s">
        <v>1899</v>
      </c>
      <c r="B1296" s="0" t="s">
        <v>1900</v>
      </c>
      <c r="C1296" s="0" t="s">
        <v>26</v>
      </c>
      <c r="D1296" s="0" t="s">
        <v>49</v>
      </c>
      <c r="E1296" s="0" t="n">
        <v>10477.66</v>
      </c>
      <c r="F1296" s="0" t="n">
        <v>339</v>
      </c>
      <c r="G1296" s="0" t="str">
        <f aca="false">IF(F1296&lt;=30,"Current",IF(F1296&lt;=60,"31 to 60 days",IF(F1296&lt;=90,"61 to 90 days",IF(F1296&lt;=120,"91 to 120 days","Over 120 days"))))</f>
        <v>Over 120 days</v>
      </c>
      <c r="H1296" s="0" t="n">
        <f aca="false">VLOOKUP(D1296,Rates!$A$4:$B$7,2,FALSE())</f>
        <v>0.02</v>
      </c>
      <c r="I1296" s="0" t="n">
        <f aca="false">VLOOKUP(F1296,Rates!$D$4:$E$8,2)</f>
        <v>0.85</v>
      </c>
      <c r="J1296" s="0" t="n">
        <f aca="false">ROUND(E1296*I1296,2)</f>
        <v>8906.01</v>
      </c>
      <c r="K1296" s="1" t="n">
        <f aca="false">PV(H1296/12,F1296/30,0,-E1296)</f>
        <v>10282.3385052597</v>
      </c>
      <c r="L1296" s="0" t="n">
        <f aca="false">ROUND(E1296-K1296,2)</f>
        <v>195.32</v>
      </c>
      <c r="M1296" s="0" t="n">
        <f aca="false">F1296/E1296</f>
        <v>0.0323545524477794</v>
      </c>
    </row>
    <row r="1297" customFormat="false" ht="12.8" hidden="false" customHeight="false" outlineLevel="0" collapsed="false">
      <c r="A1297" s="0" t="s">
        <v>1901</v>
      </c>
      <c r="B1297" s="0" t="s">
        <v>375</v>
      </c>
      <c r="C1297" s="0" t="s">
        <v>42</v>
      </c>
      <c r="D1297" s="0" t="s">
        <v>23</v>
      </c>
      <c r="E1297" s="0" t="n">
        <v>27195.97</v>
      </c>
      <c r="F1297" s="0" t="n">
        <v>126</v>
      </c>
      <c r="G1297" s="0" t="str">
        <f aca="false">IF(F1297&lt;=30,"Current",IF(F1297&lt;=60,"31 to 60 days",IF(F1297&lt;=90,"61 to 90 days",IF(F1297&lt;=120,"91 to 120 days","Over 120 days"))))</f>
        <v>Over 120 days</v>
      </c>
      <c r="H1297" s="0" t="n">
        <f aca="false">VLOOKUP(D1297,Rates!$A$4:$B$7,2,FALSE())</f>
        <v>0.115</v>
      </c>
      <c r="I1297" s="0" t="n">
        <f aca="false">VLOOKUP(F1297,Rates!$D$4:$E$8,2)</f>
        <v>0.85</v>
      </c>
      <c r="J1297" s="0" t="n">
        <f aca="false">ROUND(E1297*I1297,2)</f>
        <v>23116.57</v>
      </c>
      <c r="K1297" s="1" t="n">
        <f aca="false">PV(H1297/12,F1297/30,0,-E1297)</f>
        <v>26128.0759153813</v>
      </c>
      <c r="L1297" s="0" t="n">
        <f aca="false">ROUND(E1297-K1297,2)</f>
        <v>1067.89</v>
      </c>
      <c r="M1297" s="0" t="n">
        <f aca="false">F1297/E1297</f>
        <v>0.00463303938046703</v>
      </c>
    </row>
    <row r="1298" customFormat="false" ht="12.8" hidden="false" customHeight="false" outlineLevel="0" collapsed="false">
      <c r="A1298" s="0" t="s">
        <v>1902</v>
      </c>
      <c r="B1298" s="0" t="s">
        <v>1903</v>
      </c>
      <c r="C1298" s="0" t="s">
        <v>26</v>
      </c>
      <c r="D1298" s="0" t="s">
        <v>49</v>
      </c>
      <c r="E1298" s="0" t="n">
        <v>40853.89</v>
      </c>
      <c r="F1298" s="0" t="n">
        <v>34</v>
      </c>
      <c r="G1298" s="0" t="str">
        <f aca="false">IF(F1298&lt;=30,"Current",IF(F1298&lt;=60,"31 to 60 days",IF(F1298&lt;=90,"61 to 90 days",IF(F1298&lt;=120,"91 to 120 days","Over 120 days"))))</f>
        <v>31 to 60 days</v>
      </c>
      <c r="H1298" s="0" t="n">
        <f aca="false">VLOOKUP(D1298,Rates!$A$4:$B$7,2,FALSE())</f>
        <v>0.02</v>
      </c>
      <c r="I1298" s="0" t="n">
        <f aca="false">VLOOKUP(F1298,Rates!$D$4:$E$8,2)</f>
        <v>0.1</v>
      </c>
      <c r="J1298" s="0" t="n">
        <f aca="false">ROUND(E1298*I1298,2)</f>
        <v>4085.39</v>
      </c>
      <c r="K1298" s="1" t="n">
        <f aca="false">PV(H1298/12,F1298/30,0,-E1298)</f>
        <v>40776.8584910837</v>
      </c>
      <c r="L1298" s="0" t="n">
        <f aca="false">ROUND(E1298-K1298,2)</f>
        <v>77.03</v>
      </c>
      <c r="M1298" s="0" t="n">
        <f aca="false">F1298/E1298</f>
        <v>0.000832234090805062</v>
      </c>
    </row>
    <row r="1299" customFormat="false" ht="12.8" hidden="false" customHeight="false" outlineLevel="0" collapsed="false">
      <c r="A1299" s="0" t="s">
        <v>1904</v>
      </c>
      <c r="B1299" s="0" t="s">
        <v>216</v>
      </c>
      <c r="C1299" s="0" t="s">
        <v>15</v>
      </c>
      <c r="D1299" s="0" t="s">
        <v>23</v>
      </c>
      <c r="E1299" s="0" t="n">
        <v>18813.63</v>
      </c>
      <c r="F1299" s="0" t="n">
        <v>313</v>
      </c>
      <c r="G1299" s="0" t="str">
        <f aca="false">IF(F1299&lt;=30,"Current",IF(F1299&lt;=60,"31 to 60 days",IF(F1299&lt;=90,"61 to 90 days",IF(F1299&lt;=120,"91 to 120 days","Over 120 days"))))</f>
        <v>Over 120 days</v>
      </c>
      <c r="H1299" s="0" t="n">
        <f aca="false">VLOOKUP(D1299,Rates!$A$4:$B$7,2,FALSE())</f>
        <v>0.115</v>
      </c>
      <c r="I1299" s="0" t="n">
        <f aca="false">VLOOKUP(F1299,Rates!$D$4:$E$8,2)</f>
        <v>0.85</v>
      </c>
      <c r="J1299" s="0" t="n">
        <f aca="false">ROUND(E1299*I1299,2)</f>
        <v>15991.59</v>
      </c>
      <c r="K1299" s="1" t="n">
        <f aca="false">PV(H1299/12,F1299/30,0,-E1299)</f>
        <v>17031.6189895551</v>
      </c>
      <c r="L1299" s="0" t="n">
        <f aca="false">ROUND(E1299-K1299,2)</f>
        <v>1782.01</v>
      </c>
      <c r="M1299" s="0" t="n">
        <f aca="false">F1299/E1299</f>
        <v>0.0166368744362465</v>
      </c>
    </row>
    <row r="1300" customFormat="false" ht="12.8" hidden="false" customHeight="false" outlineLevel="0" collapsed="false">
      <c r="A1300" s="0" t="s">
        <v>1905</v>
      </c>
      <c r="B1300" s="0" t="s">
        <v>28</v>
      </c>
      <c r="C1300" s="0" t="s">
        <v>15</v>
      </c>
      <c r="D1300" s="0" t="s">
        <v>20</v>
      </c>
      <c r="E1300" s="0" t="n">
        <v>10193.23</v>
      </c>
      <c r="F1300" s="0" t="n">
        <v>103</v>
      </c>
      <c r="G1300" s="0" t="str">
        <f aca="false">IF(F1300&lt;=30,"Current",IF(F1300&lt;=60,"31 to 60 days",IF(F1300&lt;=90,"61 to 90 days",IF(F1300&lt;=120,"91 to 120 days","Over 120 days"))))</f>
        <v>91 to 120 days</v>
      </c>
      <c r="H1300" s="0" t="n">
        <f aca="false">VLOOKUP(D1300,Rates!$A$4:$B$7,2,FALSE())</f>
        <v>0.05</v>
      </c>
      <c r="I1300" s="0" t="n">
        <f aca="false">VLOOKUP(F1300,Rates!$D$4:$E$8,2)</f>
        <v>0.5</v>
      </c>
      <c r="J1300" s="0" t="n">
        <f aca="false">ROUND(E1300*I1300,2)</f>
        <v>5096.62</v>
      </c>
      <c r="K1300" s="1" t="n">
        <f aca="false">PV(H1300/12,F1300/30,0,-E1300)</f>
        <v>10048.7468942632</v>
      </c>
      <c r="L1300" s="0" t="n">
        <f aca="false">ROUND(E1300-K1300,2)</f>
        <v>144.48</v>
      </c>
      <c r="M1300" s="0" t="n">
        <f aca="false">F1300/E1300</f>
        <v>0.0101047459931739</v>
      </c>
    </row>
    <row r="1301" customFormat="false" ht="12.8" hidden="false" customHeight="false" outlineLevel="0" collapsed="false">
      <c r="A1301" s="0" t="s">
        <v>1906</v>
      </c>
      <c r="B1301" s="0" t="s">
        <v>1907</v>
      </c>
      <c r="C1301" s="0" t="s">
        <v>15</v>
      </c>
      <c r="D1301" s="0" t="s">
        <v>16</v>
      </c>
      <c r="E1301" s="0" t="n">
        <v>22739.93</v>
      </c>
      <c r="F1301" s="0" t="n">
        <v>272</v>
      </c>
      <c r="G1301" s="0" t="str">
        <f aca="false">IF(F1301&lt;=30,"Current",IF(F1301&lt;=60,"31 to 60 days",IF(F1301&lt;=90,"61 to 90 days",IF(F1301&lt;=120,"91 to 120 days","Over 120 days"))))</f>
        <v>Over 120 days</v>
      </c>
      <c r="H1301" s="0" t="n">
        <f aca="false">VLOOKUP(D1301,Rates!$A$4:$B$7,2,FALSE())</f>
        <v>0.085</v>
      </c>
      <c r="I1301" s="0" t="n">
        <f aca="false">VLOOKUP(F1301,Rates!$D$4:$E$8,2)</f>
        <v>0.85</v>
      </c>
      <c r="J1301" s="0" t="n">
        <f aca="false">ROUND(E1301*I1301,2)</f>
        <v>19328.94</v>
      </c>
      <c r="K1301" s="1" t="n">
        <f aca="false">PV(H1301/12,F1301/30,0,-E1301)</f>
        <v>21330.2568281141</v>
      </c>
      <c r="L1301" s="0" t="n">
        <f aca="false">ROUND(E1301-K1301,2)</f>
        <v>1409.67</v>
      </c>
      <c r="M1301" s="0" t="n">
        <f aca="false">F1301/E1301</f>
        <v>0.0119613384913674</v>
      </c>
    </row>
    <row r="1302" customFormat="false" ht="12.8" hidden="false" customHeight="false" outlineLevel="0" collapsed="false">
      <c r="A1302" s="0" t="s">
        <v>1908</v>
      </c>
      <c r="B1302" s="0" t="s">
        <v>1909</v>
      </c>
      <c r="C1302" s="0" t="s">
        <v>15</v>
      </c>
      <c r="D1302" s="0" t="s">
        <v>49</v>
      </c>
      <c r="E1302" s="0" t="n">
        <v>14517.6</v>
      </c>
      <c r="F1302" s="0" t="n">
        <v>346</v>
      </c>
      <c r="G1302" s="0" t="str">
        <f aca="false">IF(F1302&lt;=30,"Current",IF(F1302&lt;=60,"31 to 60 days",IF(F1302&lt;=90,"61 to 90 days",IF(F1302&lt;=120,"91 to 120 days","Over 120 days"))))</f>
        <v>Over 120 days</v>
      </c>
      <c r="H1302" s="0" t="n">
        <f aca="false">VLOOKUP(D1302,Rates!$A$4:$B$7,2,FALSE())</f>
        <v>0.02</v>
      </c>
      <c r="I1302" s="0" t="n">
        <f aca="false">VLOOKUP(F1302,Rates!$D$4:$E$8,2)</f>
        <v>0.85</v>
      </c>
      <c r="J1302" s="0" t="n">
        <f aca="false">ROUND(E1302*I1302,2)</f>
        <v>12339.96</v>
      </c>
      <c r="K1302" s="1" t="n">
        <f aca="false">PV(H1302/12,F1302/30,0,-E1302)</f>
        <v>14241.432317203</v>
      </c>
      <c r="L1302" s="0" t="n">
        <f aca="false">ROUND(E1302-K1302,2)</f>
        <v>276.17</v>
      </c>
      <c r="M1302" s="0" t="n">
        <f aca="false">F1302/E1302</f>
        <v>0.0238331404639885</v>
      </c>
    </row>
    <row r="1303" customFormat="false" ht="12.8" hidden="false" customHeight="false" outlineLevel="0" collapsed="false">
      <c r="A1303" s="0" t="s">
        <v>1910</v>
      </c>
      <c r="B1303" s="0" t="s">
        <v>534</v>
      </c>
      <c r="C1303" s="0" t="s">
        <v>26</v>
      </c>
      <c r="D1303" s="0" t="s">
        <v>23</v>
      </c>
      <c r="E1303" s="0" t="n">
        <v>4599.78</v>
      </c>
      <c r="F1303" s="0" t="n">
        <v>26</v>
      </c>
      <c r="G1303" s="0" t="str">
        <f aca="false">IF(F1303&lt;=30,"Current",IF(F1303&lt;=60,"31 to 60 days",IF(F1303&lt;=90,"61 to 90 days",IF(F1303&lt;=120,"91 to 120 days","Over 120 days"))))</f>
        <v>Current</v>
      </c>
      <c r="H1303" s="0" t="n">
        <f aca="false">VLOOKUP(D1303,Rates!$A$4:$B$7,2,FALSE())</f>
        <v>0.115</v>
      </c>
      <c r="I1303" s="0" t="n">
        <f aca="false">VLOOKUP(F1303,Rates!$D$4:$E$8,2)</f>
        <v>0.02</v>
      </c>
      <c r="J1303" s="0" t="n">
        <f aca="false">ROUND(E1303*I1303,2)</f>
        <v>92</v>
      </c>
      <c r="K1303" s="1" t="n">
        <f aca="false">PV(H1303/12,F1303/30,0,-E1303)</f>
        <v>4561.91488232488</v>
      </c>
      <c r="L1303" s="0" t="n">
        <f aca="false">ROUND(E1303-K1303,2)</f>
        <v>37.87</v>
      </c>
      <c r="M1303" s="0" t="n">
        <f aca="false">F1303/E1303</f>
        <v>0.00565244424733357</v>
      </c>
    </row>
    <row r="1304" customFormat="false" ht="12.8" hidden="false" customHeight="false" outlineLevel="0" collapsed="false">
      <c r="A1304" s="0" t="s">
        <v>1911</v>
      </c>
      <c r="B1304" s="0" t="s">
        <v>150</v>
      </c>
      <c r="C1304" s="0" t="s">
        <v>31</v>
      </c>
      <c r="D1304" s="0" t="s">
        <v>23</v>
      </c>
      <c r="E1304" s="0" t="n">
        <v>13194.25</v>
      </c>
      <c r="F1304" s="0" t="n">
        <v>344</v>
      </c>
      <c r="G1304" s="0" t="str">
        <f aca="false">IF(F1304&lt;=30,"Current",IF(F1304&lt;=60,"31 to 60 days",IF(F1304&lt;=90,"61 to 90 days",IF(F1304&lt;=120,"91 to 120 days","Over 120 days"))))</f>
        <v>Over 120 days</v>
      </c>
      <c r="H1304" s="0" t="n">
        <f aca="false">VLOOKUP(D1304,Rates!$A$4:$B$7,2,FALSE())</f>
        <v>0.115</v>
      </c>
      <c r="I1304" s="0" t="n">
        <f aca="false">VLOOKUP(F1304,Rates!$D$4:$E$8,2)</f>
        <v>0.85</v>
      </c>
      <c r="J1304" s="0" t="n">
        <f aca="false">ROUND(E1304*I1304,2)</f>
        <v>11215.11</v>
      </c>
      <c r="K1304" s="1" t="n">
        <f aca="false">PV(H1304/12,F1304/30,0,-E1304)</f>
        <v>11827.3595145195</v>
      </c>
      <c r="L1304" s="0" t="n">
        <f aca="false">ROUND(E1304-K1304,2)</f>
        <v>1366.89</v>
      </c>
      <c r="M1304" s="0" t="n">
        <f aca="false">F1304/E1304</f>
        <v>0.026071963165773</v>
      </c>
    </row>
    <row r="1305" customFormat="false" ht="12.8" hidden="false" customHeight="false" outlineLevel="0" collapsed="false">
      <c r="A1305" s="0" t="s">
        <v>1912</v>
      </c>
      <c r="B1305" s="0" t="s">
        <v>97</v>
      </c>
      <c r="C1305" s="0" t="s">
        <v>42</v>
      </c>
      <c r="D1305" s="0" t="s">
        <v>20</v>
      </c>
      <c r="E1305" s="0" t="n">
        <v>23701.54</v>
      </c>
      <c r="F1305" s="0" t="n">
        <v>270</v>
      </c>
      <c r="G1305" s="0" t="str">
        <f aca="false">IF(F1305&lt;=30,"Current",IF(F1305&lt;=60,"31 to 60 days",IF(F1305&lt;=90,"61 to 90 days",IF(F1305&lt;=120,"91 to 120 days","Over 120 days"))))</f>
        <v>Over 120 days</v>
      </c>
      <c r="H1305" s="0" t="n">
        <f aca="false">VLOOKUP(D1305,Rates!$A$4:$B$7,2,FALSE())</f>
        <v>0.05</v>
      </c>
      <c r="I1305" s="0" t="n">
        <f aca="false">VLOOKUP(F1305,Rates!$D$4:$E$8,2)</f>
        <v>0.85</v>
      </c>
      <c r="J1305" s="0" t="n">
        <f aca="false">ROUND(E1305*I1305,2)</f>
        <v>20146.31</v>
      </c>
      <c r="K1305" s="1" t="n">
        <f aca="false">PV(H1305/12,F1305/30,0,-E1305)</f>
        <v>22830.9696803999</v>
      </c>
      <c r="L1305" s="0" t="n">
        <f aca="false">ROUND(E1305-K1305,2)</f>
        <v>870.57</v>
      </c>
      <c r="M1305" s="0" t="n">
        <f aca="false">F1305/E1305</f>
        <v>0.0113916648454067</v>
      </c>
    </row>
    <row r="1306" customFormat="false" ht="12.8" hidden="false" customHeight="false" outlineLevel="0" collapsed="false">
      <c r="A1306" s="0" t="s">
        <v>1913</v>
      </c>
      <c r="B1306" s="0" t="s">
        <v>1914</v>
      </c>
      <c r="C1306" s="0" t="s">
        <v>19</v>
      </c>
      <c r="D1306" s="0" t="s">
        <v>49</v>
      </c>
      <c r="E1306" s="0" t="n">
        <v>31311.49</v>
      </c>
      <c r="F1306" s="0" t="n">
        <v>207</v>
      </c>
      <c r="G1306" s="0" t="str">
        <f aca="false">IF(F1306&lt;=30,"Current",IF(F1306&lt;=60,"31 to 60 days",IF(F1306&lt;=90,"61 to 90 days",IF(F1306&lt;=120,"91 to 120 days","Over 120 days"))))</f>
        <v>Over 120 days</v>
      </c>
      <c r="H1306" s="0" t="n">
        <f aca="false">VLOOKUP(D1306,Rates!$A$4:$B$7,2,FALSE())</f>
        <v>0.02</v>
      </c>
      <c r="I1306" s="0" t="n">
        <f aca="false">VLOOKUP(F1306,Rates!$D$4:$E$8,2)</f>
        <v>0.85</v>
      </c>
      <c r="J1306" s="0" t="n">
        <f aca="false">ROUND(E1306*I1306,2)</f>
        <v>26614.77</v>
      </c>
      <c r="K1306" s="1" t="n">
        <f aca="false">PV(H1306/12,F1306/30,0,-E1306)</f>
        <v>30953.7667328892</v>
      </c>
      <c r="L1306" s="0" t="n">
        <f aca="false">ROUND(E1306-K1306,2)</f>
        <v>357.72</v>
      </c>
      <c r="M1306" s="0" t="n">
        <f aca="false">F1306/E1306</f>
        <v>0.00661099168388346</v>
      </c>
    </row>
    <row r="1307" customFormat="false" ht="12.8" hidden="false" customHeight="false" outlineLevel="0" collapsed="false">
      <c r="A1307" s="0" t="s">
        <v>1915</v>
      </c>
      <c r="B1307" s="0" t="s">
        <v>550</v>
      </c>
      <c r="C1307" s="0" t="s">
        <v>36</v>
      </c>
      <c r="D1307" s="0" t="s">
        <v>23</v>
      </c>
      <c r="E1307" s="0" t="n">
        <v>39229.12</v>
      </c>
      <c r="F1307" s="0" t="n">
        <v>196</v>
      </c>
      <c r="G1307" s="0" t="str">
        <f aca="false">IF(F1307&lt;=30,"Current",IF(F1307&lt;=60,"31 to 60 days",IF(F1307&lt;=90,"61 to 90 days",IF(F1307&lt;=120,"91 to 120 days","Over 120 days"))))</f>
        <v>Over 120 days</v>
      </c>
      <c r="H1307" s="0" t="n">
        <f aca="false">VLOOKUP(D1307,Rates!$A$4:$B$7,2,FALSE())</f>
        <v>0.115</v>
      </c>
      <c r="I1307" s="0" t="n">
        <f aca="false">VLOOKUP(F1307,Rates!$D$4:$E$8,2)</f>
        <v>0.85</v>
      </c>
      <c r="J1307" s="0" t="n">
        <f aca="false">ROUND(E1307*I1307,2)</f>
        <v>33344.75</v>
      </c>
      <c r="K1307" s="1" t="n">
        <f aca="false">PV(H1307/12,F1307/30,0,-E1307)</f>
        <v>36859.2397080455</v>
      </c>
      <c r="L1307" s="0" t="n">
        <f aca="false">ROUND(E1307-K1307,2)</f>
        <v>2369.88</v>
      </c>
      <c r="M1307" s="0" t="n">
        <f aca="false">F1307/E1307</f>
        <v>0.00499628847142123</v>
      </c>
    </row>
    <row r="1308" customFormat="false" ht="12.8" hidden="false" customHeight="false" outlineLevel="0" collapsed="false">
      <c r="A1308" s="0" t="s">
        <v>1916</v>
      </c>
      <c r="B1308" s="0" t="s">
        <v>216</v>
      </c>
      <c r="C1308" s="0" t="s">
        <v>15</v>
      </c>
      <c r="D1308" s="0" t="s">
        <v>23</v>
      </c>
      <c r="E1308" s="0" t="n">
        <v>43734.83</v>
      </c>
      <c r="F1308" s="0" t="n">
        <v>160</v>
      </c>
      <c r="G1308" s="0" t="str">
        <f aca="false">IF(F1308&lt;=30,"Current",IF(F1308&lt;=60,"31 to 60 days",IF(F1308&lt;=90,"61 to 90 days",IF(F1308&lt;=120,"91 to 120 days","Over 120 days"))))</f>
        <v>Over 120 days</v>
      </c>
      <c r="H1308" s="0" t="n">
        <f aca="false">VLOOKUP(D1308,Rates!$A$4:$B$7,2,FALSE())</f>
        <v>0.115</v>
      </c>
      <c r="I1308" s="0" t="n">
        <f aca="false">VLOOKUP(F1308,Rates!$D$4:$E$8,2)</f>
        <v>0.85</v>
      </c>
      <c r="J1308" s="0" t="n">
        <f aca="false">ROUND(E1308*I1308,2)</f>
        <v>37174.61</v>
      </c>
      <c r="K1308" s="1" t="n">
        <f aca="false">PV(H1308/12,F1308/30,0,-E1308)</f>
        <v>41565.7725178487</v>
      </c>
      <c r="L1308" s="0" t="n">
        <f aca="false">ROUND(E1308-K1308,2)</f>
        <v>2169.06</v>
      </c>
      <c r="M1308" s="0" t="n">
        <f aca="false">F1308/E1308</f>
        <v>0.00365841138515915</v>
      </c>
    </row>
    <row r="1309" customFormat="false" ht="12.8" hidden="false" customHeight="false" outlineLevel="0" collapsed="false">
      <c r="A1309" s="0" t="s">
        <v>1917</v>
      </c>
      <c r="B1309" s="0" t="s">
        <v>1918</v>
      </c>
      <c r="C1309" s="0" t="s">
        <v>42</v>
      </c>
      <c r="D1309" s="0" t="s">
        <v>16</v>
      </c>
      <c r="E1309" s="0" t="n">
        <v>19662.01</v>
      </c>
      <c r="F1309" s="0" t="n">
        <v>239</v>
      </c>
      <c r="G1309" s="0" t="str">
        <f aca="false">IF(F1309&lt;=30,"Current",IF(F1309&lt;=60,"31 to 60 days",IF(F1309&lt;=90,"61 to 90 days",IF(F1309&lt;=120,"91 to 120 days","Over 120 days"))))</f>
        <v>Over 120 days</v>
      </c>
      <c r="H1309" s="0" t="n">
        <f aca="false">VLOOKUP(D1309,Rates!$A$4:$B$7,2,FALSE())</f>
        <v>0.085</v>
      </c>
      <c r="I1309" s="0" t="n">
        <f aca="false">VLOOKUP(F1309,Rates!$D$4:$E$8,2)</f>
        <v>0.85</v>
      </c>
      <c r="J1309" s="0" t="n">
        <f aca="false">ROUND(E1309*I1309,2)</f>
        <v>16712.71</v>
      </c>
      <c r="K1309" s="1" t="n">
        <f aca="false">PV(H1309/12,F1309/30,0,-E1309)</f>
        <v>18586.8940504304</v>
      </c>
      <c r="L1309" s="0" t="n">
        <f aca="false">ROUND(E1309-K1309,2)</f>
        <v>1075.12</v>
      </c>
      <c r="M1309" s="0" t="n">
        <f aca="false">F1309/E1309</f>
        <v>0.0121554205292338</v>
      </c>
    </row>
    <row r="1310" customFormat="false" ht="12.8" hidden="false" customHeight="false" outlineLevel="0" collapsed="false">
      <c r="A1310" s="0" t="s">
        <v>1919</v>
      </c>
      <c r="B1310" s="0" t="s">
        <v>429</v>
      </c>
      <c r="C1310" s="0" t="s">
        <v>42</v>
      </c>
      <c r="D1310" s="0" t="s">
        <v>16</v>
      </c>
      <c r="E1310" s="0" t="n">
        <v>5028.24</v>
      </c>
      <c r="F1310" s="0" t="n">
        <v>221</v>
      </c>
      <c r="G1310" s="0" t="str">
        <f aca="false">IF(F1310&lt;=30,"Current",IF(F1310&lt;=60,"31 to 60 days",IF(F1310&lt;=90,"61 to 90 days",IF(F1310&lt;=120,"91 to 120 days","Over 120 days"))))</f>
        <v>Over 120 days</v>
      </c>
      <c r="H1310" s="0" t="n">
        <f aca="false">VLOOKUP(D1310,Rates!$A$4:$B$7,2,FALSE())</f>
        <v>0.085</v>
      </c>
      <c r="I1310" s="0" t="n">
        <f aca="false">VLOOKUP(F1310,Rates!$D$4:$E$8,2)</f>
        <v>0.85</v>
      </c>
      <c r="J1310" s="0" t="n">
        <f aca="false">ROUND(E1310*I1310,2)</f>
        <v>4274</v>
      </c>
      <c r="K1310" s="1" t="n">
        <f aca="false">PV(H1310/12,F1310/30,0,-E1310)</f>
        <v>4773.46952761475</v>
      </c>
      <c r="L1310" s="0" t="n">
        <f aca="false">ROUND(E1310-K1310,2)</f>
        <v>254.77</v>
      </c>
      <c r="M1310" s="0" t="n">
        <f aca="false">F1310/E1310</f>
        <v>0.0439517604569392</v>
      </c>
    </row>
    <row r="1311" customFormat="false" ht="12.8" hidden="false" customHeight="false" outlineLevel="0" collapsed="false">
      <c r="A1311" s="0" t="s">
        <v>1920</v>
      </c>
      <c r="B1311" s="0" t="s">
        <v>1921</v>
      </c>
      <c r="C1311" s="0" t="s">
        <v>19</v>
      </c>
      <c r="D1311" s="0" t="s">
        <v>49</v>
      </c>
      <c r="E1311" s="0" t="n">
        <v>6037.46</v>
      </c>
      <c r="F1311" s="0" t="n">
        <v>286</v>
      </c>
      <c r="G1311" s="0" t="str">
        <f aca="false">IF(F1311&lt;=30,"Current",IF(F1311&lt;=60,"31 to 60 days",IF(F1311&lt;=90,"61 to 90 days",IF(F1311&lt;=120,"91 to 120 days","Over 120 days"))))</f>
        <v>Over 120 days</v>
      </c>
      <c r="H1311" s="0" t="n">
        <f aca="false">VLOOKUP(D1311,Rates!$A$4:$B$7,2,FALSE())</f>
        <v>0.02</v>
      </c>
      <c r="I1311" s="0" t="n">
        <f aca="false">VLOOKUP(F1311,Rates!$D$4:$E$8,2)</f>
        <v>0.85</v>
      </c>
      <c r="J1311" s="0" t="n">
        <f aca="false">ROUND(E1311*I1311,2)</f>
        <v>5131.84</v>
      </c>
      <c r="K1311" s="1" t="n">
        <f aca="false">PV(H1311/12,F1311/30,0,-E1311)</f>
        <v>5942.3681409773</v>
      </c>
      <c r="L1311" s="0" t="n">
        <f aca="false">ROUND(E1311-K1311,2)</f>
        <v>95.09</v>
      </c>
      <c r="M1311" s="0" t="n">
        <f aca="false">F1311/E1311</f>
        <v>0.0473709142586452</v>
      </c>
    </row>
    <row r="1312" customFormat="false" ht="12.8" hidden="false" customHeight="false" outlineLevel="0" collapsed="false">
      <c r="A1312" s="0" t="s">
        <v>1922</v>
      </c>
      <c r="B1312" s="0" t="s">
        <v>28</v>
      </c>
      <c r="C1312" s="0" t="s">
        <v>15</v>
      </c>
      <c r="D1312" s="0" t="s">
        <v>20</v>
      </c>
      <c r="E1312" s="0" t="n">
        <v>24776.25</v>
      </c>
      <c r="F1312" s="0" t="n">
        <v>217</v>
      </c>
      <c r="G1312" s="0" t="str">
        <f aca="false">IF(F1312&lt;=30,"Current",IF(F1312&lt;=60,"31 to 60 days",IF(F1312&lt;=90,"61 to 90 days",IF(F1312&lt;=120,"91 to 120 days","Over 120 days"))))</f>
        <v>Over 120 days</v>
      </c>
      <c r="H1312" s="0" t="n">
        <f aca="false">VLOOKUP(D1312,Rates!$A$4:$B$7,2,FALSE())</f>
        <v>0.05</v>
      </c>
      <c r="I1312" s="0" t="n">
        <f aca="false">VLOOKUP(F1312,Rates!$D$4:$E$8,2)</f>
        <v>0.85</v>
      </c>
      <c r="J1312" s="0" t="n">
        <f aca="false">ROUND(E1312*I1312,2)</f>
        <v>21059.81</v>
      </c>
      <c r="K1312" s="1" t="n">
        <f aca="false">PV(H1312/12,F1312/30,0,-E1312)</f>
        <v>24042.1673025933</v>
      </c>
      <c r="L1312" s="0" t="n">
        <f aca="false">ROUND(E1312-K1312,2)</f>
        <v>734.08</v>
      </c>
      <c r="M1312" s="0" t="n">
        <f aca="false">F1312/E1312</f>
        <v>0.00875838756874022</v>
      </c>
    </row>
    <row r="1313" customFormat="false" ht="12.8" hidden="false" customHeight="false" outlineLevel="0" collapsed="false">
      <c r="A1313" s="0" t="s">
        <v>1923</v>
      </c>
      <c r="B1313" s="0" t="s">
        <v>475</v>
      </c>
      <c r="C1313" s="0" t="s">
        <v>31</v>
      </c>
      <c r="D1313" s="0" t="s">
        <v>23</v>
      </c>
      <c r="E1313" s="0" t="n">
        <v>9369.54</v>
      </c>
      <c r="F1313" s="0" t="n">
        <v>94</v>
      </c>
      <c r="G1313" s="0" t="str">
        <f aca="false">IF(F1313&lt;=30,"Current",IF(F1313&lt;=60,"31 to 60 days",IF(F1313&lt;=90,"61 to 90 days",IF(F1313&lt;=120,"91 to 120 days","Over 120 days"))))</f>
        <v>91 to 120 days</v>
      </c>
      <c r="H1313" s="0" t="n">
        <f aca="false">VLOOKUP(D1313,Rates!$A$4:$B$7,2,FALSE())</f>
        <v>0.115</v>
      </c>
      <c r="I1313" s="0" t="n">
        <f aca="false">VLOOKUP(F1313,Rates!$D$4:$E$8,2)</f>
        <v>0.5</v>
      </c>
      <c r="J1313" s="0" t="n">
        <f aca="false">ROUND(E1313*I1313,2)</f>
        <v>4684.77</v>
      </c>
      <c r="K1313" s="1" t="n">
        <f aca="false">PV(H1313/12,F1313/30,0,-E1313)</f>
        <v>9093.6757084741</v>
      </c>
      <c r="L1313" s="0" t="n">
        <f aca="false">ROUND(E1313-K1313,2)</f>
        <v>275.86</v>
      </c>
      <c r="M1313" s="0" t="n">
        <f aca="false">F1313/E1313</f>
        <v>0.0100325096002579</v>
      </c>
    </row>
    <row r="1314" customFormat="false" ht="12.8" hidden="false" customHeight="false" outlineLevel="0" collapsed="false">
      <c r="A1314" s="0" t="s">
        <v>1924</v>
      </c>
      <c r="B1314" s="0" t="s">
        <v>30</v>
      </c>
      <c r="C1314" s="0" t="s">
        <v>31</v>
      </c>
      <c r="D1314" s="0" t="s">
        <v>20</v>
      </c>
      <c r="E1314" s="0" t="n">
        <v>32193.17</v>
      </c>
      <c r="F1314" s="0" t="n">
        <v>204</v>
      </c>
      <c r="G1314" s="0" t="str">
        <f aca="false">IF(F1314&lt;=30,"Current",IF(F1314&lt;=60,"31 to 60 days",IF(F1314&lt;=90,"61 to 90 days",IF(F1314&lt;=120,"91 to 120 days","Over 120 days"))))</f>
        <v>Over 120 days</v>
      </c>
      <c r="H1314" s="0" t="n">
        <f aca="false">VLOOKUP(D1314,Rates!$A$4:$B$7,2,FALSE())</f>
        <v>0.05</v>
      </c>
      <c r="I1314" s="0" t="n">
        <f aca="false">VLOOKUP(F1314,Rates!$D$4:$E$8,2)</f>
        <v>0.85</v>
      </c>
      <c r="J1314" s="0" t="n">
        <f aca="false">ROUND(E1314*I1314,2)</f>
        <v>27364.19</v>
      </c>
      <c r="K1314" s="1" t="n">
        <f aca="false">PV(H1314/12,F1314/30,0,-E1314)</f>
        <v>31295.6731270958</v>
      </c>
      <c r="L1314" s="0" t="n">
        <f aca="false">ROUND(E1314-K1314,2)</f>
        <v>897.5</v>
      </c>
      <c r="M1314" s="0" t="n">
        <f aca="false">F1314/E1314</f>
        <v>0.0063367478257034</v>
      </c>
    </row>
    <row r="1315" customFormat="false" ht="12.8" hidden="false" customHeight="false" outlineLevel="0" collapsed="false">
      <c r="A1315" s="0" t="s">
        <v>1925</v>
      </c>
      <c r="B1315" s="0" t="s">
        <v>1926</v>
      </c>
      <c r="C1315" s="0" t="s">
        <v>31</v>
      </c>
      <c r="D1315" s="0" t="s">
        <v>49</v>
      </c>
      <c r="E1315" s="0" t="n">
        <v>10349.69</v>
      </c>
      <c r="F1315" s="0" t="n">
        <v>0</v>
      </c>
      <c r="G1315" s="0" t="str">
        <f aca="false">IF(F1315&lt;=30,"Current",IF(F1315&lt;=60,"31 to 60 days",IF(F1315&lt;=90,"61 to 90 days",IF(F1315&lt;=120,"91 to 120 days","Over 120 days"))))</f>
        <v>Current</v>
      </c>
      <c r="H1315" s="0" t="n">
        <f aca="false">VLOOKUP(D1315,Rates!$A$4:$B$7,2,FALSE())</f>
        <v>0.02</v>
      </c>
      <c r="I1315" s="0" t="n">
        <f aca="false">VLOOKUP(F1315,Rates!$D$4:$E$8,2)</f>
        <v>0.02</v>
      </c>
      <c r="J1315" s="0" t="n">
        <f aca="false">ROUND(E1315*I1315,2)</f>
        <v>206.99</v>
      </c>
      <c r="K1315" s="1" t="n">
        <f aca="false">PV(H1315/12,F1315/30,0,-E1315)</f>
        <v>10349.69</v>
      </c>
      <c r="L1315" s="0" t="n">
        <f aca="false">ROUND(E1315-K1315,2)</f>
        <v>0</v>
      </c>
      <c r="M1315" s="0" t="n">
        <f aca="false">F1315/E1315</f>
        <v>0</v>
      </c>
    </row>
    <row r="1316" customFormat="false" ht="12.8" hidden="false" customHeight="false" outlineLevel="0" collapsed="false">
      <c r="A1316" s="0" t="s">
        <v>1927</v>
      </c>
      <c r="B1316" s="0" t="s">
        <v>30</v>
      </c>
      <c r="C1316" s="0" t="s">
        <v>31</v>
      </c>
      <c r="D1316" s="0" t="s">
        <v>20</v>
      </c>
      <c r="E1316" s="0" t="n">
        <v>36860.96</v>
      </c>
      <c r="F1316" s="0" t="n">
        <v>332</v>
      </c>
      <c r="G1316" s="0" t="str">
        <f aca="false">IF(F1316&lt;=30,"Current",IF(F1316&lt;=60,"31 to 60 days",IF(F1316&lt;=90,"61 to 90 days",IF(F1316&lt;=120,"91 to 120 days","Over 120 days"))))</f>
        <v>Over 120 days</v>
      </c>
      <c r="H1316" s="0" t="n">
        <f aca="false">VLOOKUP(D1316,Rates!$A$4:$B$7,2,FALSE())</f>
        <v>0.05</v>
      </c>
      <c r="I1316" s="0" t="n">
        <f aca="false">VLOOKUP(F1316,Rates!$D$4:$E$8,2)</f>
        <v>0.85</v>
      </c>
      <c r="J1316" s="0" t="n">
        <f aca="false">ROUND(E1316*I1316,2)</f>
        <v>31331.82</v>
      </c>
      <c r="K1316" s="1" t="n">
        <f aca="false">PV(H1316/12,F1316/30,0,-E1316)</f>
        <v>35203.2245197535</v>
      </c>
      <c r="L1316" s="0" t="n">
        <f aca="false">ROUND(E1316-K1316,2)</f>
        <v>1657.74</v>
      </c>
      <c r="M1316" s="0" t="n">
        <f aca="false">F1316/E1316</f>
        <v>0.00900681913873106</v>
      </c>
    </row>
    <row r="1317" customFormat="false" ht="12.8" hidden="false" customHeight="false" outlineLevel="0" collapsed="false">
      <c r="A1317" s="0" t="s">
        <v>1928</v>
      </c>
      <c r="B1317" s="0" t="s">
        <v>1929</v>
      </c>
      <c r="C1317" s="0" t="s">
        <v>15</v>
      </c>
      <c r="D1317" s="0" t="s">
        <v>49</v>
      </c>
      <c r="E1317" s="0" t="n">
        <v>38953.1</v>
      </c>
      <c r="F1317" s="0" t="n">
        <v>259</v>
      </c>
      <c r="G1317" s="0" t="str">
        <f aca="false">IF(F1317&lt;=30,"Current",IF(F1317&lt;=60,"31 to 60 days",IF(F1317&lt;=90,"61 to 90 days",IF(F1317&lt;=120,"91 to 120 days","Over 120 days"))))</f>
        <v>Over 120 days</v>
      </c>
      <c r="H1317" s="0" t="n">
        <f aca="false">VLOOKUP(D1317,Rates!$A$4:$B$7,2,FALSE())</f>
        <v>0.02</v>
      </c>
      <c r="I1317" s="0" t="n">
        <f aca="false">VLOOKUP(F1317,Rates!$D$4:$E$8,2)</f>
        <v>0.85</v>
      </c>
      <c r="J1317" s="0" t="n">
        <f aca="false">ROUND(E1317*I1317,2)</f>
        <v>33110.14</v>
      </c>
      <c r="K1317" s="1" t="n">
        <f aca="false">PV(H1317/12,F1317/30,0,-E1317)</f>
        <v>38397.0812239602</v>
      </c>
      <c r="L1317" s="0" t="n">
        <f aca="false">ROUND(E1317-K1317,2)</f>
        <v>556.02</v>
      </c>
      <c r="M1317" s="0" t="n">
        <f aca="false">F1317/E1317</f>
        <v>0.0066490215156175</v>
      </c>
    </row>
    <row r="1318" customFormat="false" ht="12.8" hidden="false" customHeight="false" outlineLevel="0" collapsed="false">
      <c r="A1318" s="0" t="s">
        <v>1930</v>
      </c>
      <c r="B1318" s="0" t="s">
        <v>1931</v>
      </c>
      <c r="C1318" s="0" t="s">
        <v>36</v>
      </c>
      <c r="D1318" s="0" t="s">
        <v>16</v>
      </c>
      <c r="E1318" s="0" t="n">
        <v>0</v>
      </c>
      <c r="F1318" s="0" t="n">
        <v>187</v>
      </c>
      <c r="G1318" s="0" t="str">
        <f aca="false">IF(F1318&lt;=30,"Current",IF(F1318&lt;=60,"31 to 60 days",IF(F1318&lt;=90,"61 to 90 days",IF(F1318&lt;=120,"91 to 120 days","Over 120 days"))))</f>
        <v>Over 120 days</v>
      </c>
      <c r="H1318" s="0" t="n">
        <f aca="false">VLOOKUP(D1318,Rates!$A$4:$B$7,2,FALSE())</f>
        <v>0.085</v>
      </c>
      <c r="I1318" s="0" t="n">
        <f aca="false">VLOOKUP(F1318,Rates!$D$4:$E$8,2)</f>
        <v>0.85</v>
      </c>
      <c r="J1318" s="0" t="n">
        <f aca="false">ROUND(E1318*I1318,2)</f>
        <v>0</v>
      </c>
      <c r="K1318" s="1" t="n">
        <f aca="false">PV(H1318/12,F1318/30,0,-E1318)</f>
        <v>-0</v>
      </c>
      <c r="L1318" s="0" t="n">
        <f aca="false">ROUND(E1318-K1318,2)</f>
        <v>0</v>
      </c>
      <c r="M1318" s="0" t="e">
        <f aca="false">F1318/E1318</f>
        <v>#DIV/0!</v>
      </c>
    </row>
    <row r="1319" customFormat="false" ht="12.8" hidden="false" customHeight="false" outlineLevel="0" collapsed="false">
      <c r="A1319" s="0" t="s">
        <v>1932</v>
      </c>
      <c r="B1319" s="0" t="s">
        <v>1933</v>
      </c>
      <c r="C1319" s="0" t="s">
        <v>15</v>
      </c>
      <c r="D1319" s="0" t="s">
        <v>16</v>
      </c>
      <c r="E1319" s="0" t="n">
        <v>16105.42</v>
      </c>
      <c r="F1319" s="0" t="n">
        <v>260</v>
      </c>
      <c r="G1319" s="0" t="str">
        <f aca="false">IF(F1319&lt;=30,"Current",IF(F1319&lt;=60,"31 to 60 days",IF(F1319&lt;=90,"61 to 90 days",IF(F1319&lt;=120,"91 to 120 days","Over 120 days"))))</f>
        <v>Over 120 days</v>
      </c>
      <c r="H1319" s="0" t="n">
        <f aca="false">VLOOKUP(D1319,Rates!$A$4:$B$7,2,FALSE())</f>
        <v>0.085</v>
      </c>
      <c r="I1319" s="0" t="n">
        <f aca="false">VLOOKUP(F1319,Rates!$D$4:$E$8,2)</f>
        <v>0.85</v>
      </c>
      <c r="J1319" s="0" t="n">
        <f aca="false">ROUND(E1319*I1319,2)</f>
        <v>13689.61</v>
      </c>
      <c r="K1319" s="1" t="n">
        <f aca="false">PV(H1319/12,F1319/30,0,-E1319)</f>
        <v>15149.7400003657</v>
      </c>
      <c r="L1319" s="0" t="n">
        <f aca="false">ROUND(E1319-K1319,2)</f>
        <v>955.68</v>
      </c>
      <c r="M1319" s="0" t="n">
        <f aca="false">F1319/E1319</f>
        <v>0.0161436336338947</v>
      </c>
    </row>
    <row r="1320" customFormat="false" ht="12.8" hidden="false" customHeight="false" outlineLevel="0" collapsed="false">
      <c r="A1320" s="0" t="s">
        <v>1934</v>
      </c>
      <c r="B1320" s="0" t="s">
        <v>1935</v>
      </c>
      <c r="C1320" s="0" t="s">
        <v>26</v>
      </c>
      <c r="D1320" s="0" t="s">
        <v>49</v>
      </c>
      <c r="E1320" s="0" t="n">
        <v>25306.22</v>
      </c>
      <c r="F1320" s="0" t="n">
        <v>381</v>
      </c>
      <c r="G1320" s="0" t="str">
        <f aca="false">IF(F1320&lt;=30,"Current",IF(F1320&lt;=60,"31 to 60 days",IF(F1320&lt;=90,"61 to 90 days",IF(F1320&lt;=120,"91 to 120 days","Over 120 days"))))</f>
        <v>Over 120 days</v>
      </c>
      <c r="H1320" s="0" t="n">
        <f aca="false">VLOOKUP(D1320,Rates!$A$4:$B$7,2,FALSE())</f>
        <v>0.02</v>
      </c>
      <c r="I1320" s="0" t="n">
        <f aca="false">VLOOKUP(F1320,Rates!$D$4:$E$8,2)</f>
        <v>0.85</v>
      </c>
      <c r="J1320" s="0" t="n">
        <f aca="false">ROUND(E1320*I1320,2)</f>
        <v>21510.29</v>
      </c>
      <c r="K1320" s="1" t="n">
        <f aca="false">PV(H1320/12,F1320/30,0,-E1320)</f>
        <v>24776.6373781508</v>
      </c>
      <c r="L1320" s="0" t="n">
        <f aca="false">ROUND(E1320-K1320,2)</f>
        <v>529.58</v>
      </c>
      <c r="M1320" s="0" t="n">
        <f aca="false">F1320/E1320</f>
        <v>0.0150555871244303</v>
      </c>
    </row>
    <row r="1321" customFormat="false" ht="12.8" hidden="false" customHeight="false" outlineLevel="0" collapsed="false">
      <c r="A1321" s="0" t="s">
        <v>1936</v>
      </c>
      <c r="B1321" s="0" t="s">
        <v>51</v>
      </c>
      <c r="C1321" s="0" t="s">
        <v>36</v>
      </c>
      <c r="D1321" s="0" t="s">
        <v>20</v>
      </c>
      <c r="E1321" s="0" t="n">
        <v>2961.95</v>
      </c>
      <c r="F1321" s="0" t="n">
        <v>2</v>
      </c>
      <c r="G1321" s="0" t="str">
        <f aca="false">IF(F1321&lt;=30,"Current",IF(F1321&lt;=60,"31 to 60 days",IF(F1321&lt;=90,"61 to 90 days",IF(F1321&lt;=120,"91 to 120 days","Over 120 days"))))</f>
        <v>Current</v>
      </c>
      <c r="H1321" s="0" t="n">
        <f aca="false">VLOOKUP(D1321,Rates!$A$4:$B$7,2,FALSE())</f>
        <v>0.05</v>
      </c>
      <c r="I1321" s="0" t="n">
        <f aca="false">VLOOKUP(F1321,Rates!$D$4:$E$8,2)</f>
        <v>0.02</v>
      </c>
      <c r="J1321" s="0" t="n">
        <f aca="false">ROUND(E1321*I1321,2)</f>
        <v>59.24</v>
      </c>
      <c r="K1321" s="1" t="n">
        <f aca="false">PV(H1321/12,F1321/30,0,-E1321)</f>
        <v>2961.12905924393</v>
      </c>
      <c r="L1321" s="0" t="n">
        <f aca="false">ROUND(E1321-K1321,2)</f>
        <v>0.82</v>
      </c>
      <c r="M1321" s="0" t="n">
        <f aca="false">F1321/E1321</f>
        <v>0.000675230844544979</v>
      </c>
    </row>
    <row r="1322" customFormat="false" ht="12.8" hidden="false" customHeight="false" outlineLevel="0" collapsed="false">
      <c r="A1322" s="0" t="s">
        <v>1937</v>
      </c>
      <c r="B1322" s="0" t="s">
        <v>609</v>
      </c>
      <c r="C1322" s="0" t="s">
        <v>31</v>
      </c>
      <c r="D1322" s="0" t="s">
        <v>23</v>
      </c>
      <c r="E1322" s="0" t="n">
        <v>5997.5</v>
      </c>
      <c r="F1322" s="0" t="n">
        <v>176</v>
      </c>
      <c r="G1322" s="0" t="str">
        <f aca="false">IF(F1322&lt;=30,"Current",IF(F1322&lt;=60,"31 to 60 days",IF(F1322&lt;=90,"61 to 90 days",IF(F1322&lt;=120,"91 to 120 days","Over 120 days"))))</f>
        <v>Over 120 days</v>
      </c>
      <c r="H1322" s="0" t="n">
        <f aca="false">VLOOKUP(D1322,Rates!$A$4:$B$7,2,FALSE())</f>
        <v>0.115</v>
      </c>
      <c r="I1322" s="0" t="n">
        <f aca="false">VLOOKUP(F1322,Rates!$D$4:$E$8,2)</f>
        <v>0.85</v>
      </c>
      <c r="J1322" s="0" t="n">
        <f aca="false">ROUND(E1322*I1322,2)</f>
        <v>5097.88</v>
      </c>
      <c r="K1322" s="1" t="n">
        <f aca="false">PV(H1322/12,F1322/30,0,-E1322)</f>
        <v>5671.12881112565</v>
      </c>
      <c r="L1322" s="0" t="n">
        <f aca="false">ROUND(E1322-K1322,2)</f>
        <v>326.37</v>
      </c>
      <c r="M1322" s="0" t="n">
        <f aca="false">F1322/E1322</f>
        <v>0.0293455606502709</v>
      </c>
    </row>
    <row r="1323" customFormat="false" ht="12.8" hidden="false" customHeight="false" outlineLevel="0" collapsed="false">
      <c r="A1323" s="0" t="s">
        <v>1938</v>
      </c>
      <c r="B1323" s="0" t="s">
        <v>1939</v>
      </c>
      <c r="C1323" s="0" t="s">
        <v>26</v>
      </c>
      <c r="D1323" s="0" t="s">
        <v>16</v>
      </c>
      <c r="E1323" s="0" t="n">
        <v>30735.79</v>
      </c>
      <c r="F1323" s="0" t="n">
        <v>283</v>
      </c>
      <c r="G1323" s="0" t="str">
        <f aca="false">IF(F1323&lt;=30,"Current",IF(F1323&lt;=60,"31 to 60 days",IF(F1323&lt;=90,"61 to 90 days",IF(F1323&lt;=120,"91 to 120 days","Over 120 days"))))</f>
        <v>Over 120 days</v>
      </c>
      <c r="H1323" s="0" t="n">
        <f aca="false">VLOOKUP(D1323,Rates!$A$4:$B$7,2,FALSE())</f>
        <v>0.085</v>
      </c>
      <c r="I1323" s="0" t="n">
        <f aca="false">VLOOKUP(F1323,Rates!$D$4:$E$8,2)</f>
        <v>0.85</v>
      </c>
      <c r="J1323" s="0" t="n">
        <f aca="false">ROUND(E1323*I1323,2)</f>
        <v>26125.42</v>
      </c>
      <c r="K1323" s="1" t="n">
        <f aca="false">PV(H1323/12,F1323/30,0,-E1323)</f>
        <v>28755.9260579526</v>
      </c>
      <c r="L1323" s="0" t="n">
        <f aca="false">ROUND(E1323-K1323,2)</f>
        <v>1979.86</v>
      </c>
      <c r="M1323" s="0" t="n">
        <f aca="false">F1323/E1323</f>
        <v>0.00920750694873956</v>
      </c>
    </row>
    <row r="1324" customFormat="false" ht="12.8" hidden="false" customHeight="false" outlineLevel="0" collapsed="false">
      <c r="A1324" s="0" t="s">
        <v>1940</v>
      </c>
      <c r="B1324" s="0" t="s">
        <v>1941</v>
      </c>
      <c r="C1324" s="0" t="s">
        <v>31</v>
      </c>
      <c r="D1324" s="0" t="s">
        <v>49</v>
      </c>
      <c r="E1324" s="0" t="n">
        <v>44609.65</v>
      </c>
      <c r="F1324" s="0" t="n">
        <v>363</v>
      </c>
      <c r="G1324" s="0" t="str">
        <f aca="false">IF(F1324&lt;=30,"Current",IF(F1324&lt;=60,"31 to 60 days",IF(F1324&lt;=90,"61 to 90 days",IF(F1324&lt;=120,"91 to 120 days","Over 120 days"))))</f>
        <v>Over 120 days</v>
      </c>
      <c r="H1324" s="0" t="n">
        <f aca="false">VLOOKUP(D1324,Rates!$A$4:$B$7,2,FALSE())</f>
        <v>0.02</v>
      </c>
      <c r="I1324" s="0" t="n">
        <f aca="false">VLOOKUP(F1324,Rates!$D$4:$E$8,2)</f>
        <v>0.85</v>
      </c>
      <c r="J1324" s="0" t="n">
        <f aca="false">ROUND(E1324*I1324,2)</f>
        <v>37918.2</v>
      </c>
      <c r="K1324" s="1" t="n">
        <f aca="false">PV(H1324/12,F1324/30,0,-E1324)</f>
        <v>43719.7665474496</v>
      </c>
      <c r="L1324" s="0" t="n">
        <f aca="false">ROUND(E1324-K1324,2)</f>
        <v>889.88</v>
      </c>
      <c r="M1324" s="0" t="n">
        <f aca="false">F1324/E1324</f>
        <v>0.00813725281413327</v>
      </c>
    </row>
    <row r="1325" customFormat="false" ht="12.8" hidden="false" customHeight="false" outlineLevel="0" collapsed="false">
      <c r="A1325" s="0" t="s">
        <v>1942</v>
      </c>
      <c r="B1325" s="0" t="s">
        <v>150</v>
      </c>
      <c r="C1325" s="0" t="s">
        <v>31</v>
      </c>
      <c r="D1325" s="0" t="s">
        <v>23</v>
      </c>
      <c r="E1325" s="0" t="n">
        <v>45033.43</v>
      </c>
      <c r="F1325" s="0" t="n">
        <v>370</v>
      </c>
      <c r="G1325" s="0" t="str">
        <f aca="false">IF(F1325&lt;=30,"Current",IF(F1325&lt;=60,"31 to 60 days",IF(F1325&lt;=90,"61 to 90 days",IF(F1325&lt;=120,"91 to 120 days","Over 120 days"))))</f>
        <v>Over 120 days</v>
      </c>
      <c r="H1325" s="0" t="n">
        <f aca="false">VLOOKUP(D1325,Rates!$A$4:$B$7,2,FALSE())</f>
        <v>0.115</v>
      </c>
      <c r="I1325" s="0" t="n">
        <f aca="false">VLOOKUP(F1325,Rates!$D$4:$E$8,2)</f>
        <v>0.85</v>
      </c>
      <c r="J1325" s="0" t="n">
        <f aca="false">ROUND(E1325*I1325,2)</f>
        <v>38278.42</v>
      </c>
      <c r="K1325" s="1" t="n">
        <f aca="false">PV(H1325/12,F1325/30,0,-E1325)</f>
        <v>40035.7743939474</v>
      </c>
      <c r="L1325" s="0" t="n">
        <f aca="false">ROUND(E1325-K1325,2)</f>
        <v>4997.66</v>
      </c>
      <c r="M1325" s="0" t="n">
        <f aca="false">F1325/E1325</f>
        <v>0.00821611855903492</v>
      </c>
    </row>
    <row r="1326" customFormat="false" ht="12.8" hidden="false" customHeight="false" outlineLevel="0" collapsed="false">
      <c r="A1326" s="0" t="s">
        <v>1943</v>
      </c>
      <c r="B1326" s="0" t="s">
        <v>30</v>
      </c>
      <c r="C1326" s="0" t="s">
        <v>31</v>
      </c>
      <c r="D1326" s="0" t="s">
        <v>20</v>
      </c>
      <c r="E1326" s="0" t="n">
        <v>28800.35</v>
      </c>
      <c r="F1326" s="0" t="n">
        <v>333</v>
      </c>
      <c r="G1326" s="0" t="str">
        <f aca="false">IF(F1326&lt;=30,"Current",IF(F1326&lt;=60,"31 to 60 days",IF(F1326&lt;=90,"61 to 90 days",IF(F1326&lt;=120,"91 to 120 days","Over 120 days"))))</f>
        <v>Over 120 days</v>
      </c>
      <c r="H1326" s="0" t="n">
        <f aca="false">VLOOKUP(D1326,Rates!$A$4:$B$7,2,FALSE())</f>
        <v>0.05</v>
      </c>
      <c r="I1326" s="0" t="n">
        <f aca="false">VLOOKUP(F1326,Rates!$D$4:$E$8,2)</f>
        <v>0.85</v>
      </c>
      <c r="J1326" s="0" t="n">
        <f aca="false">ROUND(E1326*I1326,2)</f>
        <v>24480.3</v>
      </c>
      <c r="K1326" s="1" t="n">
        <f aca="false">PV(H1326/12,F1326/30,0,-E1326)</f>
        <v>27501.3096505706</v>
      </c>
      <c r="L1326" s="0" t="n">
        <f aca="false">ROUND(E1326-K1326,2)</f>
        <v>1299.04</v>
      </c>
      <c r="M1326" s="0" t="n">
        <f aca="false">F1326/E1326</f>
        <v>0.0115623594852146</v>
      </c>
    </row>
    <row r="1327" customFormat="false" ht="12.8" hidden="false" customHeight="false" outlineLevel="0" collapsed="false">
      <c r="A1327" s="0" t="s">
        <v>1944</v>
      </c>
      <c r="B1327" s="0" t="s">
        <v>1429</v>
      </c>
      <c r="C1327" s="0" t="s">
        <v>42</v>
      </c>
      <c r="D1327" s="0" t="s">
        <v>49</v>
      </c>
      <c r="E1327" s="0" t="n">
        <v>2815.52</v>
      </c>
      <c r="F1327" s="0" t="n">
        <v>27</v>
      </c>
      <c r="G1327" s="0" t="str">
        <f aca="false">IF(F1327&lt;=30,"Current",IF(F1327&lt;=60,"31 to 60 days",IF(F1327&lt;=90,"61 to 90 days",IF(F1327&lt;=120,"91 to 120 days","Over 120 days"))))</f>
        <v>Current</v>
      </c>
      <c r="H1327" s="0" t="n">
        <f aca="false">VLOOKUP(D1327,Rates!$A$4:$B$7,2,FALSE())</f>
        <v>0.02</v>
      </c>
      <c r="I1327" s="0" t="n">
        <f aca="false">VLOOKUP(F1327,Rates!$D$4:$E$8,2)</f>
        <v>0.02</v>
      </c>
      <c r="J1327" s="0" t="n">
        <f aca="false">ROUND(E1327*I1327,2)</f>
        <v>56.31</v>
      </c>
      <c r="K1327" s="1" t="n">
        <f aca="false">PV(H1327/12,F1327/30,0,-E1327)</f>
        <v>2811.3033961042</v>
      </c>
      <c r="L1327" s="0" t="n">
        <f aca="false">ROUND(E1327-K1327,2)</f>
        <v>4.22</v>
      </c>
      <c r="M1327" s="0" t="n">
        <f aca="false">F1327/E1327</f>
        <v>0.00958970279024834</v>
      </c>
    </row>
    <row r="1328" customFormat="false" ht="12.8" hidden="false" customHeight="false" outlineLevel="0" collapsed="false">
      <c r="A1328" s="0" t="s">
        <v>1945</v>
      </c>
      <c r="B1328" s="0" t="s">
        <v>84</v>
      </c>
      <c r="C1328" s="0" t="s">
        <v>26</v>
      </c>
      <c r="D1328" s="0" t="s">
        <v>23</v>
      </c>
      <c r="E1328" s="0" t="n">
        <v>4541.65</v>
      </c>
      <c r="F1328" s="0" t="n">
        <v>331</v>
      </c>
      <c r="G1328" s="0" t="str">
        <f aca="false">IF(F1328&lt;=30,"Current",IF(F1328&lt;=60,"31 to 60 days",IF(F1328&lt;=90,"61 to 90 days",IF(F1328&lt;=120,"91 to 120 days","Over 120 days"))))</f>
        <v>Over 120 days</v>
      </c>
      <c r="H1328" s="0" t="n">
        <f aca="false">VLOOKUP(D1328,Rates!$A$4:$B$7,2,FALSE())</f>
        <v>0.115</v>
      </c>
      <c r="I1328" s="0" t="n">
        <f aca="false">VLOOKUP(F1328,Rates!$D$4:$E$8,2)</f>
        <v>0.85</v>
      </c>
      <c r="J1328" s="0" t="n">
        <f aca="false">ROUND(E1328*I1328,2)</f>
        <v>3860.4</v>
      </c>
      <c r="K1328" s="1" t="n">
        <f aca="false">PV(H1328/12,F1328/30,0,-E1328)</f>
        <v>4088.00758929823</v>
      </c>
      <c r="L1328" s="0" t="n">
        <f aca="false">ROUND(E1328-K1328,2)</f>
        <v>453.64</v>
      </c>
      <c r="M1328" s="0" t="n">
        <f aca="false">F1328/E1328</f>
        <v>0.0728810013981703</v>
      </c>
    </row>
    <row r="1329" customFormat="false" ht="12.8" hidden="false" customHeight="false" outlineLevel="0" collapsed="false">
      <c r="A1329" s="0" t="s">
        <v>1946</v>
      </c>
      <c r="B1329" s="0" t="s">
        <v>1947</v>
      </c>
      <c r="C1329" s="0" t="s">
        <v>36</v>
      </c>
      <c r="D1329" s="0" t="s">
        <v>49</v>
      </c>
      <c r="E1329" s="0" t="n">
        <v>32764.21</v>
      </c>
      <c r="F1329" s="0" t="n">
        <v>30</v>
      </c>
      <c r="G1329" s="0" t="str">
        <f aca="false">IF(F1329&lt;=30,"Current",IF(F1329&lt;=60,"31 to 60 days",IF(F1329&lt;=90,"61 to 90 days",IF(F1329&lt;=120,"91 to 120 days","Over 120 days"))))</f>
        <v>Current</v>
      </c>
      <c r="H1329" s="0" t="n">
        <f aca="false">VLOOKUP(D1329,Rates!$A$4:$B$7,2,FALSE())</f>
        <v>0.02</v>
      </c>
      <c r="I1329" s="0" t="n">
        <f aca="false">VLOOKUP(F1329,Rates!$D$4:$E$8,2)</f>
        <v>0.02</v>
      </c>
      <c r="J1329" s="0" t="n">
        <f aca="false">ROUND(E1329*I1329,2)</f>
        <v>655.28</v>
      </c>
      <c r="K1329" s="1" t="n">
        <f aca="false">PV(H1329/12,F1329/30,0,-E1329)</f>
        <v>32709.693843594</v>
      </c>
      <c r="L1329" s="0" t="n">
        <f aca="false">ROUND(E1329-K1329,2)</f>
        <v>54.52</v>
      </c>
      <c r="M1329" s="0" t="n">
        <f aca="false">F1329/E1329</f>
        <v>0.000915633247375719</v>
      </c>
    </row>
    <row r="1330" customFormat="false" ht="12.8" hidden="false" customHeight="false" outlineLevel="0" collapsed="false">
      <c r="A1330" s="0" t="s">
        <v>1948</v>
      </c>
      <c r="B1330" s="0" t="s">
        <v>148</v>
      </c>
      <c r="C1330" s="0" t="s">
        <v>31</v>
      </c>
      <c r="D1330" s="0" t="s">
        <v>23</v>
      </c>
      <c r="E1330" s="0" t="n">
        <v>35672.32</v>
      </c>
      <c r="F1330" s="0" t="n">
        <v>383</v>
      </c>
      <c r="G1330" s="0" t="str">
        <f aca="false">IF(F1330&lt;=30,"Current",IF(F1330&lt;=60,"31 to 60 days",IF(F1330&lt;=90,"61 to 90 days",IF(F1330&lt;=120,"91 to 120 days","Over 120 days"))))</f>
        <v>Over 120 days</v>
      </c>
      <c r="H1330" s="0" t="n">
        <f aca="false">VLOOKUP(D1330,Rates!$A$4:$B$7,2,FALSE())</f>
        <v>0.115</v>
      </c>
      <c r="I1330" s="0" t="n">
        <f aca="false">VLOOKUP(F1330,Rates!$D$4:$E$8,2)</f>
        <v>0.85</v>
      </c>
      <c r="J1330" s="0" t="n">
        <f aca="false">ROUND(E1330*I1330,2)</f>
        <v>30321.47</v>
      </c>
      <c r="K1330" s="1" t="n">
        <f aca="false">PV(H1330/12,F1330/30,0,-E1330)</f>
        <v>31582.7265836645</v>
      </c>
      <c r="L1330" s="0" t="n">
        <f aca="false">ROUND(E1330-K1330,2)</f>
        <v>4089.59</v>
      </c>
      <c r="M1330" s="0" t="n">
        <f aca="false">F1330/E1330</f>
        <v>0.0107366159532097</v>
      </c>
    </row>
    <row r="1331" customFormat="false" ht="12.8" hidden="false" customHeight="false" outlineLevel="0" collapsed="false">
      <c r="A1331" s="0" t="s">
        <v>1949</v>
      </c>
      <c r="B1331" s="0" t="s">
        <v>1950</v>
      </c>
      <c r="C1331" s="0" t="s">
        <v>31</v>
      </c>
      <c r="D1331" s="0" t="s">
        <v>16</v>
      </c>
      <c r="E1331" s="0" t="n">
        <v>36905.79</v>
      </c>
      <c r="F1331" s="0" t="n">
        <v>92</v>
      </c>
      <c r="G1331" s="0" t="str">
        <f aca="false">IF(F1331&lt;=30,"Current",IF(F1331&lt;=60,"31 to 60 days",IF(F1331&lt;=90,"61 to 90 days",IF(F1331&lt;=120,"91 to 120 days","Over 120 days"))))</f>
        <v>91 to 120 days</v>
      </c>
      <c r="H1331" s="0" t="n">
        <f aca="false">VLOOKUP(D1331,Rates!$A$4:$B$7,2,FALSE())</f>
        <v>0.085</v>
      </c>
      <c r="I1331" s="0" t="n">
        <f aca="false">VLOOKUP(F1331,Rates!$D$4:$E$8,2)</f>
        <v>0.5</v>
      </c>
      <c r="J1331" s="0" t="n">
        <f aca="false">ROUND(E1331*I1331,2)</f>
        <v>18452.9</v>
      </c>
      <c r="K1331" s="1" t="n">
        <f aca="false">PV(H1331/12,F1331/30,0,-E1331)</f>
        <v>36115.5239268778</v>
      </c>
      <c r="L1331" s="0" t="n">
        <f aca="false">ROUND(E1331-K1331,2)</f>
        <v>790.27</v>
      </c>
      <c r="M1331" s="0" t="n">
        <f aca="false">F1331/E1331</f>
        <v>0.00249283378028217</v>
      </c>
    </row>
    <row r="1332" customFormat="false" ht="12.8" hidden="false" customHeight="false" outlineLevel="0" collapsed="false">
      <c r="A1332" s="0" t="s">
        <v>1951</v>
      </c>
      <c r="B1332" s="0" t="s">
        <v>97</v>
      </c>
      <c r="C1332" s="0" t="s">
        <v>42</v>
      </c>
      <c r="D1332" s="0" t="s">
        <v>20</v>
      </c>
      <c r="E1332" s="0" t="n">
        <v>96.68</v>
      </c>
      <c r="F1332" s="0" t="n">
        <v>338</v>
      </c>
      <c r="G1332" s="0" t="str">
        <f aca="false">IF(F1332&lt;=30,"Current",IF(F1332&lt;=60,"31 to 60 days",IF(F1332&lt;=90,"61 to 90 days",IF(F1332&lt;=120,"91 to 120 days","Over 120 days"))))</f>
        <v>Over 120 days</v>
      </c>
      <c r="H1332" s="0" t="n">
        <f aca="false">VLOOKUP(D1332,Rates!$A$4:$B$7,2,FALSE())</f>
        <v>0.05</v>
      </c>
      <c r="I1332" s="0" t="n">
        <f aca="false">VLOOKUP(F1332,Rates!$D$4:$E$8,2)</f>
        <v>0.85</v>
      </c>
      <c r="J1332" s="0" t="n">
        <f aca="false">ROUND(E1332*I1332,2)</f>
        <v>82.18</v>
      </c>
      <c r="K1332" s="1" t="n">
        <f aca="false">PV(H1332/12,F1332/30,0,-E1332)</f>
        <v>92.2552914801169</v>
      </c>
      <c r="L1332" s="0" t="n">
        <f aca="false">ROUND(E1332-K1332,2)</f>
        <v>4.42</v>
      </c>
      <c r="M1332" s="0" t="n">
        <f aca="false">F1332/E1332</f>
        <v>3.49606950765412</v>
      </c>
    </row>
    <row r="1333" customFormat="false" ht="12.8" hidden="false" customHeight="false" outlineLevel="0" collapsed="false">
      <c r="A1333" s="0" t="s">
        <v>1952</v>
      </c>
      <c r="B1333" s="0" t="s">
        <v>1953</v>
      </c>
      <c r="C1333" s="0" t="s">
        <v>36</v>
      </c>
      <c r="D1333" s="0" t="s">
        <v>49</v>
      </c>
      <c r="E1333" s="0" t="n">
        <v>42859.03</v>
      </c>
      <c r="F1333" s="0" t="n">
        <v>135</v>
      </c>
      <c r="G1333" s="0" t="str">
        <f aca="false">IF(F1333&lt;=30,"Current",IF(F1333&lt;=60,"31 to 60 days",IF(F1333&lt;=90,"61 to 90 days",IF(F1333&lt;=120,"91 to 120 days","Over 120 days"))))</f>
        <v>Over 120 days</v>
      </c>
      <c r="H1333" s="0" t="n">
        <f aca="false">VLOOKUP(D1333,Rates!$A$4:$B$7,2,FALSE())</f>
        <v>0.02</v>
      </c>
      <c r="I1333" s="0" t="n">
        <f aca="false">VLOOKUP(F1333,Rates!$D$4:$E$8,2)</f>
        <v>0.85</v>
      </c>
      <c r="J1333" s="0" t="n">
        <f aca="false">ROUND(E1333*I1333,2)</f>
        <v>36430.18</v>
      </c>
      <c r="K1333" s="1" t="n">
        <f aca="false">PV(H1333/12,F1333/30,0,-E1333)</f>
        <v>42539.0552505601</v>
      </c>
      <c r="L1333" s="0" t="n">
        <f aca="false">ROUND(E1333-K1333,2)</f>
        <v>319.97</v>
      </c>
      <c r="M1333" s="0" t="n">
        <f aca="false">F1333/E1333</f>
        <v>0.00314986130110737</v>
      </c>
    </row>
    <row r="1334" customFormat="false" ht="12.8" hidden="false" customHeight="false" outlineLevel="0" collapsed="false">
      <c r="A1334" s="0" t="s">
        <v>1954</v>
      </c>
      <c r="B1334" s="0" t="s">
        <v>330</v>
      </c>
      <c r="C1334" s="0" t="s">
        <v>15</v>
      </c>
      <c r="D1334" s="0" t="s">
        <v>23</v>
      </c>
      <c r="E1334" s="0" t="n">
        <v>37890.07</v>
      </c>
      <c r="F1334" s="0" t="n">
        <v>375</v>
      </c>
      <c r="G1334" s="0" t="str">
        <f aca="false">IF(F1334&lt;=30,"Current",IF(F1334&lt;=60,"31 to 60 days",IF(F1334&lt;=90,"61 to 90 days",IF(F1334&lt;=120,"91 to 120 days","Over 120 days"))))</f>
        <v>Over 120 days</v>
      </c>
      <c r="H1334" s="0" t="n">
        <f aca="false">VLOOKUP(D1334,Rates!$A$4:$B$7,2,FALSE())</f>
        <v>0.115</v>
      </c>
      <c r="I1334" s="0" t="n">
        <f aca="false">VLOOKUP(F1334,Rates!$D$4:$E$8,2)</f>
        <v>0.85</v>
      </c>
      <c r="J1334" s="0" t="n">
        <f aca="false">ROUND(E1334*I1334,2)</f>
        <v>32206.56</v>
      </c>
      <c r="K1334" s="1" t="n">
        <f aca="false">PV(H1334/12,F1334/30,0,-E1334)</f>
        <v>33631.6560063082</v>
      </c>
      <c r="L1334" s="0" t="n">
        <f aca="false">ROUND(E1334-K1334,2)</f>
        <v>4258.41</v>
      </c>
      <c r="M1334" s="0" t="n">
        <f aca="false">F1334/E1334</f>
        <v>0.00989705218280146</v>
      </c>
    </row>
    <row r="1335" customFormat="false" ht="12.8" hidden="false" customHeight="false" outlineLevel="0" collapsed="false">
      <c r="A1335" s="0" t="s">
        <v>1955</v>
      </c>
      <c r="B1335" s="0" t="s">
        <v>30</v>
      </c>
      <c r="C1335" s="0" t="s">
        <v>31</v>
      </c>
      <c r="D1335" s="0" t="s">
        <v>20</v>
      </c>
      <c r="E1335" s="0" t="n">
        <v>30896.34</v>
      </c>
      <c r="F1335" s="0" t="n">
        <v>43</v>
      </c>
      <c r="G1335" s="0" t="str">
        <f aca="false">IF(F1335&lt;=30,"Current",IF(F1335&lt;=60,"31 to 60 days",IF(F1335&lt;=90,"61 to 90 days",IF(F1335&lt;=120,"91 to 120 days","Over 120 days"))))</f>
        <v>31 to 60 days</v>
      </c>
      <c r="H1335" s="0" t="n">
        <f aca="false">VLOOKUP(D1335,Rates!$A$4:$B$7,2,FALSE())</f>
        <v>0.05</v>
      </c>
      <c r="I1335" s="0" t="n">
        <f aca="false">VLOOKUP(F1335,Rates!$D$4:$E$8,2)</f>
        <v>0.1</v>
      </c>
      <c r="J1335" s="0" t="n">
        <f aca="false">ROUND(E1335*I1335,2)</f>
        <v>3089.63</v>
      </c>
      <c r="K1335" s="1" t="n">
        <f aca="false">PV(H1335/12,F1335/30,0,-E1335)</f>
        <v>30712.7511645562</v>
      </c>
      <c r="L1335" s="0" t="n">
        <f aca="false">ROUND(E1335-K1335,2)</f>
        <v>183.59</v>
      </c>
      <c r="M1335" s="0" t="n">
        <f aca="false">F1335/E1335</f>
        <v>0.00139175060864814</v>
      </c>
    </row>
    <row r="1336" customFormat="false" ht="12.8" hidden="false" customHeight="false" outlineLevel="0" collapsed="false">
      <c r="A1336" s="0" t="s">
        <v>1956</v>
      </c>
      <c r="B1336" s="0" t="s">
        <v>18</v>
      </c>
      <c r="C1336" s="0" t="s">
        <v>19</v>
      </c>
      <c r="D1336" s="0" t="s">
        <v>20</v>
      </c>
      <c r="E1336" s="0" t="n">
        <v>35797.2</v>
      </c>
      <c r="F1336" s="0" t="n">
        <v>388</v>
      </c>
      <c r="G1336" s="0" t="str">
        <f aca="false">IF(F1336&lt;=30,"Current",IF(F1336&lt;=60,"31 to 60 days",IF(F1336&lt;=90,"61 to 90 days",IF(F1336&lt;=120,"91 to 120 days","Over 120 days"))))</f>
        <v>Over 120 days</v>
      </c>
      <c r="H1336" s="0" t="n">
        <f aca="false">VLOOKUP(D1336,Rates!$A$4:$B$7,2,FALSE())</f>
        <v>0.05</v>
      </c>
      <c r="I1336" s="0" t="n">
        <f aca="false">VLOOKUP(F1336,Rates!$D$4:$E$8,2)</f>
        <v>0.85</v>
      </c>
      <c r="J1336" s="0" t="n">
        <f aca="false">ROUND(E1336*I1336,2)</f>
        <v>30427.62</v>
      </c>
      <c r="K1336" s="1" t="n">
        <f aca="false">PV(H1336/12,F1336/30,0,-E1336)</f>
        <v>33922.9829161209</v>
      </c>
      <c r="L1336" s="0" t="n">
        <f aca="false">ROUND(E1336-K1336,2)</f>
        <v>1874.22</v>
      </c>
      <c r="M1336" s="0" t="n">
        <f aca="false">F1336/E1336</f>
        <v>0.0108388365570492</v>
      </c>
    </row>
    <row r="1337" customFormat="false" ht="12.8" hidden="false" customHeight="false" outlineLevel="0" collapsed="false">
      <c r="A1337" s="0" t="s">
        <v>1957</v>
      </c>
      <c r="B1337" s="0" t="s">
        <v>1958</v>
      </c>
      <c r="C1337" s="0" t="s">
        <v>36</v>
      </c>
      <c r="D1337" s="0" t="s">
        <v>16</v>
      </c>
      <c r="E1337" s="0" t="n">
        <v>18430.44</v>
      </c>
      <c r="F1337" s="0" t="n">
        <v>135</v>
      </c>
      <c r="G1337" s="0" t="str">
        <f aca="false">IF(F1337&lt;=30,"Current",IF(F1337&lt;=60,"31 to 60 days",IF(F1337&lt;=90,"61 to 90 days",IF(F1337&lt;=120,"91 to 120 days","Over 120 days"))))</f>
        <v>Over 120 days</v>
      </c>
      <c r="H1337" s="0" t="n">
        <f aca="false">VLOOKUP(D1337,Rates!$A$4:$B$7,2,FALSE())</f>
        <v>0.085</v>
      </c>
      <c r="I1337" s="0" t="n">
        <f aca="false">VLOOKUP(F1337,Rates!$D$4:$E$8,2)</f>
        <v>0.85</v>
      </c>
      <c r="J1337" s="0" t="n">
        <f aca="false">ROUND(E1337*I1337,2)</f>
        <v>15665.87</v>
      </c>
      <c r="K1337" s="1" t="n">
        <f aca="false">PV(H1337/12,F1337/30,0,-E1337)</f>
        <v>17854.2398362561</v>
      </c>
      <c r="L1337" s="0" t="n">
        <f aca="false">ROUND(E1337-K1337,2)</f>
        <v>576.2</v>
      </c>
      <c r="M1337" s="0" t="n">
        <f aca="false">F1337/E1337</f>
        <v>0.00732483869077461</v>
      </c>
    </row>
    <row r="1338" customFormat="false" ht="12.8" hidden="false" customHeight="false" outlineLevel="0" collapsed="false">
      <c r="A1338" s="0" t="s">
        <v>1959</v>
      </c>
      <c r="B1338" s="0" t="s">
        <v>285</v>
      </c>
      <c r="C1338" s="0" t="s">
        <v>36</v>
      </c>
      <c r="D1338" s="0" t="s">
        <v>23</v>
      </c>
      <c r="E1338" s="0" t="n">
        <v>8266.83</v>
      </c>
      <c r="F1338" s="0" t="n">
        <v>255</v>
      </c>
      <c r="G1338" s="0" t="str">
        <f aca="false">IF(F1338&lt;=30,"Current",IF(F1338&lt;=60,"31 to 60 days",IF(F1338&lt;=90,"61 to 90 days",IF(F1338&lt;=120,"91 to 120 days","Over 120 days"))))</f>
        <v>Over 120 days</v>
      </c>
      <c r="H1338" s="0" t="n">
        <f aca="false">VLOOKUP(D1338,Rates!$A$4:$B$7,2,FALSE())</f>
        <v>0.115</v>
      </c>
      <c r="I1338" s="0" t="n">
        <f aca="false">VLOOKUP(F1338,Rates!$D$4:$E$8,2)</f>
        <v>0.85</v>
      </c>
      <c r="J1338" s="0" t="n">
        <f aca="false">ROUND(E1338*I1338,2)</f>
        <v>7026.81</v>
      </c>
      <c r="K1338" s="1" t="n">
        <f aca="false">PV(H1338/12,F1338/30,0,-E1338)</f>
        <v>7623.08111892326</v>
      </c>
      <c r="L1338" s="0" t="n">
        <f aca="false">ROUND(E1338-K1338,2)</f>
        <v>643.75</v>
      </c>
      <c r="M1338" s="0" t="n">
        <f aca="false">F1338/E1338</f>
        <v>0.0308461647330355</v>
      </c>
    </row>
    <row r="1339" customFormat="false" ht="12.8" hidden="false" customHeight="false" outlineLevel="0" collapsed="false">
      <c r="A1339" s="0" t="s">
        <v>1960</v>
      </c>
      <c r="B1339" s="0" t="s">
        <v>44</v>
      </c>
      <c r="C1339" s="0" t="s">
        <v>36</v>
      </c>
      <c r="D1339" s="0" t="s">
        <v>23</v>
      </c>
      <c r="E1339" s="0" t="n">
        <v>37300.99</v>
      </c>
      <c r="F1339" s="0" t="n">
        <v>314</v>
      </c>
      <c r="G1339" s="0" t="str">
        <f aca="false">IF(F1339&lt;=30,"Current",IF(F1339&lt;=60,"31 to 60 days",IF(F1339&lt;=90,"61 to 90 days",IF(F1339&lt;=120,"91 to 120 days","Over 120 days"))))</f>
        <v>Over 120 days</v>
      </c>
      <c r="H1339" s="0" t="n">
        <f aca="false">VLOOKUP(D1339,Rates!$A$4:$B$7,2,FALSE())</f>
        <v>0.115</v>
      </c>
      <c r="I1339" s="0" t="n">
        <f aca="false">VLOOKUP(F1339,Rates!$D$4:$E$8,2)</f>
        <v>0.85</v>
      </c>
      <c r="J1339" s="0" t="n">
        <f aca="false">ROUND(E1339*I1339,2)</f>
        <v>31705.84</v>
      </c>
      <c r="K1339" s="1" t="n">
        <f aca="false">PV(H1339/12,F1339/30,0,-E1339)</f>
        <v>33757.1381025344</v>
      </c>
      <c r="L1339" s="0" t="n">
        <f aca="false">ROUND(E1339-K1339,2)</f>
        <v>3543.85</v>
      </c>
      <c r="M1339" s="0" t="n">
        <f aca="false">F1339/E1339</f>
        <v>0.00841800713600363</v>
      </c>
    </row>
    <row r="1340" customFormat="false" ht="12.8" hidden="false" customHeight="false" outlineLevel="0" collapsed="false">
      <c r="A1340" s="0" t="s">
        <v>1961</v>
      </c>
      <c r="B1340" s="0" t="s">
        <v>1962</v>
      </c>
      <c r="C1340" s="0" t="s">
        <v>19</v>
      </c>
      <c r="D1340" s="0" t="s">
        <v>49</v>
      </c>
      <c r="E1340" s="0" t="n">
        <v>38464.14</v>
      </c>
      <c r="F1340" s="0" t="n">
        <v>130</v>
      </c>
      <c r="G1340" s="0" t="str">
        <f aca="false">IF(F1340&lt;=30,"Current",IF(F1340&lt;=60,"31 to 60 days",IF(F1340&lt;=90,"61 to 90 days",IF(F1340&lt;=120,"91 to 120 days","Over 120 days"))))</f>
        <v>Over 120 days</v>
      </c>
      <c r="H1340" s="0" t="n">
        <f aca="false">VLOOKUP(D1340,Rates!$A$4:$B$7,2,FALSE())</f>
        <v>0.02</v>
      </c>
      <c r="I1340" s="0" t="n">
        <f aca="false">VLOOKUP(F1340,Rates!$D$4:$E$8,2)</f>
        <v>0.85</v>
      </c>
      <c r="J1340" s="0" t="n">
        <f aca="false">ROUND(E1340*I1340,2)</f>
        <v>32694.52</v>
      </c>
      <c r="K1340" s="1" t="n">
        <f aca="false">PV(H1340/12,F1340/30,0,-E1340)</f>
        <v>38187.5737538339</v>
      </c>
      <c r="L1340" s="0" t="n">
        <f aca="false">ROUND(E1340-K1340,2)</f>
        <v>276.57</v>
      </c>
      <c r="M1340" s="0" t="n">
        <f aca="false">F1340/E1340</f>
        <v>0.00337977139226303</v>
      </c>
    </row>
    <row r="1341" customFormat="false" ht="12.8" hidden="false" customHeight="false" outlineLevel="0" collapsed="false">
      <c r="A1341" s="0" t="s">
        <v>1963</v>
      </c>
      <c r="B1341" s="0" t="s">
        <v>51</v>
      </c>
      <c r="C1341" s="0" t="s">
        <v>36</v>
      </c>
      <c r="D1341" s="0" t="s">
        <v>20</v>
      </c>
      <c r="E1341" s="0" t="n">
        <v>31175.08</v>
      </c>
      <c r="F1341" s="0" t="n">
        <v>9</v>
      </c>
      <c r="G1341" s="0" t="str">
        <f aca="false">IF(F1341&lt;=30,"Current",IF(F1341&lt;=60,"31 to 60 days",IF(F1341&lt;=90,"61 to 90 days",IF(F1341&lt;=120,"91 to 120 days","Over 120 days"))))</f>
        <v>Current</v>
      </c>
      <c r="H1341" s="0" t="n">
        <f aca="false">VLOOKUP(D1341,Rates!$A$4:$B$7,2,FALSE())</f>
        <v>0.05</v>
      </c>
      <c r="I1341" s="0" t="n">
        <f aca="false">VLOOKUP(F1341,Rates!$D$4:$E$8,2)</f>
        <v>0.02</v>
      </c>
      <c r="J1341" s="0" t="n">
        <f aca="false">ROUND(E1341*I1341,2)</f>
        <v>623.5</v>
      </c>
      <c r="K1341" s="1" t="n">
        <f aca="false">PV(H1341/12,F1341/30,0,-E1341)</f>
        <v>31136.2163546465</v>
      </c>
      <c r="L1341" s="0" t="n">
        <f aca="false">ROUND(E1341-K1341,2)</f>
        <v>38.86</v>
      </c>
      <c r="M1341" s="0" t="n">
        <f aca="false">F1341/E1341</f>
        <v>0.000288692122041066</v>
      </c>
    </row>
    <row r="1342" customFormat="false" ht="12.8" hidden="false" customHeight="false" outlineLevel="0" collapsed="false">
      <c r="A1342" s="0" t="s">
        <v>1964</v>
      </c>
      <c r="B1342" s="0" t="s">
        <v>30</v>
      </c>
      <c r="C1342" s="0" t="s">
        <v>31</v>
      </c>
      <c r="D1342" s="0" t="s">
        <v>20</v>
      </c>
      <c r="E1342" s="0" t="n">
        <v>35731.82</v>
      </c>
      <c r="F1342" s="0" t="n">
        <v>2</v>
      </c>
      <c r="G1342" s="0" t="str">
        <f aca="false">IF(F1342&lt;=30,"Current",IF(F1342&lt;=60,"31 to 60 days",IF(F1342&lt;=90,"61 to 90 days",IF(F1342&lt;=120,"91 to 120 days","Over 120 days"))))</f>
        <v>Current</v>
      </c>
      <c r="H1342" s="0" t="n">
        <f aca="false">VLOOKUP(D1342,Rates!$A$4:$B$7,2,FALSE())</f>
        <v>0.05</v>
      </c>
      <c r="I1342" s="0" t="n">
        <f aca="false">VLOOKUP(F1342,Rates!$D$4:$E$8,2)</f>
        <v>0.02</v>
      </c>
      <c r="J1342" s="0" t="n">
        <f aca="false">ROUND(E1342*I1342,2)</f>
        <v>714.64</v>
      </c>
      <c r="K1342" s="1" t="n">
        <f aca="false">PV(H1342/12,F1342/30,0,-E1342)</f>
        <v>35721.9164880142</v>
      </c>
      <c r="L1342" s="0" t="n">
        <f aca="false">ROUND(E1342-K1342,2)</f>
        <v>9.9</v>
      </c>
      <c r="M1342" s="0" t="n">
        <f aca="false">F1342/E1342</f>
        <v>5.59725197317125E-005</v>
      </c>
    </row>
    <row r="1343" customFormat="false" ht="12.8" hidden="false" customHeight="false" outlineLevel="0" collapsed="false">
      <c r="A1343" s="0" t="s">
        <v>1965</v>
      </c>
      <c r="B1343" s="0" t="s">
        <v>1966</v>
      </c>
      <c r="C1343" s="0" t="s">
        <v>42</v>
      </c>
      <c r="D1343" s="0" t="s">
        <v>49</v>
      </c>
      <c r="E1343" s="0" t="n">
        <v>2248.58</v>
      </c>
      <c r="F1343" s="0" t="n">
        <v>92</v>
      </c>
      <c r="G1343" s="0" t="str">
        <f aca="false">IF(F1343&lt;=30,"Current",IF(F1343&lt;=60,"31 to 60 days",IF(F1343&lt;=90,"61 to 90 days",IF(F1343&lt;=120,"91 to 120 days","Over 120 days"))))</f>
        <v>91 to 120 days</v>
      </c>
      <c r="H1343" s="0" t="n">
        <f aca="false">VLOOKUP(D1343,Rates!$A$4:$B$7,2,FALSE())</f>
        <v>0.02</v>
      </c>
      <c r="I1343" s="0" t="n">
        <f aca="false">VLOOKUP(F1343,Rates!$D$4:$E$8,2)</f>
        <v>0.5</v>
      </c>
      <c r="J1343" s="0" t="n">
        <f aca="false">ROUND(E1343*I1343,2)</f>
        <v>1124.29</v>
      </c>
      <c r="K1343" s="1" t="n">
        <f aca="false">PV(H1343/12,F1343/30,0,-E1343)</f>
        <v>2237.12609605031</v>
      </c>
      <c r="L1343" s="0" t="n">
        <f aca="false">ROUND(E1343-K1343,2)</f>
        <v>11.45</v>
      </c>
      <c r="M1343" s="0" t="n">
        <f aca="false">F1343/E1343</f>
        <v>0.0409147106173674</v>
      </c>
    </row>
    <row r="1344" customFormat="false" ht="12.8" hidden="false" customHeight="false" outlineLevel="0" collapsed="false">
      <c r="A1344" s="0" t="s">
        <v>1967</v>
      </c>
      <c r="B1344" s="0" t="s">
        <v>1051</v>
      </c>
      <c r="C1344" s="0" t="s">
        <v>31</v>
      </c>
      <c r="D1344" s="0" t="s">
        <v>16</v>
      </c>
      <c r="E1344" s="0" t="n">
        <v>27817.29</v>
      </c>
      <c r="F1344" s="0" t="n">
        <v>350</v>
      </c>
      <c r="G1344" s="0" t="str">
        <f aca="false">IF(F1344&lt;=30,"Current",IF(F1344&lt;=60,"31 to 60 days",IF(F1344&lt;=90,"61 to 90 days",IF(F1344&lt;=120,"91 to 120 days","Over 120 days"))))</f>
        <v>Over 120 days</v>
      </c>
      <c r="H1344" s="0" t="n">
        <f aca="false">VLOOKUP(D1344,Rates!$A$4:$B$7,2,FALSE())</f>
        <v>0.085</v>
      </c>
      <c r="I1344" s="0" t="n">
        <f aca="false">VLOOKUP(F1344,Rates!$D$4:$E$8,2)</f>
        <v>0.85</v>
      </c>
      <c r="J1344" s="0" t="n">
        <f aca="false">ROUND(E1344*I1344,2)</f>
        <v>23644.7</v>
      </c>
      <c r="K1344" s="1" t="n">
        <f aca="false">PV(H1344/12,F1344/30,0,-E1344)</f>
        <v>25618.3831487671</v>
      </c>
      <c r="L1344" s="0" t="n">
        <f aca="false">ROUND(E1344-K1344,2)</f>
        <v>2198.91</v>
      </c>
      <c r="M1344" s="0" t="n">
        <f aca="false">F1344/E1344</f>
        <v>0.0125821027138158</v>
      </c>
    </row>
    <row r="1345" customFormat="false" ht="12.8" hidden="false" customHeight="false" outlineLevel="0" collapsed="false">
      <c r="A1345" s="0" t="s">
        <v>1968</v>
      </c>
      <c r="B1345" s="0" t="s">
        <v>596</v>
      </c>
      <c r="C1345" s="0" t="s">
        <v>31</v>
      </c>
      <c r="D1345" s="0" t="s">
        <v>49</v>
      </c>
      <c r="E1345" s="0" t="n">
        <v>43294.7</v>
      </c>
      <c r="F1345" s="0" t="n">
        <v>331</v>
      </c>
      <c r="G1345" s="0" t="str">
        <f aca="false">IF(F1345&lt;=30,"Current",IF(F1345&lt;=60,"31 to 60 days",IF(F1345&lt;=90,"61 to 90 days",IF(F1345&lt;=120,"91 to 120 days","Over 120 days"))))</f>
        <v>Over 120 days</v>
      </c>
      <c r="H1345" s="0" t="n">
        <f aca="false">VLOOKUP(D1345,Rates!$A$4:$B$7,2,FALSE())</f>
        <v>0.02</v>
      </c>
      <c r="I1345" s="0" t="n">
        <f aca="false">VLOOKUP(F1345,Rates!$D$4:$E$8,2)</f>
        <v>0.85</v>
      </c>
      <c r="J1345" s="0" t="n">
        <f aca="false">ROUND(E1345*I1345,2)</f>
        <v>36800.5</v>
      </c>
      <c r="K1345" s="1" t="n">
        <f aca="false">PV(H1345/12,F1345/30,0,-E1345)</f>
        <v>42506.4846311958</v>
      </c>
      <c r="L1345" s="0" t="n">
        <f aca="false">ROUND(E1345-K1345,2)</f>
        <v>788.22</v>
      </c>
      <c r="M1345" s="0" t="n">
        <f aca="false">F1345/E1345</f>
        <v>0.00764527759748884</v>
      </c>
    </row>
    <row r="1346" customFormat="false" ht="12.8" hidden="false" customHeight="false" outlineLevel="0" collapsed="false">
      <c r="A1346" s="0" t="s">
        <v>1969</v>
      </c>
      <c r="B1346" s="0" t="s">
        <v>534</v>
      </c>
      <c r="C1346" s="0" t="s">
        <v>26</v>
      </c>
      <c r="D1346" s="0" t="s">
        <v>23</v>
      </c>
      <c r="E1346" s="0" t="n">
        <v>44327.53</v>
      </c>
      <c r="F1346" s="0" t="n">
        <v>66</v>
      </c>
      <c r="G1346" s="0" t="str">
        <f aca="false">IF(F1346&lt;=30,"Current",IF(F1346&lt;=60,"31 to 60 days",IF(F1346&lt;=90,"61 to 90 days",IF(F1346&lt;=120,"91 to 120 days","Over 120 days"))))</f>
        <v>61 to 90 days</v>
      </c>
      <c r="H1346" s="0" t="n">
        <f aca="false">VLOOKUP(D1346,Rates!$A$4:$B$7,2,FALSE())</f>
        <v>0.115</v>
      </c>
      <c r="I1346" s="0" t="n">
        <f aca="false">VLOOKUP(F1346,Rates!$D$4:$E$8,2)</f>
        <v>0.25</v>
      </c>
      <c r="J1346" s="0" t="n">
        <f aca="false">ROUND(E1346*I1346,2)</f>
        <v>11081.88</v>
      </c>
      <c r="K1346" s="1" t="n">
        <f aca="false">PV(H1346/12,F1346/30,0,-E1346)</f>
        <v>43407.0981194392</v>
      </c>
      <c r="L1346" s="0" t="n">
        <f aca="false">ROUND(E1346-K1346,2)</f>
        <v>920.43</v>
      </c>
      <c r="M1346" s="0" t="n">
        <f aca="false">F1346/E1346</f>
        <v>0.00148891670706669</v>
      </c>
    </row>
    <row r="1347" customFormat="false" ht="12.8" hidden="false" customHeight="false" outlineLevel="0" collapsed="false">
      <c r="A1347" s="0" t="s">
        <v>1970</v>
      </c>
      <c r="B1347" s="0" t="s">
        <v>33</v>
      </c>
      <c r="C1347" s="0" t="s">
        <v>26</v>
      </c>
      <c r="D1347" s="0" t="s">
        <v>20</v>
      </c>
      <c r="E1347" s="0" t="n">
        <v>24836.39</v>
      </c>
      <c r="F1347" s="0" t="n">
        <v>135</v>
      </c>
      <c r="G1347" s="0" t="str">
        <f aca="false">IF(F1347&lt;=30,"Current",IF(F1347&lt;=60,"31 to 60 days",IF(F1347&lt;=90,"61 to 90 days",IF(F1347&lt;=120,"91 to 120 days","Over 120 days"))))</f>
        <v>Over 120 days</v>
      </c>
      <c r="H1347" s="0" t="n">
        <f aca="false">VLOOKUP(D1347,Rates!$A$4:$B$7,2,FALSE())</f>
        <v>0.05</v>
      </c>
      <c r="I1347" s="0" t="n">
        <f aca="false">VLOOKUP(F1347,Rates!$D$4:$E$8,2)</f>
        <v>0.85</v>
      </c>
      <c r="J1347" s="0" t="n">
        <f aca="false">ROUND(E1347*I1347,2)</f>
        <v>21110.93</v>
      </c>
      <c r="K1347" s="1" t="n">
        <f aca="false">PV(H1347/12,F1347/30,0,-E1347)</f>
        <v>24375.9958326481</v>
      </c>
      <c r="L1347" s="0" t="n">
        <f aca="false">ROUND(E1347-K1347,2)</f>
        <v>460.39</v>
      </c>
      <c r="M1347" s="0" t="n">
        <f aca="false">F1347/E1347</f>
        <v>0.00543557256106866</v>
      </c>
    </row>
    <row r="1348" customFormat="false" ht="12.8" hidden="false" customHeight="false" outlineLevel="0" collapsed="false">
      <c r="A1348" s="0" t="s">
        <v>1971</v>
      </c>
      <c r="B1348" s="0" t="s">
        <v>1972</v>
      </c>
      <c r="C1348" s="0" t="s">
        <v>26</v>
      </c>
      <c r="D1348" s="0" t="s">
        <v>16</v>
      </c>
      <c r="E1348" s="0" t="n">
        <v>19728.49</v>
      </c>
      <c r="F1348" s="0" t="n">
        <v>287</v>
      </c>
      <c r="G1348" s="0" t="str">
        <f aca="false">IF(F1348&lt;=30,"Current",IF(F1348&lt;=60,"31 to 60 days",IF(F1348&lt;=90,"61 to 90 days",IF(F1348&lt;=120,"91 to 120 days","Over 120 days"))))</f>
        <v>Over 120 days</v>
      </c>
      <c r="H1348" s="0" t="n">
        <f aca="false">VLOOKUP(D1348,Rates!$A$4:$B$7,2,FALSE())</f>
        <v>0.085</v>
      </c>
      <c r="I1348" s="0" t="n">
        <f aca="false">VLOOKUP(F1348,Rates!$D$4:$E$8,2)</f>
        <v>0.85</v>
      </c>
      <c r="J1348" s="0" t="n">
        <f aca="false">ROUND(E1348*I1348,2)</f>
        <v>16769.22</v>
      </c>
      <c r="K1348" s="1" t="n">
        <f aca="false">PV(H1348/12,F1348/30,0,-E1348)</f>
        <v>18440.3051230058</v>
      </c>
      <c r="L1348" s="0" t="n">
        <f aca="false">ROUND(E1348-K1348,2)</f>
        <v>1288.18</v>
      </c>
      <c r="M1348" s="0" t="n">
        <f aca="false">F1348/E1348</f>
        <v>0.0145474894429325</v>
      </c>
    </row>
    <row r="1349" customFormat="false" ht="12.8" hidden="false" customHeight="false" outlineLevel="0" collapsed="false">
      <c r="A1349" s="0" t="s">
        <v>1973</v>
      </c>
      <c r="B1349" s="0" t="s">
        <v>148</v>
      </c>
      <c r="C1349" s="0" t="s">
        <v>31</v>
      </c>
      <c r="D1349" s="0" t="s">
        <v>23</v>
      </c>
      <c r="E1349" s="0" t="n">
        <v>22830.45</v>
      </c>
      <c r="F1349" s="0" t="n">
        <v>266</v>
      </c>
      <c r="G1349" s="0" t="str">
        <f aca="false">IF(F1349&lt;=30,"Current",IF(F1349&lt;=60,"31 to 60 days",IF(F1349&lt;=90,"61 to 90 days",IF(F1349&lt;=120,"91 to 120 days","Over 120 days"))))</f>
        <v>Over 120 days</v>
      </c>
      <c r="H1349" s="0" t="n">
        <f aca="false">VLOOKUP(D1349,Rates!$A$4:$B$7,2,FALSE())</f>
        <v>0.115</v>
      </c>
      <c r="I1349" s="0" t="n">
        <f aca="false">VLOOKUP(F1349,Rates!$D$4:$E$8,2)</f>
        <v>0.85</v>
      </c>
      <c r="J1349" s="0" t="n">
        <f aca="false">ROUND(E1349*I1349,2)</f>
        <v>19405.88</v>
      </c>
      <c r="K1349" s="1" t="n">
        <f aca="false">PV(H1349/12,F1349/30,0,-E1349)</f>
        <v>20979.1172198741</v>
      </c>
      <c r="L1349" s="0" t="n">
        <f aca="false">ROUND(E1349-K1349,2)</f>
        <v>1851.33</v>
      </c>
      <c r="M1349" s="0" t="n">
        <f aca="false">F1349/E1349</f>
        <v>0.0116511063075848</v>
      </c>
    </row>
    <row r="1350" customFormat="false" ht="12.8" hidden="false" customHeight="false" outlineLevel="0" collapsed="false">
      <c r="A1350" s="0" t="s">
        <v>1974</v>
      </c>
      <c r="B1350" s="0" t="s">
        <v>1975</v>
      </c>
      <c r="C1350" s="0" t="s">
        <v>36</v>
      </c>
      <c r="D1350" s="0" t="s">
        <v>49</v>
      </c>
      <c r="E1350" s="0" t="n">
        <v>19755.97</v>
      </c>
      <c r="F1350" s="0" t="n">
        <v>42</v>
      </c>
      <c r="G1350" s="0" t="str">
        <f aca="false">IF(F1350&lt;=30,"Current",IF(F1350&lt;=60,"31 to 60 days",IF(F1350&lt;=90,"61 to 90 days",IF(F1350&lt;=120,"91 to 120 days","Over 120 days"))))</f>
        <v>31 to 60 days</v>
      </c>
      <c r="H1350" s="0" t="n">
        <f aca="false">VLOOKUP(D1350,Rates!$A$4:$B$7,2,FALSE())</f>
        <v>0.02</v>
      </c>
      <c r="I1350" s="0" t="n">
        <f aca="false">VLOOKUP(F1350,Rates!$D$4:$E$8,2)</f>
        <v>0.1</v>
      </c>
      <c r="J1350" s="0" t="n">
        <f aca="false">ROUND(E1350*I1350,2)</f>
        <v>1975.6</v>
      </c>
      <c r="K1350" s="1" t="n">
        <f aca="false">PV(H1350/12,F1350/30,0,-E1350)</f>
        <v>19709.9647573668</v>
      </c>
      <c r="L1350" s="0" t="n">
        <f aca="false">ROUND(E1350-K1350,2)</f>
        <v>46.01</v>
      </c>
      <c r="M1350" s="0" t="n">
        <f aca="false">F1350/E1350</f>
        <v>0.00212593965267208</v>
      </c>
    </row>
    <row r="1351" customFormat="false" ht="12.8" hidden="false" customHeight="false" outlineLevel="0" collapsed="false">
      <c r="A1351" s="0" t="s">
        <v>1976</v>
      </c>
      <c r="B1351" s="0" t="s">
        <v>1248</v>
      </c>
      <c r="C1351" s="0" t="s">
        <v>42</v>
      </c>
      <c r="D1351" s="0" t="s">
        <v>16</v>
      </c>
      <c r="E1351" s="0" t="n">
        <v>19249.31</v>
      </c>
      <c r="F1351" s="0" t="n">
        <v>74</v>
      </c>
      <c r="G1351" s="0" t="str">
        <f aca="false">IF(F1351&lt;=30,"Current",IF(F1351&lt;=60,"31 to 60 days",IF(F1351&lt;=90,"61 to 90 days",IF(F1351&lt;=120,"91 to 120 days","Over 120 days"))))</f>
        <v>61 to 90 days</v>
      </c>
      <c r="H1351" s="0" t="n">
        <f aca="false">VLOOKUP(D1351,Rates!$A$4:$B$7,2,FALSE())</f>
        <v>0.085</v>
      </c>
      <c r="I1351" s="0" t="n">
        <f aca="false">VLOOKUP(F1351,Rates!$D$4:$E$8,2)</f>
        <v>0.25</v>
      </c>
      <c r="J1351" s="0" t="n">
        <f aca="false">ROUND(E1351*I1351,2)</f>
        <v>4812.33</v>
      </c>
      <c r="K1351" s="1" t="n">
        <f aca="false">PV(H1351/12,F1351/30,0,-E1351)</f>
        <v>18917.0680094923</v>
      </c>
      <c r="L1351" s="0" t="n">
        <f aca="false">ROUND(E1351-K1351,2)</f>
        <v>332.24</v>
      </c>
      <c r="M1351" s="0" t="n">
        <f aca="false">F1351/E1351</f>
        <v>0.00384429363961617</v>
      </c>
    </row>
    <row r="1352" customFormat="false" ht="12.8" hidden="false" customHeight="false" outlineLevel="0" collapsed="false">
      <c r="A1352" s="0" t="s">
        <v>1977</v>
      </c>
      <c r="B1352" s="0" t="s">
        <v>1978</v>
      </c>
      <c r="C1352" s="0" t="s">
        <v>42</v>
      </c>
      <c r="D1352" s="0" t="s">
        <v>49</v>
      </c>
      <c r="E1352" s="0" t="n">
        <v>3322.18</v>
      </c>
      <c r="F1352" s="0" t="n">
        <v>223</v>
      </c>
      <c r="G1352" s="0" t="str">
        <f aca="false">IF(F1352&lt;=30,"Current",IF(F1352&lt;=60,"31 to 60 days",IF(F1352&lt;=90,"61 to 90 days",IF(F1352&lt;=120,"91 to 120 days","Over 120 days"))))</f>
        <v>Over 120 days</v>
      </c>
      <c r="H1352" s="0" t="n">
        <f aca="false">VLOOKUP(D1352,Rates!$A$4:$B$7,2,FALSE())</f>
        <v>0.02</v>
      </c>
      <c r="I1352" s="0" t="n">
        <f aca="false">VLOOKUP(F1352,Rates!$D$4:$E$8,2)</f>
        <v>0.85</v>
      </c>
      <c r="J1352" s="0" t="n">
        <f aca="false">ROUND(E1352*I1352,2)</f>
        <v>2823.85</v>
      </c>
      <c r="K1352" s="1" t="n">
        <f aca="false">PV(H1352/12,F1352/30,0,-E1352)</f>
        <v>3281.30962190442</v>
      </c>
      <c r="L1352" s="0" t="n">
        <f aca="false">ROUND(E1352-K1352,2)</f>
        <v>40.87</v>
      </c>
      <c r="M1352" s="0" t="n">
        <f aca="false">F1352/E1352</f>
        <v>0.067124598907946</v>
      </c>
    </row>
    <row r="1353" customFormat="false" ht="12.8" hidden="false" customHeight="false" outlineLevel="0" collapsed="false">
      <c r="A1353" s="0" t="s">
        <v>1979</v>
      </c>
      <c r="B1353" s="0" t="s">
        <v>1980</v>
      </c>
      <c r="C1353" s="0" t="s">
        <v>26</v>
      </c>
      <c r="D1353" s="0" t="s">
        <v>16</v>
      </c>
      <c r="E1353" s="0" t="n">
        <v>2179.73</v>
      </c>
      <c r="F1353" s="0" t="n">
        <v>328</v>
      </c>
      <c r="G1353" s="0" t="str">
        <f aca="false">IF(F1353&lt;=30,"Current",IF(F1353&lt;=60,"31 to 60 days",IF(F1353&lt;=90,"61 to 90 days",IF(F1353&lt;=120,"91 to 120 days","Over 120 days"))))</f>
        <v>Over 120 days</v>
      </c>
      <c r="H1353" s="0" t="n">
        <f aca="false">VLOOKUP(D1353,Rates!$A$4:$B$7,2,FALSE())</f>
        <v>0.085</v>
      </c>
      <c r="I1353" s="0" t="n">
        <f aca="false">VLOOKUP(F1353,Rates!$D$4:$E$8,2)</f>
        <v>0.85</v>
      </c>
      <c r="J1353" s="0" t="n">
        <f aca="false">ROUND(E1353*I1353,2)</f>
        <v>1852.77</v>
      </c>
      <c r="K1353" s="1" t="n">
        <f aca="false">PV(H1353/12,F1353/30,0,-E1353)</f>
        <v>2017.84390076343</v>
      </c>
      <c r="L1353" s="0" t="n">
        <f aca="false">ROUND(E1353-K1353,2)</f>
        <v>161.89</v>
      </c>
      <c r="M1353" s="0" t="n">
        <f aca="false">F1353/E1353</f>
        <v>0.150477352699646</v>
      </c>
    </row>
    <row r="1354" customFormat="false" ht="12.8" hidden="false" customHeight="false" outlineLevel="0" collapsed="false">
      <c r="A1354" s="0" t="s">
        <v>1981</v>
      </c>
      <c r="B1354" s="0" t="s">
        <v>1982</v>
      </c>
      <c r="C1354" s="0" t="s">
        <v>42</v>
      </c>
      <c r="D1354" s="0" t="s">
        <v>16</v>
      </c>
      <c r="E1354" s="0" t="n">
        <v>18249.68</v>
      </c>
      <c r="F1354" s="0" t="n">
        <v>355</v>
      </c>
      <c r="G1354" s="0" t="str">
        <f aca="false">IF(F1354&lt;=30,"Current",IF(F1354&lt;=60,"31 to 60 days",IF(F1354&lt;=90,"61 to 90 days",IF(F1354&lt;=120,"91 to 120 days","Over 120 days"))))</f>
        <v>Over 120 days</v>
      </c>
      <c r="H1354" s="0" t="n">
        <f aca="false">VLOOKUP(D1354,Rates!$A$4:$B$7,2,FALSE())</f>
        <v>0.085</v>
      </c>
      <c r="I1354" s="0" t="n">
        <f aca="false">VLOOKUP(F1354,Rates!$D$4:$E$8,2)</f>
        <v>0.85</v>
      </c>
      <c r="J1354" s="0" t="n">
        <f aca="false">ROUND(E1354*I1354,2)</f>
        <v>15512.23</v>
      </c>
      <c r="K1354" s="1" t="n">
        <f aca="false">PV(H1354/12,F1354/30,0,-E1354)</f>
        <v>16787.315429683</v>
      </c>
      <c r="L1354" s="0" t="n">
        <f aca="false">ROUND(E1354-K1354,2)</f>
        <v>1462.36</v>
      </c>
      <c r="M1354" s="0" t="n">
        <f aca="false">F1354/E1354</f>
        <v>0.0194523958776263</v>
      </c>
    </row>
    <row r="1355" customFormat="false" ht="12.8" hidden="false" customHeight="false" outlineLevel="0" collapsed="false">
      <c r="A1355" s="0" t="s">
        <v>1983</v>
      </c>
      <c r="B1355" s="0" t="s">
        <v>30</v>
      </c>
      <c r="C1355" s="0" t="s">
        <v>31</v>
      </c>
      <c r="D1355" s="0" t="s">
        <v>20</v>
      </c>
      <c r="E1355" s="0" t="n">
        <v>25247.08</v>
      </c>
      <c r="F1355" s="0" t="n">
        <v>194</v>
      </c>
      <c r="G1355" s="0" t="str">
        <f aca="false">IF(F1355&lt;=30,"Current",IF(F1355&lt;=60,"31 to 60 days",IF(F1355&lt;=90,"61 to 90 days",IF(F1355&lt;=120,"91 to 120 days","Over 120 days"))))</f>
        <v>Over 120 days</v>
      </c>
      <c r="H1355" s="0" t="n">
        <f aca="false">VLOOKUP(D1355,Rates!$A$4:$B$7,2,FALSE())</f>
        <v>0.05</v>
      </c>
      <c r="I1355" s="0" t="n">
        <f aca="false">VLOOKUP(F1355,Rates!$D$4:$E$8,2)</f>
        <v>0.85</v>
      </c>
      <c r="J1355" s="0" t="n">
        <f aca="false">ROUND(E1355*I1355,2)</f>
        <v>21460.02</v>
      </c>
      <c r="K1355" s="1" t="n">
        <f aca="false">PV(H1355/12,F1355/30,0,-E1355)</f>
        <v>24577.270191196</v>
      </c>
      <c r="L1355" s="0" t="n">
        <f aca="false">ROUND(E1355-K1355,2)</f>
        <v>669.81</v>
      </c>
      <c r="M1355" s="0" t="n">
        <f aca="false">F1355/E1355</f>
        <v>0.00768405692856362</v>
      </c>
    </row>
    <row r="1356" customFormat="false" ht="12.8" hidden="false" customHeight="false" outlineLevel="0" collapsed="false">
      <c r="A1356" s="0" t="s">
        <v>1984</v>
      </c>
      <c r="B1356" s="0" t="s">
        <v>28</v>
      </c>
      <c r="C1356" s="0" t="s">
        <v>15</v>
      </c>
      <c r="D1356" s="0" t="s">
        <v>20</v>
      </c>
      <c r="E1356" s="0" t="n">
        <v>32023.68</v>
      </c>
      <c r="F1356" s="0" t="n">
        <v>94</v>
      </c>
      <c r="G1356" s="0" t="str">
        <f aca="false">IF(F1356&lt;=30,"Current",IF(F1356&lt;=60,"31 to 60 days",IF(F1356&lt;=90,"61 to 90 days",IF(F1356&lt;=120,"91 to 120 days","Over 120 days"))))</f>
        <v>91 to 120 days</v>
      </c>
      <c r="H1356" s="0" t="n">
        <f aca="false">VLOOKUP(D1356,Rates!$A$4:$B$7,2,FALSE())</f>
        <v>0.05</v>
      </c>
      <c r="I1356" s="0" t="n">
        <f aca="false">VLOOKUP(F1356,Rates!$D$4:$E$8,2)</f>
        <v>0.5</v>
      </c>
      <c r="J1356" s="0" t="n">
        <f aca="false">ROUND(E1356*I1356,2)</f>
        <v>16011.84</v>
      </c>
      <c r="K1356" s="1" t="n">
        <f aca="false">PV(H1356/12,F1356/30,0,-E1356)</f>
        <v>31609.1677546817</v>
      </c>
      <c r="L1356" s="0" t="n">
        <f aca="false">ROUND(E1356-K1356,2)</f>
        <v>414.51</v>
      </c>
      <c r="M1356" s="0" t="n">
        <f aca="false">F1356/E1356</f>
        <v>0.00293532785738553</v>
      </c>
    </row>
    <row r="1357" customFormat="false" ht="12.8" hidden="false" customHeight="false" outlineLevel="0" collapsed="false">
      <c r="A1357" s="0" t="s">
        <v>1985</v>
      </c>
      <c r="B1357" s="0" t="s">
        <v>120</v>
      </c>
      <c r="C1357" s="0" t="s">
        <v>31</v>
      </c>
      <c r="D1357" s="0" t="s">
        <v>23</v>
      </c>
      <c r="E1357" s="0" t="n">
        <v>6433.84</v>
      </c>
      <c r="F1357" s="0" t="n">
        <v>39</v>
      </c>
      <c r="G1357" s="0" t="str">
        <f aca="false">IF(F1357&lt;=30,"Current",IF(F1357&lt;=60,"31 to 60 days",IF(F1357&lt;=90,"61 to 90 days",IF(F1357&lt;=120,"91 to 120 days","Over 120 days"))))</f>
        <v>31 to 60 days</v>
      </c>
      <c r="H1357" s="0" t="n">
        <f aca="false">VLOOKUP(D1357,Rates!$A$4:$B$7,2,FALSE())</f>
        <v>0.115</v>
      </c>
      <c r="I1357" s="0" t="n">
        <f aca="false">VLOOKUP(F1357,Rates!$D$4:$E$8,2)</f>
        <v>0.1</v>
      </c>
      <c r="J1357" s="0" t="n">
        <f aca="false">ROUND(E1357*I1357,2)</f>
        <v>643.38</v>
      </c>
      <c r="K1357" s="1" t="n">
        <f aca="false">PV(H1357/12,F1357/30,0,-E1357)</f>
        <v>6354.55923345337</v>
      </c>
      <c r="L1357" s="0" t="n">
        <f aca="false">ROUND(E1357-K1357,2)</f>
        <v>79.28</v>
      </c>
      <c r="M1357" s="0" t="n">
        <f aca="false">F1357/E1357</f>
        <v>0.00606169876776544</v>
      </c>
    </row>
    <row r="1358" customFormat="false" ht="12.8" hidden="false" customHeight="false" outlineLevel="0" collapsed="false">
      <c r="A1358" s="0" t="s">
        <v>1986</v>
      </c>
      <c r="B1358" s="0" t="s">
        <v>28</v>
      </c>
      <c r="C1358" s="0" t="s">
        <v>15</v>
      </c>
      <c r="D1358" s="0" t="s">
        <v>20</v>
      </c>
      <c r="E1358" s="0" t="n">
        <v>8603.1</v>
      </c>
      <c r="F1358" s="0" t="n">
        <v>312</v>
      </c>
      <c r="G1358" s="0" t="str">
        <f aca="false">IF(F1358&lt;=30,"Current",IF(F1358&lt;=60,"31 to 60 days",IF(F1358&lt;=90,"61 to 90 days",IF(F1358&lt;=120,"91 to 120 days","Over 120 days"))))</f>
        <v>Over 120 days</v>
      </c>
      <c r="H1358" s="0" t="n">
        <f aca="false">VLOOKUP(D1358,Rates!$A$4:$B$7,2,FALSE())</f>
        <v>0.05</v>
      </c>
      <c r="I1358" s="0" t="n">
        <f aca="false">VLOOKUP(F1358,Rates!$D$4:$E$8,2)</f>
        <v>0.85</v>
      </c>
      <c r="J1358" s="0" t="n">
        <f aca="false">ROUND(E1358*I1358,2)</f>
        <v>7312.64</v>
      </c>
      <c r="K1358" s="1" t="n">
        <f aca="false">PV(H1358/12,F1358/30,0,-E1358)</f>
        <v>8239.00264096445</v>
      </c>
      <c r="L1358" s="0" t="n">
        <f aca="false">ROUND(E1358-K1358,2)</f>
        <v>364.1</v>
      </c>
      <c r="M1358" s="0" t="n">
        <f aca="false">F1358/E1358</f>
        <v>0.0362659971405656</v>
      </c>
    </row>
    <row r="1359" customFormat="false" ht="12.8" hidden="false" customHeight="false" outlineLevel="0" collapsed="false">
      <c r="A1359" s="0" t="s">
        <v>1987</v>
      </c>
      <c r="B1359" s="0" t="s">
        <v>737</v>
      </c>
      <c r="C1359" s="0" t="s">
        <v>36</v>
      </c>
      <c r="D1359" s="0" t="s">
        <v>49</v>
      </c>
      <c r="E1359" s="0" t="n">
        <v>209.07</v>
      </c>
      <c r="F1359" s="0" t="n">
        <v>73</v>
      </c>
      <c r="G1359" s="0" t="str">
        <f aca="false">IF(F1359&lt;=30,"Current",IF(F1359&lt;=60,"31 to 60 days",IF(F1359&lt;=90,"61 to 90 days",IF(F1359&lt;=120,"91 to 120 days","Over 120 days"))))</f>
        <v>61 to 90 days</v>
      </c>
      <c r="H1359" s="0" t="n">
        <f aca="false">VLOOKUP(D1359,Rates!$A$4:$B$7,2,FALSE())</f>
        <v>0.02</v>
      </c>
      <c r="I1359" s="0" t="n">
        <f aca="false">VLOOKUP(F1359,Rates!$D$4:$E$8,2)</f>
        <v>0.25</v>
      </c>
      <c r="J1359" s="0" t="n">
        <f aca="false">ROUND(E1359*I1359,2)</f>
        <v>52.27</v>
      </c>
      <c r="K1359" s="1" t="n">
        <f aca="false">PV(H1359/12,F1359/30,0,-E1359)</f>
        <v>208.224524960348</v>
      </c>
      <c r="L1359" s="0" t="n">
        <f aca="false">ROUND(E1359-K1359,2)</f>
        <v>0.85</v>
      </c>
      <c r="M1359" s="0" t="n">
        <f aca="false">F1359/E1359</f>
        <v>0.34916535131774</v>
      </c>
    </row>
    <row r="1360" customFormat="false" ht="12.8" hidden="false" customHeight="false" outlineLevel="0" collapsed="false">
      <c r="A1360" s="0" t="s">
        <v>1988</v>
      </c>
      <c r="B1360" s="0" t="s">
        <v>30</v>
      </c>
      <c r="C1360" s="0" t="s">
        <v>31</v>
      </c>
      <c r="D1360" s="0" t="s">
        <v>20</v>
      </c>
      <c r="E1360" s="0" t="n">
        <v>38542.41</v>
      </c>
      <c r="F1360" s="0" t="n">
        <v>384</v>
      </c>
      <c r="G1360" s="0" t="str">
        <f aca="false">IF(F1360&lt;=30,"Current",IF(F1360&lt;=60,"31 to 60 days",IF(F1360&lt;=90,"61 to 90 days",IF(F1360&lt;=120,"91 to 120 days","Over 120 days"))))</f>
        <v>Over 120 days</v>
      </c>
      <c r="H1360" s="0" t="n">
        <f aca="false">VLOOKUP(D1360,Rates!$A$4:$B$7,2,FALSE())</f>
        <v>0.05</v>
      </c>
      <c r="I1360" s="0" t="n">
        <f aca="false">VLOOKUP(F1360,Rates!$D$4:$E$8,2)</f>
        <v>0.85</v>
      </c>
      <c r="J1360" s="0" t="n">
        <f aca="false">ROUND(E1360*I1360,2)</f>
        <v>32761.05</v>
      </c>
      <c r="K1360" s="1" t="n">
        <f aca="false">PV(H1360/12,F1360/30,0,-E1360)</f>
        <v>36544.7180794261</v>
      </c>
      <c r="L1360" s="0" t="n">
        <f aca="false">ROUND(E1360-K1360,2)</f>
        <v>1997.69</v>
      </c>
      <c r="M1360" s="0" t="n">
        <f aca="false">F1360/E1360</f>
        <v>0.00996305109099301</v>
      </c>
    </row>
    <row r="1361" customFormat="false" ht="12.8" hidden="false" customHeight="false" outlineLevel="0" collapsed="false">
      <c r="A1361" s="0" t="s">
        <v>1989</v>
      </c>
      <c r="B1361" s="0" t="s">
        <v>1990</v>
      </c>
      <c r="C1361" s="0" t="s">
        <v>31</v>
      </c>
      <c r="D1361" s="0" t="s">
        <v>49</v>
      </c>
      <c r="E1361" s="0" t="n">
        <v>5325.75</v>
      </c>
      <c r="F1361" s="0" t="n">
        <v>213</v>
      </c>
      <c r="G1361" s="0" t="str">
        <f aca="false">IF(F1361&lt;=30,"Current",IF(F1361&lt;=60,"31 to 60 days",IF(F1361&lt;=90,"61 to 90 days",IF(F1361&lt;=120,"91 to 120 days","Over 120 days"))))</f>
        <v>Over 120 days</v>
      </c>
      <c r="H1361" s="0" t="n">
        <f aca="false">VLOOKUP(D1361,Rates!$A$4:$B$7,2,FALSE())</f>
        <v>0.02</v>
      </c>
      <c r="I1361" s="0" t="n">
        <f aca="false">VLOOKUP(F1361,Rates!$D$4:$E$8,2)</f>
        <v>0.85</v>
      </c>
      <c r="J1361" s="0" t="n">
        <f aca="false">ROUND(E1361*I1361,2)</f>
        <v>4526.89</v>
      </c>
      <c r="K1361" s="1" t="n">
        <f aca="false">PV(H1361/12,F1361/30,0,-E1361)</f>
        <v>5263.15187769391</v>
      </c>
      <c r="L1361" s="0" t="n">
        <f aca="false">ROUND(E1361-K1361,2)</f>
        <v>62.6</v>
      </c>
      <c r="M1361" s="0" t="n">
        <f aca="false">F1361/E1361</f>
        <v>0.0399943669905647</v>
      </c>
    </row>
    <row r="1362" customFormat="false" ht="12.8" hidden="false" customHeight="false" outlineLevel="0" collapsed="false">
      <c r="A1362" s="0" t="s">
        <v>1991</v>
      </c>
      <c r="B1362" s="0" t="s">
        <v>198</v>
      </c>
      <c r="C1362" s="0" t="s">
        <v>19</v>
      </c>
      <c r="D1362" s="0" t="s">
        <v>23</v>
      </c>
      <c r="E1362" s="0" t="n">
        <v>9796.47</v>
      </c>
      <c r="F1362" s="0" t="n">
        <v>186</v>
      </c>
      <c r="G1362" s="0" t="str">
        <f aca="false">IF(F1362&lt;=30,"Current",IF(F1362&lt;=60,"31 to 60 days",IF(F1362&lt;=90,"61 to 90 days",IF(F1362&lt;=120,"91 to 120 days","Over 120 days"))))</f>
        <v>Over 120 days</v>
      </c>
      <c r="H1362" s="0" t="n">
        <f aca="false">VLOOKUP(D1362,Rates!$A$4:$B$7,2,FALSE())</f>
        <v>0.115</v>
      </c>
      <c r="I1362" s="0" t="n">
        <f aca="false">VLOOKUP(F1362,Rates!$D$4:$E$8,2)</f>
        <v>0.85</v>
      </c>
      <c r="J1362" s="0" t="n">
        <f aca="false">ROUND(E1362*I1362,2)</f>
        <v>8327</v>
      </c>
      <c r="K1362" s="1" t="n">
        <f aca="false">PV(H1362/12,F1362/30,0,-E1362)</f>
        <v>9233.96329346393</v>
      </c>
      <c r="L1362" s="0" t="n">
        <f aca="false">ROUND(E1362-K1362,2)</f>
        <v>562.51</v>
      </c>
      <c r="M1362" s="0" t="n">
        <f aca="false">F1362/E1362</f>
        <v>0.0189864308266141</v>
      </c>
    </row>
    <row r="1363" customFormat="false" ht="12.8" hidden="false" customHeight="false" outlineLevel="0" collapsed="false">
      <c r="A1363" s="0" t="s">
        <v>1992</v>
      </c>
      <c r="B1363" s="0" t="s">
        <v>97</v>
      </c>
      <c r="C1363" s="0" t="s">
        <v>42</v>
      </c>
      <c r="D1363" s="0" t="s">
        <v>20</v>
      </c>
      <c r="E1363" s="0" t="n">
        <v>11736.65</v>
      </c>
      <c r="F1363" s="0" t="n">
        <v>140</v>
      </c>
      <c r="G1363" s="0" t="str">
        <f aca="false">IF(F1363&lt;=30,"Current",IF(F1363&lt;=60,"31 to 60 days",IF(F1363&lt;=90,"61 to 90 days",IF(F1363&lt;=120,"91 to 120 days","Over 120 days"))))</f>
        <v>Over 120 days</v>
      </c>
      <c r="H1363" s="0" t="n">
        <f aca="false">VLOOKUP(D1363,Rates!$A$4:$B$7,2,FALSE())</f>
        <v>0.05</v>
      </c>
      <c r="I1363" s="0" t="n">
        <f aca="false">VLOOKUP(F1363,Rates!$D$4:$E$8,2)</f>
        <v>0.85</v>
      </c>
      <c r="J1363" s="0" t="n">
        <f aca="false">ROUND(E1363*I1363,2)</f>
        <v>9976.15</v>
      </c>
      <c r="K1363" s="1" t="n">
        <f aca="false">PV(H1363/12,F1363/30,0,-E1363)</f>
        <v>11511.1067898077</v>
      </c>
      <c r="L1363" s="0" t="n">
        <f aca="false">ROUND(E1363-K1363,2)</f>
        <v>225.54</v>
      </c>
      <c r="M1363" s="0" t="n">
        <f aca="false">F1363/E1363</f>
        <v>0.0119284463624629</v>
      </c>
    </row>
    <row r="1364" customFormat="false" ht="12.8" hidden="false" customHeight="false" outlineLevel="0" collapsed="false">
      <c r="A1364" s="0" t="s">
        <v>1993</v>
      </c>
      <c r="B1364" s="0" t="s">
        <v>1503</v>
      </c>
      <c r="C1364" s="0" t="s">
        <v>42</v>
      </c>
      <c r="D1364" s="0" t="s">
        <v>49</v>
      </c>
      <c r="E1364" s="0" t="n">
        <v>23160.24</v>
      </c>
      <c r="F1364" s="0" t="n">
        <v>390</v>
      </c>
      <c r="G1364" s="0" t="str">
        <f aca="false">IF(F1364&lt;=30,"Current",IF(F1364&lt;=60,"31 to 60 days",IF(F1364&lt;=90,"61 to 90 days",IF(F1364&lt;=120,"91 to 120 days","Over 120 days"))))</f>
        <v>Over 120 days</v>
      </c>
      <c r="H1364" s="0" t="n">
        <f aca="false">VLOOKUP(D1364,Rates!$A$4:$B$7,2,FALSE())</f>
        <v>0.02</v>
      </c>
      <c r="I1364" s="0" t="n">
        <f aca="false">VLOOKUP(F1364,Rates!$D$4:$E$8,2)</f>
        <v>0.85</v>
      </c>
      <c r="J1364" s="0" t="n">
        <f aca="false">ROUND(E1364*I1364,2)</f>
        <v>19686.2</v>
      </c>
      <c r="K1364" s="1" t="n">
        <f aca="false">PV(H1364/12,F1364/30,0,-E1364)</f>
        <v>22664.2407307936</v>
      </c>
      <c r="L1364" s="0" t="n">
        <f aca="false">ROUND(E1364-K1364,2)</f>
        <v>496</v>
      </c>
      <c r="M1364" s="0" t="n">
        <f aca="false">F1364/E1364</f>
        <v>0.0168392037388214</v>
      </c>
    </row>
    <row r="1365" customFormat="false" ht="12.8" hidden="false" customHeight="false" outlineLevel="0" collapsed="false">
      <c r="A1365" s="0" t="s">
        <v>1994</v>
      </c>
      <c r="B1365" s="0" t="s">
        <v>22</v>
      </c>
      <c r="C1365" s="0" t="s">
        <v>15</v>
      </c>
      <c r="D1365" s="0" t="s">
        <v>23</v>
      </c>
      <c r="E1365" s="0" t="n">
        <v>0</v>
      </c>
      <c r="F1365" s="0" t="n">
        <v>306</v>
      </c>
      <c r="G1365" s="0" t="str">
        <f aca="false">IF(F1365&lt;=30,"Current",IF(F1365&lt;=60,"31 to 60 days",IF(F1365&lt;=90,"61 to 90 days",IF(F1365&lt;=120,"91 to 120 days","Over 120 days"))))</f>
        <v>Over 120 days</v>
      </c>
      <c r="H1365" s="0" t="n">
        <f aca="false">VLOOKUP(D1365,Rates!$A$4:$B$7,2,FALSE())</f>
        <v>0.115</v>
      </c>
      <c r="I1365" s="0" t="n">
        <f aca="false">VLOOKUP(F1365,Rates!$D$4:$E$8,2)</f>
        <v>0.85</v>
      </c>
      <c r="J1365" s="0" t="n">
        <f aca="false">ROUND(E1365*I1365,2)</f>
        <v>0</v>
      </c>
      <c r="K1365" s="1" t="n">
        <f aca="false">PV(H1365/12,F1365/30,0,-E1365)</f>
        <v>-0</v>
      </c>
      <c r="L1365" s="0" t="n">
        <f aca="false">ROUND(E1365-K1365,2)</f>
        <v>0</v>
      </c>
      <c r="M1365" s="0" t="e">
        <f aca="false">F1365/E1365</f>
        <v>#DIV/0!</v>
      </c>
    </row>
    <row r="1366" customFormat="false" ht="12.8" hidden="false" customHeight="false" outlineLevel="0" collapsed="false">
      <c r="A1366" s="0" t="s">
        <v>1995</v>
      </c>
      <c r="B1366" s="0" t="s">
        <v>55</v>
      </c>
      <c r="C1366" s="0" t="s">
        <v>26</v>
      </c>
      <c r="D1366" s="0" t="s">
        <v>23</v>
      </c>
      <c r="E1366" s="0" t="n">
        <v>32593.04</v>
      </c>
      <c r="F1366" s="0" t="n">
        <v>209</v>
      </c>
      <c r="G1366" s="0" t="str">
        <f aca="false">IF(F1366&lt;=30,"Current",IF(F1366&lt;=60,"31 to 60 days",IF(F1366&lt;=90,"61 to 90 days",IF(F1366&lt;=120,"91 to 120 days","Over 120 days"))))</f>
        <v>Over 120 days</v>
      </c>
      <c r="H1366" s="0" t="n">
        <f aca="false">VLOOKUP(D1366,Rates!$A$4:$B$7,2,FALSE())</f>
        <v>0.115</v>
      </c>
      <c r="I1366" s="0" t="n">
        <f aca="false">VLOOKUP(F1366,Rates!$D$4:$E$8,2)</f>
        <v>0.85</v>
      </c>
      <c r="J1366" s="0" t="n">
        <f aca="false">ROUND(E1366*I1366,2)</f>
        <v>27704.08</v>
      </c>
      <c r="K1366" s="1" t="n">
        <f aca="false">PV(H1366/12,F1366/30,0,-E1366)</f>
        <v>30497.7454364789</v>
      </c>
      <c r="L1366" s="0" t="n">
        <f aca="false">ROUND(E1366-K1366,2)</f>
        <v>2095.29</v>
      </c>
      <c r="M1366" s="0" t="n">
        <f aca="false">F1366/E1366</f>
        <v>0.00641241197507198</v>
      </c>
    </row>
    <row r="1367" customFormat="false" ht="12.8" hidden="false" customHeight="false" outlineLevel="0" collapsed="false">
      <c r="A1367" s="0" t="s">
        <v>1996</v>
      </c>
      <c r="B1367" s="0" t="s">
        <v>1997</v>
      </c>
      <c r="C1367" s="0" t="s">
        <v>36</v>
      </c>
      <c r="D1367" s="0" t="s">
        <v>16</v>
      </c>
      <c r="E1367" s="0" t="n">
        <v>15698.62</v>
      </c>
      <c r="F1367" s="0" t="n">
        <v>94</v>
      </c>
      <c r="G1367" s="0" t="str">
        <f aca="false">IF(F1367&lt;=30,"Current",IF(F1367&lt;=60,"31 to 60 days",IF(F1367&lt;=90,"61 to 90 days",IF(F1367&lt;=120,"91 to 120 days","Over 120 days"))))</f>
        <v>91 to 120 days</v>
      </c>
      <c r="H1367" s="0" t="n">
        <f aca="false">VLOOKUP(D1367,Rates!$A$4:$B$7,2,FALSE())</f>
        <v>0.085</v>
      </c>
      <c r="I1367" s="0" t="n">
        <f aca="false">VLOOKUP(F1367,Rates!$D$4:$E$8,2)</f>
        <v>0.5</v>
      </c>
      <c r="J1367" s="0" t="n">
        <f aca="false">ROUND(E1367*I1367,2)</f>
        <v>7849.31</v>
      </c>
      <c r="K1367" s="1" t="n">
        <f aca="false">PV(H1367/12,F1367/30,0,-E1367)</f>
        <v>15355.2372082939</v>
      </c>
      <c r="L1367" s="0" t="n">
        <f aca="false">ROUND(E1367-K1367,2)</f>
        <v>343.38</v>
      </c>
      <c r="M1367" s="0" t="n">
        <f aca="false">F1367/E1367</f>
        <v>0.00598778746157306</v>
      </c>
    </row>
    <row r="1368" customFormat="false" ht="12.8" hidden="false" customHeight="false" outlineLevel="0" collapsed="false">
      <c r="A1368" s="0" t="s">
        <v>1998</v>
      </c>
      <c r="B1368" s="0" t="s">
        <v>1999</v>
      </c>
      <c r="C1368" s="0" t="s">
        <v>15</v>
      </c>
      <c r="D1368" s="0" t="s">
        <v>49</v>
      </c>
      <c r="E1368" s="0" t="n">
        <v>165.49</v>
      </c>
      <c r="F1368" s="0" t="n">
        <v>64</v>
      </c>
      <c r="G1368" s="0" t="str">
        <f aca="false">IF(F1368&lt;=30,"Current",IF(F1368&lt;=60,"31 to 60 days",IF(F1368&lt;=90,"61 to 90 days",IF(F1368&lt;=120,"91 to 120 days","Over 120 days"))))</f>
        <v>61 to 90 days</v>
      </c>
      <c r="H1368" s="0" t="n">
        <f aca="false">VLOOKUP(D1368,Rates!$A$4:$B$7,2,FALSE())</f>
        <v>0.02</v>
      </c>
      <c r="I1368" s="0" t="n">
        <f aca="false">VLOOKUP(F1368,Rates!$D$4:$E$8,2)</f>
        <v>0.25</v>
      </c>
      <c r="J1368" s="0" t="n">
        <f aca="false">ROUND(E1368*I1368,2)</f>
        <v>41.37</v>
      </c>
      <c r="K1368" s="1" t="n">
        <f aca="false">PV(H1368/12,F1368/30,0,-E1368)</f>
        <v>164.903123991598</v>
      </c>
      <c r="L1368" s="0" t="n">
        <f aca="false">ROUND(E1368-K1368,2)</f>
        <v>0.59</v>
      </c>
      <c r="M1368" s="0" t="n">
        <f aca="false">F1368/E1368</f>
        <v>0.38673031603118</v>
      </c>
    </row>
    <row r="1369" customFormat="false" ht="12.8" hidden="false" customHeight="false" outlineLevel="0" collapsed="false">
      <c r="A1369" s="0" t="s">
        <v>2000</v>
      </c>
      <c r="B1369" s="0" t="s">
        <v>1062</v>
      </c>
      <c r="C1369" s="0" t="s">
        <v>19</v>
      </c>
      <c r="D1369" s="0" t="s">
        <v>49</v>
      </c>
      <c r="E1369" s="0" t="n">
        <v>11400.53</v>
      </c>
      <c r="F1369" s="0" t="n">
        <v>236</v>
      </c>
      <c r="G1369" s="0" t="str">
        <f aca="false">IF(F1369&lt;=30,"Current",IF(F1369&lt;=60,"31 to 60 days",IF(F1369&lt;=90,"61 to 90 days",IF(F1369&lt;=120,"91 to 120 days","Over 120 days"))))</f>
        <v>Over 120 days</v>
      </c>
      <c r="H1369" s="0" t="n">
        <f aca="false">VLOOKUP(D1369,Rates!$A$4:$B$7,2,FALSE())</f>
        <v>0.02</v>
      </c>
      <c r="I1369" s="0" t="n">
        <f aca="false">VLOOKUP(F1369,Rates!$D$4:$E$8,2)</f>
        <v>0.85</v>
      </c>
      <c r="J1369" s="0" t="n">
        <f aca="false">ROUND(E1369*I1369,2)</f>
        <v>9690.45</v>
      </c>
      <c r="K1369" s="1" t="n">
        <f aca="false">PV(H1369/12,F1369/30,0,-E1369)</f>
        <v>11252.1548016957</v>
      </c>
      <c r="L1369" s="0" t="n">
        <f aca="false">ROUND(E1369-K1369,2)</f>
        <v>148.38</v>
      </c>
      <c r="M1369" s="0" t="n">
        <f aca="false">F1369/E1369</f>
        <v>0.0207007919807237</v>
      </c>
    </row>
    <row r="1370" customFormat="false" ht="12.8" hidden="false" customHeight="false" outlineLevel="0" collapsed="false">
      <c r="A1370" s="0" t="s">
        <v>2001</v>
      </c>
      <c r="B1370" s="0" t="s">
        <v>2002</v>
      </c>
      <c r="C1370" s="0" t="s">
        <v>31</v>
      </c>
      <c r="D1370" s="0" t="s">
        <v>49</v>
      </c>
      <c r="E1370" s="0" t="n">
        <v>44342.02</v>
      </c>
      <c r="F1370" s="0" t="n">
        <v>183</v>
      </c>
      <c r="G1370" s="0" t="str">
        <f aca="false">IF(F1370&lt;=30,"Current",IF(F1370&lt;=60,"31 to 60 days",IF(F1370&lt;=90,"61 to 90 days",IF(F1370&lt;=120,"91 to 120 days","Over 120 days"))))</f>
        <v>Over 120 days</v>
      </c>
      <c r="H1370" s="0" t="n">
        <f aca="false">VLOOKUP(D1370,Rates!$A$4:$B$7,2,FALSE())</f>
        <v>0.02</v>
      </c>
      <c r="I1370" s="0" t="n">
        <f aca="false">VLOOKUP(F1370,Rates!$D$4:$E$8,2)</f>
        <v>0.85</v>
      </c>
      <c r="J1370" s="0" t="n">
        <f aca="false">ROUND(E1370*I1370,2)</f>
        <v>37690.72</v>
      </c>
      <c r="K1370" s="1" t="n">
        <f aca="false">PV(H1370/12,F1370/30,0,-E1370)</f>
        <v>43893.864801536</v>
      </c>
      <c r="L1370" s="0" t="n">
        <f aca="false">ROUND(E1370-K1370,2)</f>
        <v>448.16</v>
      </c>
      <c r="M1370" s="0" t="n">
        <f aca="false">F1370/E1370</f>
        <v>0.00412701090297645</v>
      </c>
    </row>
    <row r="1371" customFormat="false" ht="12.8" hidden="false" customHeight="false" outlineLevel="0" collapsed="false">
      <c r="A1371" s="0" t="s">
        <v>2003</v>
      </c>
      <c r="B1371" s="0" t="s">
        <v>97</v>
      </c>
      <c r="C1371" s="0" t="s">
        <v>42</v>
      </c>
      <c r="D1371" s="0" t="s">
        <v>20</v>
      </c>
      <c r="E1371" s="0" t="n">
        <v>27742.03</v>
      </c>
      <c r="F1371" s="0" t="n">
        <v>369</v>
      </c>
      <c r="G1371" s="0" t="str">
        <f aca="false">IF(F1371&lt;=30,"Current",IF(F1371&lt;=60,"31 to 60 days",IF(F1371&lt;=90,"61 to 90 days",IF(F1371&lt;=120,"91 to 120 days","Over 120 days"))))</f>
        <v>Over 120 days</v>
      </c>
      <c r="H1371" s="0" t="n">
        <f aca="false">VLOOKUP(D1371,Rates!$A$4:$B$7,2,FALSE())</f>
        <v>0.05</v>
      </c>
      <c r="I1371" s="0" t="n">
        <f aca="false">VLOOKUP(F1371,Rates!$D$4:$E$8,2)</f>
        <v>0.85</v>
      </c>
      <c r="J1371" s="0" t="n">
        <f aca="false">ROUND(E1371*I1371,2)</f>
        <v>23580.73</v>
      </c>
      <c r="K1371" s="1" t="n">
        <f aca="false">PV(H1371/12,F1371/30,0,-E1371)</f>
        <v>26358.875961616</v>
      </c>
      <c r="L1371" s="0" t="n">
        <f aca="false">ROUND(E1371-K1371,2)</f>
        <v>1383.15</v>
      </c>
      <c r="M1371" s="0" t="n">
        <f aca="false">F1371/E1371</f>
        <v>0.0133011174740998</v>
      </c>
    </row>
    <row r="1372" customFormat="false" ht="12.8" hidden="false" customHeight="false" outlineLevel="0" collapsed="false">
      <c r="A1372" s="0" t="s">
        <v>2004</v>
      </c>
      <c r="B1372" s="0" t="s">
        <v>2005</v>
      </c>
      <c r="C1372" s="0" t="s">
        <v>15</v>
      </c>
      <c r="D1372" s="0" t="s">
        <v>49</v>
      </c>
      <c r="E1372" s="0" t="n">
        <v>16287.97</v>
      </c>
      <c r="F1372" s="0" t="n">
        <v>64</v>
      </c>
      <c r="G1372" s="0" t="str">
        <f aca="false">IF(F1372&lt;=30,"Current",IF(F1372&lt;=60,"31 to 60 days",IF(F1372&lt;=90,"61 to 90 days",IF(F1372&lt;=120,"91 to 120 days","Over 120 days"))))</f>
        <v>61 to 90 days</v>
      </c>
      <c r="H1372" s="0" t="n">
        <f aca="false">VLOOKUP(D1372,Rates!$A$4:$B$7,2,FALSE())</f>
        <v>0.02</v>
      </c>
      <c r="I1372" s="0" t="n">
        <f aca="false">VLOOKUP(F1372,Rates!$D$4:$E$8,2)</f>
        <v>0.25</v>
      </c>
      <c r="J1372" s="0" t="n">
        <f aca="false">ROUND(E1372*I1372,2)</f>
        <v>4071.99</v>
      </c>
      <c r="K1372" s="1" t="n">
        <f aca="false">PV(H1372/12,F1372/30,0,-E1372)</f>
        <v>16230.2080879897</v>
      </c>
      <c r="L1372" s="0" t="n">
        <f aca="false">ROUND(E1372-K1372,2)</f>
        <v>57.76</v>
      </c>
      <c r="M1372" s="0" t="n">
        <f aca="false">F1372/E1372</f>
        <v>0.00392928032161159</v>
      </c>
    </row>
    <row r="1373" customFormat="false" ht="12.8" hidden="false" customHeight="false" outlineLevel="0" collapsed="false">
      <c r="A1373" s="0" t="s">
        <v>2006</v>
      </c>
      <c r="B1373" s="0" t="s">
        <v>2007</v>
      </c>
      <c r="C1373" s="0" t="s">
        <v>26</v>
      </c>
      <c r="D1373" s="0" t="s">
        <v>49</v>
      </c>
      <c r="E1373" s="0" t="n">
        <v>22555.54</v>
      </c>
      <c r="F1373" s="0" t="n">
        <v>382</v>
      </c>
      <c r="G1373" s="0" t="str">
        <f aca="false">IF(F1373&lt;=30,"Current",IF(F1373&lt;=60,"31 to 60 days",IF(F1373&lt;=90,"61 to 90 days",IF(F1373&lt;=120,"91 to 120 days","Over 120 days"))))</f>
        <v>Over 120 days</v>
      </c>
      <c r="H1373" s="0" t="n">
        <f aca="false">VLOOKUP(D1373,Rates!$A$4:$B$7,2,FALSE())</f>
        <v>0.02</v>
      </c>
      <c r="I1373" s="0" t="n">
        <f aca="false">VLOOKUP(F1373,Rates!$D$4:$E$8,2)</f>
        <v>0.85</v>
      </c>
      <c r="J1373" s="0" t="n">
        <f aca="false">ROUND(E1373*I1373,2)</f>
        <v>19172.21</v>
      </c>
      <c r="K1373" s="1" t="n">
        <f aca="false">PV(H1373/12,F1373/30,0,-E1373)</f>
        <v>22082.2949815076</v>
      </c>
      <c r="L1373" s="0" t="n">
        <f aca="false">ROUND(E1373-K1373,2)</f>
        <v>473.25</v>
      </c>
      <c r="M1373" s="0" t="n">
        <f aca="false">F1373/E1373</f>
        <v>0.0169359722711139</v>
      </c>
    </row>
    <row r="1374" customFormat="false" ht="12.8" hidden="false" customHeight="false" outlineLevel="0" collapsed="false">
      <c r="A1374" s="0" t="s">
        <v>2008</v>
      </c>
      <c r="B1374" s="0" t="s">
        <v>30</v>
      </c>
      <c r="C1374" s="0" t="s">
        <v>31</v>
      </c>
      <c r="D1374" s="0" t="s">
        <v>20</v>
      </c>
      <c r="E1374" s="0" t="n">
        <v>520.75</v>
      </c>
      <c r="F1374" s="0" t="n">
        <v>258</v>
      </c>
      <c r="G1374" s="0" t="str">
        <f aca="false">IF(F1374&lt;=30,"Current",IF(F1374&lt;=60,"31 to 60 days",IF(F1374&lt;=90,"61 to 90 days",IF(F1374&lt;=120,"91 to 120 days","Over 120 days"))))</f>
        <v>Over 120 days</v>
      </c>
      <c r="H1374" s="0" t="n">
        <f aca="false">VLOOKUP(D1374,Rates!$A$4:$B$7,2,FALSE())</f>
        <v>0.05</v>
      </c>
      <c r="I1374" s="0" t="n">
        <f aca="false">VLOOKUP(F1374,Rates!$D$4:$E$8,2)</f>
        <v>0.85</v>
      </c>
      <c r="J1374" s="0" t="n">
        <f aca="false">ROUND(E1374*I1374,2)</f>
        <v>442.64</v>
      </c>
      <c r="K1374" s="1" t="n">
        <f aca="false">PV(H1374/12,F1374/30,0,-E1374)</f>
        <v>502.457567138686</v>
      </c>
      <c r="L1374" s="0" t="n">
        <f aca="false">ROUND(E1374-K1374,2)</f>
        <v>18.29</v>
      </c>
      <c r="M1374" s="0" t="n">
        <f aca="false">F1374/E1374</f>
        <v>0.495439270283245</v>
      </c>
    </row>
    <row r="1375" customFormat="false" ht="12.8" hidden="false" customHeight="false" outlineLevel="0" collapsed="false">
      <c r="A1375" s="0" t="s">
        <v>2009</v>
      </c>
      <c r="B1375" s="0" t="s">
        <v>74</v>
      </c>
      <c r="C1375" s="0" t="s">
        <v>31</v>
      </c>
      <c r="D1375" s="0" t="s">
        <v>23</v>
      </c>
      <c r="E1375" s="0" t="n">
        <v>14727.5</v>
      </c>
      <c r="F1375" s="0" t="n">
        <v>380</v>
      </c>
      <c r="G1375" s="0" t="str">
        <f aca="false">IF(F1375&lt;=30,"Current",IF(F1375&lt;=60,"31 to 60 days",IF(F1375&lt;=90,"61 to 90 days",IF(F1375&lt;=120,"91 to 120 days","Over 120 days"))))</f>
        <v>Over 120 days</v>
      </c>
      <c r="H1375" s="0" t="n">
        <f aca="false">VLOOKUP(D1375,Rates!$A$4:$B$7,2,FALSE())</f>
        <v>0.115</v>
      </c>
      <c r="I1375" s="0" t="n">
        <f aca="false">VLOOKUP(F1375,Rates!$D$4:$E$8,2)</f>
        <v>0.85</v>
      </c>
      <c r="J1375" s="0" t="n">
        <f aca="false">ROUND(E1375*I1375,2)</f>
        <v>12518.38</v>
      </c>
      <c r="K1375" s="1" t="n">
        <f aca="false">PV(H1375/12,F1375/30,0,-E1375)</f>
        <v>13051.5326457856</v>
      </c>
      <c r="L1375" s="0" t="n">
        <f aca="false">ROUND(E1375-K1375,2)</f>
        <v>1675.97</v>
      </c>
      <c r="M1375" s="0" t="n">
        <f aca="false">F1375/E1375</f>
        <v>0.0258020709556951</v>
      </c>
    </row>
    <row r="1376" customFormat="false" ht="12.8" hidden="false" customHeight="false" outlineLevel="0" collapsed="false">
      <c r="A1376" s="0" t="s">
        <v>2010</v>
      </c>
      <c r="B1376" s="0" t="s">
        <v>97</v>
      </c>
      <c r="C1376" s="0" t="s">
        <v>42</v>
      </c>
      <c r="D1376" s="0" t="s">
        <v>20</v>
      </c>
      <c r="E1376" s="0" t="n">
        <v>12017.22</v>
      </c>
      <c r="F1376" s="0" t="n">
        <v>46</v>
      </c>
      <c r="G1376" s="0" t="str">
        <f aca="false">IF(F1376&lt;=30,"Current",IF(F1376&lt;=60,"31 to 60 days",IF(F1376&lt;=90,"61 to 90 days",IF(F1376&lt;=120,"91 to 120 days","Over 120 days"))))</f>
        <v>31 to 60 days</v>
      </c>
      <c r="H1376" s="0" t="n">
        <f aca="false">VLOOKUP(D1376,Rates!$A$4:$B$7,2,FALSE())</f>
        <v>0.05</v>
      </c>
      <c r="I1376" s="0" t="n">
        <f aca="false">VLOOKUP(F1376,Rates!$D$4:$E$8,2)</f>
        <v>0.1</v>
      </c>
      <c r="J1376" s="0" t="n">
        <f aca="false">ROUND(E1376*I1376,2)</f>
        <v>1201.72</v>
      </c>
      <c r="K1376" s="1" t="n">
        <f aca="false">PV(H1376/12,F1376/30,0,-E1376)</f>
        <v>11940.8465477551</v>
      </c>
      <c r="L1376" s="0" t="n">
        <f aca="false">ROUND(E1376-K1376,2)</f>
        <v>76.37</v>
      </c>
      <c r="M1376" s="0" t="n">
        <f aca="false">F1376/E1376</f>
        <v>0.00382784038238461</v>
      </c>
    </row>
    <row r="1377" customFormat="false" ht="12.8" hidden="false" customHeight="false" outlineLevel="0" collapsed="false">
      <c r="A1377" s="0" t="s">
        <v>2011</v>
      </c>
      <c r="B1377" s="0" t="s">
        <v>2012</v>
      </c>
      <c r="C1377" s="0" t="s">
        <v>19</v>
      </c>
      <c r="D1377" s="0" t="s">
        <v>49</v>
      </c>
      <c r="E1377" s="0" t="n">
        <v>4759.62</v>
      </c>
      <c r="F1377" s="0" t="n">
        <v>351</v>
      </c>
      <c r="G1377" s="0" t="str">
        <f aca="false">IF(F1377&lt;=30,"Current",IF(F1377&lt;=60,"31 to 60 days",IF(F1377&lt;=90,"61 to 90 days",IF(F1377&lt;=120,"91 to 120 days","Over 120 days"))))</f>
        <v>Over 120 days</v>
      </c>
      <c r="H1377" s="0" t="n">
        <f aca="false">VLOOKUP(D1377,Rates!$A$4:$B$7,2,FALSE())</f>
        <v>0.02</v>
      </c>
      <c r="I1377" s="0" t="n">
        <f aca="false">VLOOKUP(F1377,Rates!$D$4:$E$8,2)</f>
        <v>0.85</v>
      </c>
      <c r="J1377" s="0" t="n">
        <f aca="false">ROUND(E1377*I1377,2)</f>
        <v>4045.68</v>
      </c>
      <c r="K1377" s="1" t="n">
        <f aca="false">PV(H1377/12,F1377/30,0,-E1377)</f>
        <v>4667.78224599026</v>
      </c>
      <c r="L1377" s="0" t="n">
        <f aca="false">ROUND(E1377-K1377,2)</f>
        <v>91.84</v>
      </c>
      <c r="M1377" s="0" t="n">
        <f aca="false">F1377/E1377</f>
        <v>0.0737453830347801</v>
      </c>
    </row>
    <row r="1378" customFormat="false" ht="12.8" hidden="false" customHeight="false" outlineLevel="0" collapsed="false">
      <c r="A1378" s="0" t="s">
        <v>2013</v>
      </c>
      <c r="B1378" s="0" t="s">
        <v>606</v>
      </c>
      <c r="C1378" s="0" t="s">
        <v>19</v>
      </c>
      <c r="D1378" s="0" t="s">
        <v>23</v>
      </c>
      <c r="E1378" s="0" t="n">
        <v>22427.22</v>
      </c>
      <c r="F1378" s="0" t="n">
        <v>222</v>
      </c>
      <c r="G1378" s="0" t="str">
        <f aca="false">IF(F1378&lt;=30,"Current",IF(F1378&lt;=60,"31 to 60 days",IF(F1378&lt;=90,"61 to 90 days",IF(F1378&lt;=120,"91 to 120 days","Over 120 days"))))</f>
        <v>Over 120 days</v>
      </c>
      <c r="H1378" s="0" t="n">
        <f aca="false">VLOOKUP(D1378,Rates!$A$4:$B$7,2,FALSE())</f>
        <v>0.115</v>
      </c>
      <c r="I1378" s="0" t="n">
        <f aca="false">VLOOKUP(F1378,Rates!$D$4:$E$8,2)</f>
        <v>0.85</v>
      </c>
      <c r="J1378" s="0" t="n">
        <f aca="false">ROUND(E1378*I1378,2)</f>
        <v>19063.14</v>
      </c>
      <c r="K1378" s="1" t="n">
        <f aca="false">PV(H1378/12,F1378/30,0,-E1378)</f>
        <v>20898.8970854018</v>
      </c>
      <c r="L1378" s="0" t="n">
        <f aca="false">ROUND(E1378-K1378,2)</f>
        <v>1528.32</v>
      </c>
      <c r="M1378" s="0" t="n">
        <f aca="false">F1378/E1378</f>
        <v>0.00989868561506955</v>
      </c>
    </row>
    <row r="1379" customFormat="false" ht="12.8" hidden="false" customHeight="false" outlineLevel="0" collapsed="false">
      <c r="A1379" s="0" t="s">
        <v>2014</v>
      </c>
      <c r="B1379" s="0" t="s">
        <v>28</v>
      </c>
      <c r="C1379" s="0" t="s">
        <v>15</v>
      </c>
      <c r="D1379" s="0" t="s">
        <v>20</v>
      </c>
      <c r="E1379" s="0" t="n">
        <v>25290.23</v>
      </c>
      <c r="F1379" s="0" t="n">
        <v>162</v>
      </c>
      <c r="G1379" s="0" t="str">
        <f aca="false">IF(F1379&lt;=30,"Current",IF(F1379&lt;=60,"31 to 60 days",IF(F1379&lt;=90,"61 to 90 days",IF(F1379&lt;=120,"91 to 120 days","Over 120 days"))))</f>
        <v>Over 120 days</v>
      </c>
      <c r="H1379" s="0" t="n">
        <f aca="false">VLOOKUP(D1379,Rates!$A$4:$B$7,2,FALSE())</f>
        <v>0.05</v>
      </c>
      <c r="I1379" s="0" t="n">
        <f aca="false">VLOOKUP(F1379,Rates!$D$4:$E$8,2)</f>
        <v>0.85</v>
      </c>
      <c r="J1379" s="0" t="n">
        <f aca="false">ROUND(E1379*I1379,2)</f>
        <v>21496.7</v>
      </c>
      <c r="K1379" s="1" t="n">
        <f aca="false">PV(H1379/12,F1379/30,0,-E1379)</f>
        <v>24728.7095927937</v>
      </c>
      <c r="L1379" s="0" t="n">
        <f aca="false">ROUND(E1379-K1379,2)</f>
        <v>561.52</v>
      </c>
      <c r="M1379" s="0" t="n">
        <f aca="false">F1379/E1379</f>
        <v>0.00640563569410005</v>
      </c>
    </row>
    <row r="1380" customFormat="false" ht="12.8" hidden="false" customHeight="false" outlineLevel="0" collapsed="false">
      <c r="A1380" s="0" t="s">
        <v>2015</v>
      </c>
      <c r="B1380" s="0" t="s">
        <v>2016</v>
      </c>
      <c r="C1380" s="0" t="s">
        <v>36</v>
      </c>
      <c r="D1380" s="0" t="s">
        <v>49</v>
      </c>
      <c r="E1380" s="0" t="n">
        <v>32254.2</v>
      </c>
      <c r="F1380" s="0" t="n">
        <v>138</v>
      </c>
      <c r="G1380" s="0" t="str">
        <f aca="false">IF(F1380&lt;=30,"Current",IF(F1380&lt;=60,"31 to 60 days",IF(F1380&lt;=90,"61 to 90 days",IF(F1380&lt;=120,"91 to 120 days","Over 120 days"))))</f>
        <v>Over 120 days</v>
      </c>
      <c r="H1380" s="0" t="n">
        <f aca="false">VLOOKUP(D1380,Rates!$A$4:$B$7,2,FALSE())</f>
        <v>0.02</v>
      </c>
      <c r="I1380" s="0" t="n">
        <f aca="false">VLOOKUP(F1380,Rates!$D$4:$E$8,2)</f>
        <v>0.85</v>
      </c>
      <c r="J1380" s="0" t="n">
        <f aca="false">ROUND(E1380*I1380,2)</f>
        <v>27416.07</v>
      </c>
      <c r="K1380" s="1" t="n">
        <f aca="false">PV(H1380/12,F1380/30,0,-E1380)</f>
        <v>32008.0675656875</v>
      </c>
      <c r="L1380" s="0" t="n">
        <f aca="false">ROUND(E1380-K1380,2)</f>
        <v>246.13</v>
      </c>
      <c r="M1380" s="0" t="n">
        <f aca="false">F1380/E1380</f>
        <v>0.00427851256580538</v>
      </c>
    </row>
    <row r="1381" customFormat="false" ht="12.8" hidden="false" customHeight="false" outlineLevel="0" collapsed="false">
      <c r="A1381" s="0" t="s">
        <v>2017</v>
      </c>
      <c r="B1381" s="0" t="s">
        <v>2018</v>
      </c>
      <c r="C1381" s="0" t="s">
        <v>31</v>
      </c>
      <c r="D1381" s="0" t="s">
        <v>49</v>
      </c>
      <c r="E1381" s="0" t="n">
        <v>37751.86</v>
      </c>
      <c r="F1381" s="0" t="n">
        <v>322</v>
      </c>
      <c r="G1381" s="0" t="str">
        <f aca="false">IF(F1381&lt;=30,"Current",IF(F1381&lt;=60,"31 to 60 days",IF(F1381&lt;=90,"61 to 90 days",IF(F1381&lt;=120,"91 to 120 days","Over 120 days"))))</f>
        <v>Over 120 days</v>
      </c>
      <c r="H1381" s="0" t="n">
        <f aca="false">VLOOKUP(D1381,Rates!$A$4:$B$7,2,FALSE())</f>
        <v>0.02</v>
      </c>
      <c r="I1381" s="0" t="n">
        <f aca="false">VLOOKUP(F1381,Rates!$D$4:$E$8,2)</f>
        <v>0.85</v>
      </c>
      <c r="J1381" s="0" t="n">
        <f aca="false">ROUND(E1381*I1381,2)</f>
        <v>32089.08</v>
      </c>
      <c r="K1381" s="1" t="n">
        <f aca="false">PV(H1381/12,F1381/30,0,-E1381)</f>
        <v>37083.0780377707</v>
      </c>
      <c r="L1381" s="0" t="n">
        <f aca="false">ROUND(E1381-K1381,2)</f>
        <v>668.78</v>
      </c>
      <c r="M1381" s="0" t="n">
        <f aca="false">F1381/E1381</f>
        <v>0.00852938106890627</v>
      </c>
    </row>
    <row r="1382" customFormat="false" ht="12.8" hidden="false" customHeight="false" outlineLevel="0" collapsed="false">
      <c r="A1382" s="0" t="s">
        <v>2019</v>
      </c>
      <c r="B1382" s="0" t="s">
        <v>388</v>
      </c>
      <c r="C1382" s="0" t="s">
        <v>36</v>
      </c>
      <c r="D1382" s="0" t="s">
        <v>16</v>
      </c>
      <c r="E1382" s="0" t="n">
        <v>28302.51</v>
      </c>
      <c r="F1382" s="0" t="n">
        <v>210</v>
      </c>
      <c r="G1382" s="0" t="str">
        <f aca="false">IF(F1382&lt;=30,"Current",IF(F1382&lt;=60,"31 to 60 days",IF(F1382&lt;=90,"61 to 90 days",IF(F1382&lt;=120,"91 to 120 days","Over 120 days"))))</f>
        <v>Over 120 days</v>
      </c>
      <c r="H1382" s="0" t="n">
        <f aca="false">VLOOKUP(D1382,Rates!$A$4:$B$7,2,FALSE())</f>
        <v>0.085</v>
      </c>
      <c r="I1382" s="0" t="n">
        <f aca="false">VLOOKUP(F1382,Rates!$D$4:$E$8,2)</f>
        <v>0.85</v>
      </c>
      <c r="J1382" s="0" t="n">
        <f aca="false">ROUND(E1382*I1382,2)</f>
        <v>24057.13</v>
      </c>
      <c r="K1382" s="1" t="n">
        <f aca="false">PV(H1382/12,F1382/30,0,-E1382)</f>
        <v>26938.108117146</v>
      </c>
      <c r="L1382" s="0" t="n">
        <f aca="false">ROUND(E1382-K1382,2)</f>
        <v>1364.4</v>
      </c>
      <c r="M1382" s="0" t="n">
        <f aca="false">F1382/E1382</f>
        <v>0.00741983661519773</v>
      </c>
    </row>
    <row r="1383" customFormat="false" ht="12.8" hidden="false" customHeight="false" outlineLevel="0" collapsed="false">
      <c r="A1383" s="0" t="s">
        <v>2020</v>
      </c>
      <c r="B1383" s="0" t="s">
        <v>550</v>
      </c>
      <c r="C1383" s="0" t="s">
        <v>36</v>
      </c>
      <c r="D1383" s="0" t="s">
        <v>23</v>
      </c>
      <c r="E1383" s="0" t="n">
        <v>9638.79</v>
      </c>
      <c r="F1383" s="0" t="n">
        <v>183</v>
      </c>
      <c r="G1383" s="0" t="str">
        <f aca="false">IF(F1383&lt;=30,"Current",IF(F1383&lt;=60,"31 to 60 days",IF(F1383&lt;=90,"61 to 90 days",IF(F1383&lt;=120,"91 to 120 days","Over 120 days"))))</f>
        <v>Over 120 days</v>
      </c>
      <c r="H1383" s="0" t="n">
        <f aca="false">VLOOKUP(D1383,Rates!$A$4:$B$7,2,FALSE())</f>
        <v>0.115</v>
      </c>
      <c r="I1383" s="0" t="n">
        <f aca="false">VLOOKUP(F1383,Rates!$D$4:$E$8,2)</f>
        <v>0.85</v>
      </c>
      <c r="J1383" s="0" t="n">
        <f aca="false">ROUND(E1383*I1383,2)</f>
        <v>8192.97</v>
      </c>
      <c r="K1383" s="1" t="n">
        <f aca="false">PV(H1383/12,F1383/30,0,-E1383)</f>
        <v>9094.00663260517</v>
      </c>
      <c r="L1383" s="0" t="n">
        <f aca="false">ROUND(E1383-K1383,2)</f>
        <v>544.78</v>
      </c>
      <c r="M1383" s="0" t="n">
        <f aca="false">F1383/E1383</f>
        <v>0.0189857855602207</v>
      </c>
    </row>
    <row r="1384" customFormat="false" ht="12.8" hidden="false" customHeight="false" outlineLevel="0" collapsed="false">
      <c r="A1384" s="0" t="s">
        <v>2021</v>
      </c>
      <c r="B1384" s="0" t="s">
        <v>2022</v>
      </c>
      <c r="C1384" s="0" t="s">
        <v>36</v>
      </c>
      <c r="D1384" s="0" t="s">
        <v>16</v>
      </c>
      <c r="E1384" s="0" t="n">
        <v>10296.19</v>
      </c>
      <c r="F1384" s="0" t="n">
        <v>364</v>
      </c>
      <c r="G1384" s="0" t="str">
        <f aca="false">IF(F1384&lt;=30,"Current",IF(F1384&lt;=60,"31 to 60 days",IF(F1384&lt;=90,"61 to 90 days",IF(F1384&lt;=120,"91 to 120 days","Over 120 days"))))</f>
        <v>Over 120 days</v>
      </c>
      <c r="H1384" s="0" t="n">
        <f aca="false">VLOOKUP(D1384,Rates!$A$4:$B$7,2,FALSE())</f>
        <v>0.085</v>
      </c>
      <c r="I1384" s="0" t="n">
        <f aca="false">VLOOKUP(F1384,Rates!$D$4:$E$8,2)</f>
        <v>0.85</v>
      </c>
      <c r="J1384" s="0" t="n">
        <f aca="false">ROUND(E1384*I1384,2)</f>
        <v>8751.76</v>
      </c>
      <c r="K1384" s="1" t="n">
        <f aca="false">PV(H1384/12,F1384/30,0,-E1384)</f>
        <v>9451.11228063323</v>
      </c>
      <c r="L1384" s="0" t="n">
        <f aca="false">ROUND(E1384-K1384,2)</f>
        <v>845.08</v>
      </c>
      <c r="M1384" s="0" t="n">
        <f aca="false">F1384/E1384</f>
        <v>0.035352882959619</v>
      </c>
    </row>
    <row r="1385" customFormat="false" ht="12.8" hidden="false" customHeight="false" outlineLevel="0" collapsed="false">
      <c r="A1385" s="0" t="s">
        <v>2023</v>
      </c>
      <c r="B1385" s="0" t="s">
        <v>2024</v>
      </c>
      <c r="C1385" s="0" t="s">
        <v>19</v>
      </c>
      <c r="D1385" s="0" t="s">
        <v>16</v>
      </c>
      <c r="E1385" s="0" t="n">
        <v>24450.71</v>
      </c>
      <c r="F1385" s="0" t="n">
        <v>239</v>
      </c>
      <c r="G1385" s="0" t="str">
        <f aca="false">IF(F1385&lt;=30,"Current",IF(F1385&lt;=60,"31 to 60 days",IF(F1385&lt;=90,"61 to 90 days",IF(F1385&lt;=120,"91 to 120 days","Over 120 days"))))</f>
        <v>Over 120 days</v>
      </c>
      <c r="H1385" s="0" t="n">
        <f aca="false">VLOOKUP(D1385,Rates!$A$4:$B$7,2,FALSE())</f>
        <v>0.085</v>
      </c>
      <c r="I1385" s="0" t="n">
        <f aca="false">VLOOKUP(F1385,Rates!$D$4:$E$8,2)</f>
        <v>0.85</v>
      </c>
      <c r="J1385" s="0" t="n">
        <f aca="false">ROUND(E1385*I1385,2)</f>
        <v>20783.1</v>
      </c>
      <c r="K1385" s="1" t="n">
        <f aca="false">PV(H1385/12,F1385/30,0,-E1385)</f>
        <v>23113.7486059564</v>
      </c>
      <c r="L1385" s="0" t="n">
        <f aca="false">ROUND(E1385-K1385,2)</f>
        <v>1336.96</v>
      </c>
      <c r="M1385" s="0" t="n">
        <f aca="false">F1385/E1385</f>
        <v>0.00977476727669667</v>
      </c>
    </row>
    <row r="1386" customFormat="false" ht="12.8" hidden="false" customHeight="false" outlineLevel="0" collapsed="false">
      <c r="A1386" s="0" t="s">
        <v>2025</v>
      </c>
      <c r="B1386" s="0" t="s">
        <v>2026</v>
      </c>
      <c r="C1386" s="0" t="s">
        <v>36</v>
      </c>
      <c r="D1386" s="0" t="s">
        <v>16</v>
      </c>
      <c r="E1386" s="0" t="n">
        <v>2984.9</v>
      </c>
      <c r="F1386" s="0" t="n">
        <v>51</v>
      </c>
      <c r="G1386" s="0" t="str">
        <f aca="false">IF(F1386&lt;=30,"Current",IF(F1386&lt;=60,"31 to 60 days",IF(F1386&lt;=90,"61 to 90 days",IF(F1386&lt;=120,"91 to 120 days","Over 120 days"))))</f>
        <v>31 to 60 days</v>
      </c>
      <c r="H1386" s="0" t="n">
        <f aca="false">VLOOKUP(D1386,Rates!$A$4:$B$7,2,FALSE())</f>
        <v>0.085</v>
      </c>
      <c r="I1386" s="0" t="n">
        <f aca="false">VLOOKUP(F1386,Rates!$D$4:$E$8,2)</f>
        <v>0.1</v>
      </c>
      <c r="J1386" s="0" t="n">
        <f aca="false">ROUND(E1386*I1386,2)</f>
        <v>298.49</v>
      </c>
      <c r="K1386" s="1" t="n">
        <f aca="false">PV(H1386/12,F1386/30,0,-E1386)</f>
        <v>2949.29755786963</v>
      </c>
      <c r="L1386" s="0" t="n">
        <f aca="false">ROUND(E1386-K1386,2)</f>
        <v>35.6</v>
      </c>
      <c r="M1386" s="0" t="n">
        <f aca="false">F1386/E1386</f>
        <v>0.0170859995309726</v>
      </c>
    </row>
    <row r="1387" customFormat="false" ht="12.8" hidden="false" customHeight="false" outlineLevel="0" collapsed="false">
      <c r="A1387" s="0" t="s">
        <v>2027</v>
      </c>
      <c r="B1387" s="0" t="s">
        <v>97</v>
      </c>
      <c r="C1387" s="0" t="s">
        <v>42</v>
      </c>
      <c r="D1387" s="0" t="s">
        <v>20</v>
      </c>
      <c r="E1387" s="0" t="n">
        <v>41672.08</v>
      </c>
      <c r="F1387" s="0" t="n">
        <v>89</v>
      </c>
      <c r="G1387" s="0" t="str">
        <f aca="false">IF(F1387&lt;=30,"Current",IF(F1387&lt;=60,"31 to 60 days",IF(F1387&lt;=90,"61 to 90 days",IF(F1387&lt;=120,"91 to 120 days","Over 120 days"))))</f>
        <v>61 to 90 days</v>
      </c>
      <c r="H1387" s="0" t="n">
        <f aca="false">VLOOKUP(D1387,Rates!$A$4:$B$7,2,FALSE())</f>
        <v>0.05</v>
      </c>
      <c r="I1387" s="0" t="n">
        <f aca="false">VLOOKUP(F1387,Rates!$D$4:$E$8,2)</f>
        <v>0.25</v>
      </c>
      <c r="J1387" s="0" t="n">
        <f aca="false">ROUND(E1387*I1387,2)</f>
        <v>10418.02</v>
      </c>
      <c r="K1387" s="1" t="n">
        <f aca="false">PV(H1387/12,F1387/30,0,-E1387)</f>
        <v>41161.1944443828</v>
      </c>
      <c r="L1387" s="0" t="n">
        <f aca="false">ROUND(E1387-K1387,2)</f>
        <v>510.89</v>
      </c>
      <c r="M1387" s="0" t="n">
        <f aca="false">F1387/E1387</f>
        <v>0.0021357225269293</v>
      </c>
    </row>
    <row r="1388" customFormat="false" ht="12.8" hidden="false" customHeight="false" outlineLevel="0" collapsed="false">
      <c r="A1388" s="0" t="s">
        <v>2028</v>
      </c>
      <c r="B1388" s="0" t="s">
        <v>2029</v>
      </c>
      <c r="C1388" s="0" t="s">
        <v>31</v>
      </c>
      <c r="D1388" s="0" t="s">
        <v>49</v>
      </c>
      <c r="E1388" s="0" t="n">
        <v>12437.55</v>
      </c>
      <c r="F1388" s="0" t="n">
        <v>76</v>
      </c>
      <c r="G1388" s="0" t="str">
        <f aca="false">IF(F1388&lt;=30,"Current",IF(F1388&lt;=60,"31 to 60 days",IF(F1388&lt;=90,"61 to 90 days",IF(F1388&lt;=120,"91 to 120 days","Over 120 days"))))</f>
        <v>61 to 90 days</v>
      </c>
      <c r="H1388" s="0" t="n">
        <f aca="false">VLOOKUP(D1388,Rates!$A$4:$B$7,2,FALSE())</f>
        <v>0.02</v>
      </c>
      <c r="I1388" s="0" t="n">
        <f aca="false">VLOOKUP(F1388,Rates!$D$4:$E$8,2)</f>
        <v>0.25</v>
      </c>
      <c r="J1388" s="0" t="n">
        <f aca="false">ROUND(E1388*I1388,2)</f>
        <v>3109.39</v>
      </c>
      <c r="K1388" s="1" t="n">
        <f aca="false">PV(H1388/12,F1388/30,0,-E1388)</f>
        <v>12385.1901363203</v>
      </c>
      <c r="L1388" s="0" t="n">
        <f aca="false">ROUND(E1388-K1388,2)</f>
        <v>52.36</v>
      </c>
      <c r="M1388" s="0" t="n">
        <f aca="false">F1388/E1388</f>
        <v>0.00611052819888161</v>
      </c>
    </row>
    <row r="1389" customFormat="false" ht="12.8" hidden="false" customHeight="false" outlineLevel="0" collapsed="false">
      <c r="A1389" s="0" t="s">
        <v>2030</v>
      </c>
      <c r="B1389" s="0" t="s">
        <v>2031</v>
      </c>
      <c r="C1389" s="0" t="s">
        <v>31</v>
      </c>
      <c r="D1389" s="0" t="s">
        <v>16</v>
      </c>
      <c r="E1389" s="0" t="n">
        <v>39984.25</v>
      </c>
      <c r="F1389" s="0" t="n">
        <v>80</v>
      </c>
      <c r="G1389" s="0" t="str">
        <f aca="false">IF(F1389&lt;=30,"Current",IF(F1389&lt;=60,"31 to 60 days",IF(F1389&lt;=90,"61 to 90 days",IF(F1389&lt;=120,"91 to 120 days","Over 120 days"))))</f>
        <v>61 to 90 days</v>
      </c>
      <c r="H1389" s="0" t="n">
        <f aca="false">VLOOKUP(D1389,Rates!$A$4:$B$7,2,FALSE())</f>
        <v>0.085</v>
      </c>
      <c r="I1389" s="0" t="n">
        <f aca="false">VLOOKUP(F1389,Rates!$D$4:$E$8,2)</f>
        <v>0.25</v>
      </c>
      <c r="J1389" s="0" t="n">
        <f aca="false">ROUND(E1389*I1389,2)</f>
        <v>9996.06</v>
      </c>
      <c r="K1389" s="1" t="n">
        <f aca="false">PV(H1389/12,F1389/30,0,-E1389)</f>
        <v>39238.6928156128</v>
      </c>
      <c r="L1389" s="0" t="n">
        <f aca="false">ROUND(E1389-K1389,2)</f>
        <v>745.56</v>
      </c>
      <c r="M1389" s="0" t="n">
        <f aca="false">F1389/E1389</f>
        <v>0.00200078781020027</v>
      </c>
    </row>
    <row r="1390" customFormat="false" ht="12.8" hidden="false" customHeight="false" outlineLevel="0" collapsed="false">
      <c r="A1390" s="0" t="s">
        <v>2032</v>
      </c>
      <c r="B1390" s="0" t="s">
        <v>2033</v>
      </c>
      <c r="C1390" s="0" t="s">
        <v>36</v>
      </c>
      <c r="D1390" s="0" t="s">
        <v>49</v>
      </c>
      <c r="E1390" s="0" t="n">
        <v>3355.05</v>
      </c>
      <c r="F1390" s="0" t="n">
        <v>369</v>
      </c>
      <c r="G1390" s="0" t="str">
        <f aca="false">IF(F1390&lt;=30,"Current",IF(F1390&lt;=60,"31 to 60 days",IF(F1390&lt;=90,"61 to 90 days",IF(F1390&lt;=120,"91 to 120 days","Over 120 days"))))</f>
        <v>Over 120 days</v>
      </c>
      <c r="H1390" s="0" t="n">
        <f aca="false">VLOOKUP(D1390,Rates!$A$4:$B$7,2,FALSE())</f>
        <v>0.02</v>
      </c>
      <c r="I1390" s="0" t="n">
        <f aca="false">VLOOKUP(F1390,Rates!$D$4:$E$8,2)</f>
        <v>0.85</v>
      </c>
      <c r="J1390" s="0" t="n">
        <f aca="false">ROUND(E1390*I1390,2)</f>
        <v>2851.79</v>
      </c>
      <c r="K1390" s="1" t="n">
        <f aca="false">PV(H1390/12,F1390/30,0,-E1390)</f>
        <v>3287.02775270426</v>
      </c>
      <c r="L1390" s="0" t="n">
        <f aca="false">ROUND(E1390-K1390,2)</f>
        <v>68.02</v>
      </c>
      <c r="M1390" s="0" t="n">
        <f aca="false">F1390/E1390</f>
        <v>0.109983457772611</v>
      </c>
    </row>
    <row r="1391" customFormat="false" ht="12.8" hidden="false" customHeight="false" outlineLevel="0" collapsed="false">
      <c r="A1391" s="0" t="s">
        <v>2034</v>
      </c>
      <c r="B1391" s="0" t="s">
        <v>51</v>
      </c>
      <c r="C1391" s="0" t="s">
        <v>36</v>
      </c>
      <c r="D1391" s="0" t="s">
        <v>20</v>
      </c>
      <c r="E1391" s="0" t="n">
        <v>13862.53</v>
      </c>
      <c r="F1391" s="0" t="n">
        <v>137</v>
      </c>
      <c r="G1391" s="0" t="str">
        <f aca="false">IF(F1391&lt;=30,"Current",IF(F1391&lt;=60,"31 to 60 days",IF(F1391&lt;=90,"61 to 90 days",IF(F1391&lt;=120,"91 to 120 days","Over 120 days"))))</f>
        <v>Over 120 days</v>
      </c>
      <c r="H1391" s="0" t="n">
        <f aca="false">VLOOKUP(D1391,Rates!$A$4:$B$7,2,FALSE())</f>
        <v>0.05</v>
      </c>
      <c r="I1391" s="0" t="n">
        <f aca="false">VLOOKUP(F1391,Rates!$D$4:$E$8,2)</f>
        <v>0.85</v>
      </c>
      <c r="J1391" s="0" t="n">
        <f aca="false">ROUND(E1391*I1391,2)</f>
        <v>11783.15</v>
      </c>
      <c r="K1391" s="1" t="n">
        <f aca="false">PV(H1391/12,F1391/30,0,-E1391)</f>
        <v>13601.7882142506</v>
      </c>
      <c r="L1391" s="0" t="n">
        <f aca="false">ROUND(E1391-K1391,2)</f>
        <v>260.74</v>
      </c>
      <c r="M1391" s="0" t="n">
        <f aca="false">F1391/E1391</f>
        <v>0.00988275588943721</v>
      </c>
    </row>
    <row r="1392" customFormat="false" ht="12.8" hidden="false" customHeight="false" outlineLevel="0" collapsed="false">
      <c r="A1392" s="0" t="s">
        <v>2035</v>
      </c>
      <c r="B1392" s="0" t="s">
        <v>33</v>
      </c>
      <c r="C1392" s="0" t="s">
        <v>26</v>
      </c>
      <c r="D1392" s="0" t="s">
        <v>20</v>
      </c>
      <c r="E1392" s="0" t="n">
        <v>30463.58</v>
      </c>
      <c r="F1392" s="0" t="n">
        <v>364</v>
      </c>
      <c r="G1392" s="0" t="str">
        <f aca="false">IF(F1392&lt;=30,"Current",IF(F1392&lt;=60,"31 to 60 days",IF(F1392&lt;=90,"61 to 90 days",IF(F1392&lt;=120,"91 to 120 days","Over 120 days"))))</f>
        <v>Over 120 days</v>
      </c>
      <c r="H1392" s="0" t="n">
        <f aca="false">VLOOKUP(D1392,Rates!$A$4:$B$7,2,FALSE())</f>
        <v>0.05</v>
      </c>
      <c r="I1392" s="0" t="n">
        <f aca="false">VLOOKUP(F1392,Rates!$D$4:$E$8,2)</f>
        <v>0.85</v>
      </c>
      <c r="J1392" s="0" t="n">
        <f aca="false">ROUND(E1392*I1392,2)</f>
        <v>25894.04</v>
      </c>
      <c r="K1392" s="1" t="n">
        <f aca="false">PV(H1392/12,F1392/30,0,-E1392)</f>
        <v>28964.8014184801</v>
      </c>
      <c r="L1392" s="0" t="n">
        <f aca="false">ROUND(E1392-K1392,2)</f>
        <v>1498.78</v>
      </c>
      <c r="M1392" s="0" t="n">
        <f aca="false">F1392/E1392</f>
        <v>0.0119486941455994</v>
      </c>
    </row>
    <row r="1393" customFormat="false" ht="12.8" hidden="false" customHeight="false" outlineLevel="0" collapsed="false">
      <c r="A1393" s="0" t="s">
        <v>2036</v>
      </c>
      <c r="B1393" s="0" t="s">
        <v>33</v>
      </c>
      <c r="C1393" s="0" t="s">
        <v>26</v>
      </c>
      <c r="D1393" s="0" t="s">
        <v>20</v>
      </c>
      <c r="E1393" s="0" t="n">
        <v>10610.74</v>
      </c>
      <c r="F1393" s="0" t="n">
        <v>44</v>
      </c>
      <c r="G1393" s="0" t="str">
        <f aca="false">IF(F1393&lt;=30,"Current",IF(F1393&lt;=60,"31 to 60 days",IF(F1393&lt;=90,"61 to 90 days",IF(F1393&lt;=120,"91 to 120 days","Over 120 days"))))</f>
        <v>31 to 60 days</v>
      </c>
      <c r="H1393" s="0" t="n">
        <f aca="false">VLOOKUP(D1393,Rates!$A$4:$B$7,2,FALSE())</f>
        <v>0.05</v>
      </c>
      <c r="I1393" s="0" t="n">
        <f aca="false">VLOOKUP(F1393,Rates!$D$4:$E$8,2)</f>
        <v>0.1</v>
      </c>
      <c r="J1393" s="0" t="n">
        <f aca="false">ROUND(E1393*I1393,2)</f>
        <v>1061.07</v>
      </c>
      <c r="K1393" s="1" t="n">
        <f aca="false">PV(H1393/12,F1393/30,0,-E1393)</f>
        <v>10546.2282149974</v>
      </c>
      <c r="L1393" s="0" t="n">
        <f aca="false">ROUND(E1393-K1393,2)</f>
        <v>64.51</v>
      </c>
      <c r="M1393" s="0" t="n">
        <f aca="false">F1393/E1393</f>
        <v>0.0041467418860513</v>
      </c>
    </row>
    <row r="1394" customFormat="false" ht="12.8" hidden="false" customHeight="false" outlineLevel="0" collapsed="false">
      <c r="A1394" s="0" t="s">
        <v>2037</v>
      </c>
      <c r="B1394" s="0" t="s">
        <v>18</v>
      </c>
      <c r="C1394" s="0" t="s">
        <v>19</v>
      </c>
      <c r="D1394" s="0" t="s">
        <v>20</v>
      </c>
      <c r="E1394" s="0" t="n">
        <v>4040.94</v>
      </c>
      <c r="F1394" s="0" t="n">
        <v>51</v>
      </c>
      <c r="G1394" s="0" t="str">
        <f aca="false">IF(F1394&lt;=30,"Current",IF(F1394&lt;=60,"31 to 60 days",IF(F1394&lt;=90,"61 to 90 days",IF(F1394&lt;=120,"91 to 120 days","Over 120 days"))))</f>
        <v>31 to 60 days</v>
      </c>
      <c r="H1394" s="0" t="n">
        <f aca="false">VLOOKUP(D1394,Rates!$A$4:$B$7,2,FALSE())</f>
        <v>0.05</v>
      </c>
      <c r="I1394" s="0" t="n">
        <f aca="false">VLOOKUP(F1394,Rates!$D$4:$E$8,2)</f>
        <v>0.1</v>
      </c>
      <c r="J1394" s="0" t="n">
        <f aca="false">ROUND(E1394*I1394,2)</f>
        <v>404.09</v>
      </c>
      <c r="K1394" s="1" t="n">
        <f aca="false">PV(H1394/12,F1394/30,0,-E1394)</f>
        <v>4012.47685784176</v>
      </c>
      <c r="L1394" s="0" t="n">
        <f aca="false">ROUND(E1394-K1394,2)</f>
        <v>28.46</v>
      </c>
      <c r="M1394" s="0" t="n">
        <f aca="false">F1394/E1394</f>
        <v>0.0126208258474513</v>
      </c>
    </row>
    <row r="1395" customFormat="false" ht="12.8" hidden="false" customHeight="false" outlineLevel="0" collapsed="false">
      <c r="A1395" s="0" t="s">
        <v>2038</v>
      </c>
      <c r="B1395" s="0" t="s">
        <v>33</v>
      </c>
      <c r="C1395" s="0" t="s">
        <v>26</v>
      </c>
      <c r="D1395" s="0" t="s">
        <v>20</v>
      </c>
      <c r="E1395" s="0" t="n">
        <v>38049.82</v>
      </c>
      <c r="F1395" s="0" t="n">
        <v>74</v>
      </c>
      <c r="G1395" s="0" t="str">
        <f aca="false">IF(F1395&lt;=30,"Current",IF(F1395&lt;=60,"31 to 60 days",IF(F1395&lt;=90,"61 to 90 days",IF(F1395&lt;=120,"91 to 120 days","Over 120 days"))))</f>
        <v>61 to 90 days</v>
      </c>
      <c r="H1395" s="0" t="n">
        <f aca="false">VLOOKUP(D1395,Rates!$A$4:$B$7,2,FALSE())</f>
        <v>0.05</v>
      </c>
      <c r="I1395" s="0" t="n">
        <f aca="false">VLOOKUP(F1395,Rates!$D$4:$E$8,2)</f>
        <v>0.25</v>
      </c>
      <c r="J1395" s="0" t="n">
        <f aca="false">ROUND(E1395*I1395,2)</f>
        <v>9512.46</v>
      </c>
      <c r="K1395" s="1" t="n">
        <f aca="false">PV(H1395/12,F1395/30,0,-E1395)</f>
        <v>37661.5593602689</v>
      </c>
      <c r="L1395" s="0" t="n">
        <f aca="false">ROUND(E1395-K1395,2)</f>
        <v>388.26</v>
      </c>
      <c r="M1395" s="0" t="n">
        <f aca="false">F1395/E1395</f>
        <v>0.00194481866142862</v>
      </c>
    </row>
    <row r="1396" customFormat="false" ht="12.8" hidden="false" customHeight="false" outlineLevel="0" collapsed="false">
      <c r="A1396" s="0" t="s">
        <v>2039</v>
      </c>
      <c r="B1396" s="0" t="s">
        <v>18</v>
      </c>
      <c r="C1396" s="0" t="s">
        <v>19</v>
      </c>
      <c r="D1396" s="0" t="s">
        <v>20</v>
      </c>
      <c r="E1396" s="0" t="n">
        <v>12205.42</v>
      </c>
      <c r="F1396" s="0" t="n">
        <v>218</v>
      </c>
      <c r="G1396" s="0" t="str">
        <f aca="false">IF(F1396&lt;=30,"Current",IF(F1396&lt;=60,"31 to 60 days",IF(F1396&lt;=90,"61 to 90 days",IF(F1396&lt;=120,"91 to 120 days","Over 120 days"))))</f>
        <v>Over 120 days</v>
      </c>
      <c r="H1396" s="0" t="n">
        <f aca="false">VLOOKUP(D1396,Rates!$A$4:$B$7,2,FALSE())</f>
        <v>0.05</v>
      </c>
      <c r="I1396" s="0" t="n">
        <f aca="false">VLOOKUP(F1396,Rates!$D$4:$E$8,2)</f>
        <v>0.85</v>
      </c>
      <c r="J1396" s="0" t="n">
        <f aca="false">ROUND(E1396*I1396,2)</f>
        <v>10374.61</v>
      </c>
      <c r="K1396" s="1" t="n">
        <f aca="false">PV(H1396/12,F1396/30,0,-E1396)</f>
        <v>11842.1504834373</v>
      </c>
      <c r="L1396" s="0" t="n">
        <f aca="false">ROUND(E1396-K1396,2)</f>
        <v>363.27</v>
      </c>
      <c r="M1396" s="0" t="n">
        <f aca="false">F1396/E1396</f>
        <v>0.0178609175268037</v>
      </c>
    </row>
    <row r="1397" customFormat="false" ht="12.8" hidden="false" customHeight="false" outlineLevel="0" collapsed="false">
      <c r="A1397" s="0" t="s">
        <v>2040</v>
      </c>
      <c r="B1397" s="0" t="s">
        <v>368</v>
      </c>
      <c r="C1397" s="0" t="s">
        <v>42</v>
      </c>
      <c r="D1397" s="0" t="s">
        <v>23</v>
      </c>
      <c r="E1397" s="0" t="n">
        <v>26476.6</v>
      </c>
      <c r="F1397" s="0" t="n">
        <v>60</v>
      </c>
      <c r="G1397" s="0" t="str">
        <f aca="false">IF(F1397&lt;=30,"Current",IF(F1397&lt;=60,"31 to 60 days",IF(F1397&lt;=90,"61 to 90 days",IF(F1397&lt;=120,"91 to 120 days","Over 120 days"))))</f>
        <v>31 to 60 days</v>
      </c>
      <c r="H1397" s="0" t="n">
        <f aca="false">VLOOKUP(D1397,Rates!$A$4:$B$7,2,FALSE())</f>
        <v>0.115</v>
      </c>
      <c r="I1397" s="0" t="n">
        <f aca="false">VLOOKUP(F1397,Rates!$D$4:$E$8,2)</f>
        <v>0.1</v>
      </c>
      <c r="J1397" s="0" t="n">
        <f aca="false">ROUND(E1397*I1397,2)</f>
        <v>2647.66</v>
      </c>
      <c r="K1397" s="1" t="n">
        <f aca="false">PV(H1397/12,F1397/30,0,-E1397)</f>
        <v>25976.334580098</v>
      </c>
      <c r="L1397" s="0" t="n">
        <f aca="false">ROUND(E1397-K1397,2)</f>
        <v>500.27</v>
      </c>
      <c r="M1397" s="0" t="n">
        <f aca="false">F1397/E1397</f>
        <v>0.00226615199836837</v>
      </c>
    </row>
    <row r="1398" customFormat="false" ht="12.8" hidden="false" customHeight="false" outlineLevel="0" collapsed="false">
      <c r="A1398" s="0" t="s">
        <v>2041</v>
      </c>
      <c r="B1398" s="0" t="s">
        <v>74</v>
      </c>
      <c r="C1398" s="0" t="s">
        <v>31</v>
      </c>
      <c r="D1398" s="0" t="s">
        <v>23</v>
      </c>
      <c r="E1398" s="0" t="n">
        <v>27122.08</v>
      </c>
      <c r="F1398" s="0" t="n">
        <v>189</v>
      </c>
      <c r="G1398" s="0" t="str">
        <f aca="false">IF(F1398&lt;=30,"Current",IF(F1398&lt;=60,"31 to 60 days",IF(F1398&lt;=90,"61 to 90 days",IF(F1398&lt;=120,"91 to 120 days","Over 120 days"))))</f>
        <v>Over 120 days</v>
      </c>
      <c r="H1398" s="0" t="n">
        <f aca="false">VLOOKUP(D1398,Rates!$A$4:$B$7,2,FALSE())</f>
        <v>0.115</v>
      </c>
      <c r="I1398" s="0" t="n">
        <f aca="false">VLOOKUP(F1398,Rates!$D$4:$E$8,2)</f>
        <v>0.85</v>
      </c>
      <c r="J1398" s="0" t="n">
        <f aca="false">ROUND(E1398*I1398,2)</f>
        <v>23053.77</v>
      </c>
      <c r="K1398" s="1" t="n">
        <f aca="false">PV(H1398/12,F1398/30,0,-E1398)</f>
        <v>25540.3771638388</v>
      </c>
      <c r="L1398" s="0" t="n">
        <f aca="false">ROUND(E1398-K1398,2)</f>
        <v>1581.7</v>
      </c>
      <c r="M1398" s="0" t="n">
        <f aca="false">F1398/E1398</f>
        <v>0.00696849209205194</v>
      </c>
    </row>
    <row r="1399" customFormat="false" ht="12.8" hidden="false" customHeight="false" outlineLevel="0" collapsed="false">
      <c r="A1399" s="0" t="s">
        <v>2042</v>
      </c>
      <c r="B1399" s="0" t="s">
        <v>2043</v>
      </c>
      <c r="C1399" s="0" t="s">
        <v>42</v>
      </c>
      <c r="D1399" s="0" t="s">
        <v>49</v>
      </c>
      <c r="E1399" s="0" t="n">
        <v>16769.97</v>
      </c>
      <c r="F1399" s="0" t="n">
        <v>328</v>
      </c>
      <c r="G1399" s="0" t="str">
        <f aca="false">IF(F1399&lt;=30,"Current",IF(F1399&lt;=60,"31 to 60 days",IF(F1399&lt;=90,"61 to 90 days",IF(F1399&lt;=120,"91 to 120 days","Over 120 days"))))</f>
        <v>Over 120 days</v>
      </c>
      <c r="H1399" s="0" t="n">
        <f aca="false">VLOOKUP(D1399,Rates!$A$4:$B$7,2,FALSE())</f>
        <v>0.02</v>
      </c>
      <c r="I1399" s="0" t="n">
        <f aca="false">VLOOKUP(F1399,Rates!$D$4:$E$8,2)</f>
        <v>0.85</v>
      </c>
      <c r="J1399" s="0" t="n">
        <f aca="false">ROUND(E1399*I1399,2)</f>
        <v>14254.47</v>
      </c>
      <c r="K1399" s="1" t="n">
        <f aca="false">PV(H1399/12,F1399/30,0,-E1399)</f>
        <v>16467.4010553834</v>
      </c>
      <c r="L1399" s="0" t="n">
        <f aca="false">ROUND(E1399-K1399,2)</f>
        <v>302.57</v>
      </c>
      <c r="M1399" s="0" t="n">
        <f aca="false">F1399/E1399</f>
        <v>0.0195587708266622</v>
      </c>
    </row>
    <row r="1400" customFormat="false" ht="12.8" hidden="false" customHeight="false" outlineLevel="0" collapsed="false">
      <c r="A1400" s="0" t="s">
        <v>2044</v>
      </c>
      <c r="B1400" s="0" t="s">
        <v>480</v>
      </c>
      <c r="C1400" s="0" t="s">
        <v>36</v>
      </c>
      <c r="D1400" s="0" t="s">
        <v>23</v>
      </c>
      <c r="E1400" s="0" t="n">
        <v>41005.96</v>
      </c>
      <c r="F1400" s="0" t="n">
        <v>84</v>
      </c>
      <c r="G1400" s="0" t="str">
        <f aca="false">IF(F1400&lt;=30,"Current",IF(F1400&lt;=60,"31 to 60 days",IF(F1400&lt;=90,"61 to 90 days",IF(F1400&lt;=120,"91 to 120 days","Over 120 days"))))</f>
        <v>61 to 90 days</v>
      </c>
      <c r="H1400" s="0" t="n">
        <f aca="false">VLOOKUP(D1400,Rates!$A$4:$B$7,2,FALSE())</f>
        <v>0.115</v>
      </c>
      <c r="I1400" s="0" t="n">
        <f aca="false">VLOOKUP(F1400,Rates!$D$4:$E$8,2)</f>
        <v>0.25</v>
      </c>
      <c r="J1400" s="0" t="n">
        <f aca="false">ROUND(E1400*I1400,2)</f>
        <v>10251.49</v>
      </c>
      <c r="K1400" s="1" t="n">
        <f aca="false">PV(H1400/12,F1400/30,0,-E1400)</f>
        <v>39925.3655288995</v>
      </c>
      <c r="L1400" s="0" t="n">
        <f aca="false">ROUND(E1400-K1400,2)</f>
        <v>1080.59</v>
      </c>
      <c r="M1400" s="0" t="n">
        <f aca="false">F1400/E1400</f>
        <v>0.00204848270836727</v>
      </c>
    </row>
    <row r="1401" customFormat="false" ht="12.8" hidden="false" customHeight="false" outlineLevel="0" collapsed="false">
      <c r="A1401" s="0" t="s">
        <v>2045</v>
      </c>
      <c r="B1401" s="0" t="s">
        <v>18</v>
      </c>
      <c r="C1401" s="0" t="s">
        <v>19</v>
      </c>
      <c r="D1401" s="0" t="s">
        <v>20</v>
      </c>
      <c r="E1401" s="0" t="n">
        <v>33942.14</v>
      </c>
      <c r="F1401" s="0" t="n">
        <v>206</v>
      </c>
      <c r="G1401" s="0" t="str">
        <f aca="false">IF(F1401&lt;=30,"Current",IF(F1401&lt;=60,"31 to 60 days",IF(F1401&lt;=90,"61 to 90 days",IF(F1401&lt;=120,"91 to 120 days","Over 120 days"))))</f>
        <v>Over 120 days</v>
      </c>
      <c r="H1401" s="0" t="n">
        <f aca="false">VLOOKUP(D1401,Rates!$A$4:$B$7,2,FALSE())</f>
        <v>0.05</v>
      </c>
      <c r="I1401" s="0" t="n">
        <f aca="false">VLOOKUP(F1401,Rates!$D$4:$E$8,2)</f>
        <v>0.85</v>
      </c>
      <c r="J1401" s="0" t="n">
        <f aca="false">ROUND(E1401*I1401,2)</f>
        <v>28850.82</v>
      </c>
      <c r="K1401" s="1" t="n">
        <f aca="false">PV(H1401/12,F1401/30,0,-E1401)</f>
        <v>32986.7392756856</v>
      </c>
      <c r="L1401" s="0" t="n">
        <f aca="false">ROUND(E1401-K1401,2)</f>
        <v>955.4</v>
      </c>
      <c r="M1401" s="0" t="n">
        <f aca="false">F1401/E1401</f>
        <v>0.00606915179773579</v>
      </c>
    </row>
    <row r="1402" customFormat="false" ht="12.8" hidden="false" customHeight="false" outlineLevel="0" collapsed="false">
      <c r="A1402" s="0" t="s">
        <v>2046</v>
      </c>
      <c r="B1402" s="0" t="s">
        <v>2047</v>
      </c>
      <c r="C1402" s="0" t="s">
        <v>42</v>
      </c>
      <c r="D1402" s="0" t="s">
        <v>49</v>
      </c>
      <c r="E1402" s="0" t="n">
        <v>42616.08</v>
      </c>
      <c r="F1402" s="0" t="n">
        <v>256</v>
      </c>
      <c r="G1402" s="0" t="str">
        <f aca="false">IF(F1402&lt;=30,"Current",IF(F1402&lt;=60,"31 to 60 days",IF(F1402&lt;=90,"61 to 90 days",IF(F1402&lt;=120,"91 to 120 days","Over 120 days"))))</f>
        <v>Over 120 days</v>
      </c>
      <c r="H1402" s="0" t="n">
        <f aca="false">VLOOKUP(D1402,Rates!$A$4:$B$7,2,FALSE())</f>
        <v>0.02</v>
      </c>
      <c r="I1402" s="0" t="n">
        <f aca="false">VLOOKUP(F1402,Rates!$D$4:$E$8,2)</f>
        <v>0.85</v>
      </c>
      <c r="J1402" s="0" t="n">
        <f aca="false">ROUND(E1402*I1402,2)</f>
        <v>36223.67</v>
      </c>
      <c r="K1402" s="1" t="n">
        <f aca="false">PV(H1402/12,F1402/30,0,-E1402)</f>
        <v>42014.7716885604</v>
      </c>
      <c r="L1402" s="0" t="n">
        <f aca="false">ROUND(E1402-K1402,2)</f>
        <v>601.31</v>
      </c>
      <c r="M1402" s="0" t="n">
        <f aca="false">F1402/E1402</f>
        <v>0.00600712219425156</v>
      </c>
    </row>
    <row r="1403" customFormat="false" ht="12.8" hidden="false" customHeight="false" outlineLevel="0" collapsed="false">
      <c r="A1403" s="0" t="s">
        <v>2048</v>
      </c>
      <c r="B1403" s="0" t="s">
        <v>33</v>
      </c>
      <c r="C1403" s="0" t="s">
        <v>26</v>
      </c>
      <c r="D1403" s="0" t="s">
        <v>20</v>
      </c>
      <c r="E1403" s="0" t="n">
        <v>4052.08</v>
      </c>
      <c r="F1403" s="0" t="n">
        <v>227</v>
      </c>
      <c r="G1403" s="0" t="str">
        <f aca="false">IF(F1403&lt;=30,"Current",IF(F1403&lt;=60,"31 to 60 days",IF(F1403&lt;=90,"61 to 90 days",IF(F1403&lt;=120,"91 to 120 days","Over 120 days"))))</f>
        <v>Over 120 days</v>
      </c>
      <c r="H1403" s="0" t="n">
        <f aca="false">VLOOKUP(D1403,Rates!$A$4:$B$7,2,FALSE())</f>
        <v>0.05</v>
      </c>
      <c r="I1403" s="0" t="n">
        <f aca="false">VLOOKUP(F1403,Rates!$D$4:$E$8,2)</f>
        <v>0.85</v>
      </c>
      <c r="J1403" s="0" t="n">
        <f aca="false">ROUND(E1403*I1403,2)</f>
        <v>3444.27</v>
      </c>
      <c r="K1403" s="1" t="n">
        <f aca="false">PV(H1403/12,F1403/30,0,-E1403)</f>
        <v>3926.57699511573</v>
      </c>
      <c r="L1403" s="0" t="n">
        <f aca="false">ROUND(E1403-K1403,2)</f>
        <v>125.5</v>
      </c>
      <c r="M1403" s="0" t="n">
        <f aca="false">F1403/E1403</f>
        <v>0.0560206116364929</v>
      </c>
    </row>
    <row r="1404" customFormat="false" ht="12.8" hidden="false" customHeight="false" outlineLevel="0" collapsed="false">
      <c r="A1404" s="0" t="s">
        <v>2049</v>
      </c>
      <c r="B1404" s="0" t="s">
        <v>2050</v>
      </c>
      <c r="C1404" s="0" t="s">
        <v>26</v>
      </c>
      <c r="D1404" s="0" t="s">
        <v>16</v>
      </c>
      <c r="E1404" s="0" t="n">
        <v>31507.91</v>
      </c>
      <c r="F1404" s="0" t="n">
        <v>24</v>
      </c>
      <c r="G1404" s="0" t="str">
        <f aca="false">IF(F1404&lt;=30,"Current",IF(F1404&lt;=60,"31 to 60 days",IF(F1404&lt;=90,"61 to 90 days",IF(F1404&lt;=120,"91 to 120 days","Over 120 days"))))</f>
        <v>Current</v>
      </c>
      <c r="H1404" s="0" t="n">
        <f aca="false">VLOOKUP(D1404,Rates!$A$4:$B$7,2,FALSE())</f>
        <v>0.085</v>
      </c>
      <c r="I1404" s="0" t="n">
        <f aca="false">VLOOKUP(F1404,Rates!$D$4:$E$8,2)</f>
        <v>0.02</v>
      </c>
      <c r="J1404" s="0" t="n">
        <f aca="false">ROUND(E1404*I1404,2)</f>
        <v>630.16</v>
      </c>
      <c r="K1404" s="1" t="n">
        <f aca="false">PV(H1404/12,F1404/30,0,-E1404)</f>
        <v>31330.4959252895</v>
      </c>
      <c r="L1404" s="0" t="n">
        <f aca="false">ROUND(E1404-K1404,2)</f>
        <v>177.41</v>
      </c>
      <c r="M1404" s="0" t="n">
        <f aca="false">F1404/E1404</f>
        <v>0.000761713487184647</v>
      </c>
    </row>
    <row r="1405" customFormat="false" ht="12.8" hidden="false" customHeight="false" outlineLevel="0" collapsed="false">
      <c r="A1405" s="0" t="s">
        <v>2051</v>
      </c>
      <c r="B1405" s="0" t="s">
        <v>55</v>
      </c>
      <c r="C1405" s="0" t="s">
        <v>26</v>
      </c>
      <c r="D1405" s="0" t="s">
        <v>23</v>
      </c>
      <c r="E1405" s="0" t="n">
        <v>1707.01</v>
      </c>
      <c r="F1405" s="0" t="n">
        <v>354</v>
      </c>
      <c r="G1405" s="0" t="str">
        <f aca="false">IF(F1405&lt;=30,"Current",IF(F1405&lt;=60,"31 to 60 days",IF(F1405&lt;=90,"61 to 90 days",IF(F1405&lt;=120,"91 to 120 days","Over 120 days"))))</f>
        <v>Over 120 days</v>
      </c>
      <c r="H1405" s="0" t="n">
        <f aca="false">VLOOKUP(D1405,Rates!$A$4:$B$7,2,FALSE())</f>
        <v>0.115</v>
      </c>
      <c r="I1405" s="0" t="n">
        <f aca="false">VLOOKUP(F1405,Rates!$D$4:$E$8,2)</f>
        <v>0.85</v>
      </c>
      <c r="J1405" s="0" t="n">
        <f aca="false">ROUND(E1405*I1405,2)</f>
        <v>1450.96</v>
      </c>
      <c r="K1405" s="1" t="n">
        <f aca="false">PV(H1405/12,F1405/30,0,-E1405)</f>
        <v>1525.3110998505</v>
      </c>
      <c r="L1405" s="0" t="n">
        <f aca="false">ROUND(E1405-K1405,2)</f>
        <v>181.7</v>
      </c>
      <c r="M1405" s="0" t="n">
        <f aca="false">F1405/E1405</f>
        <v>0.207380155945191</v>
      </c>
    </row>
    <row r="1406" customFormat="false" ht="12.8" hidden="false" customHeight="false" outlineLevel="0" collapsed="false">
      <c r="A1406" s="0" t="s">
        <v>2052</v>
      </c>
      <c r="B1406" s="0" t="s">
        <v>2053</v>
      </c>
      <c r="C1406" s="0" t="s">
        <v>19</v>
      </c>
      <c r="D1406" s="0" t="s">
        <v>16</v>
      </c>
      <c r="E1406" s="0" t="n">
        <v>29106.72</v>
      </c>
      <c r="F1406" s="0" t="n">
        <v>322</v>
      </c>
      <c r="G1406" s="0" t="str">
        <f aca="false">IF(F1406&lt;=30,"Current",IF(F1406&lt;=60,"31 to 60 days",IF(F1406&lt;=90,"61 to 90 days",IF(F1406&lt;=120,"91 to 120 days","Over 120 days"))))</f>
        <v>Over 120 days</v>
      </c>
      <c r="H1406" s="0" t="n">
        <f aca="false">VLOOKUP(D1406,Rates!$A$4:$B$7,2,FALSE())</f>
        <v>0.085</v>
      </c>
      <c r="I1406" s="0" t="n">
        <f aca="false">VLOOKUP(F1406,Rates!$D$4:$E$8,2)</f>
        <v>0.85</v>
      </c>
      <c r="J1406" s="0" t="n">
        <f aca="false">ROUND(E1406*I1406,2)</f>
        <v>24740.71</v>
      </c>
      <c r="K1406" s="1" t="n">
        <f aca="false">PV(H1406/12,F1406/30,0,-E1406)</f>
        <v>26983.0609744748</v>
      </c>
      <c r="L1406" s="0" t="n">
        <f aca="false">ROUND(E1406-K1406,2)</f>
        <v>2123.66</v>
      </c>
      <c r="M1406" s="0" t="n">
        <f aca="false">F1406/E1406</f>
        <v>0.0110627374022219</v>
      </c>
    </row>
    <row r="1407" customFormat="false" ht="12.8" hidden="false" customHeight="false" outlineLevel="0" collapsed="false">
      <c r="A1407" s="0" t="s">
        <v>2054</v>
      </c>
      <c r="B1407" s="0" t="s">
        <v>550</v>
      </c>
      <c r="C1407" s="0" t="s">
        <v>36</v>
      </c>
      <c r="D1407" s="0" t="s">
        <v>23</v>
      </c>
      <c r="E1407" s="0" t="n">
        <v>37393.38</v>
      </c>
      <c r="F1407" s="0" t="n">
        <v>71</v>
      </c>
      <c r="G1407" s="0" t="str">
        <f aca="false">IF(F1407&lt;=30,"Current",IF(F1407&lt;=60,"31 to 60 days",IF(F1407&lt;=90,"61 to 90 days",IF(F1407&lt;=120,"91 to 120 days","Over 120 days"))))</f>
        <v>61 to 90 days</v>
      </c>
      <c r="H1407" s="0" t="n">
        <f aca="false">VLOOKUP(D1407,Rates!$A$4:$B$7,2,FALSE())</f>
        <v>0.115</v>
      </c>
      <c r="I1407" s="0" t="n">
        <f aca="false">VLOOKUP(F1407,Rates!$D$4:$E$8,2)</f>
        <v>0.25</v>
      </c>
      <c r="J1407" s="0" t="n">
        <f aca="false">ROUND(E1407*I1407,2)</f>
        <v>9348.35</v>
      </c>
      <c r="K1407" s="1" t="n">
        <f aca="false">PV(H1407/12,F1407/30,0,-E1407)</f>
        <v>36558.7704913918</v>
      </c>
      <c r="L1407" s="0" t="n">
        <f aca="false">ROUND(E1407-K1407,2)</f>
        <v>834.61</v>
      </c>
      <c r="M1407" s="0" t="n">
        <f aca="false">F1407/E1407</f>
        <v>0.00189873180760873</v>
      </c>
    </row>
    <row r="1408" customFormat="false" ht="12.8" hidden="false" customHeight="false" outlineLevel="0" collapsed="false">
      <c r="A1408" s="0" t="s">
        <v>2055</v>
      </c>
      <c r="B1408" s="0" t="s">
        <v>28</v>
      </c>
      <c r="C1408" s="0" t="s">
        <v>15</v>
      </c>
      <c r="D1408" s="0" t="s">
        <v>20</v>
      </c>
      <c r="E1408" s="0" t="n">
        <v>6205.22</v>
      </c>
      <c r="F1408" s="0" t="n">
        <v>222</v>
      </c>
      <c r="G1408" s="0" t="str">
        <f aca="false">IF(F1408&lt;=30,"Current",IF(F1408&lt;=60,"31 to 60 days",IF(F1408&lt;=90,"61 to 90 days",IF(F1408&lt;=120,"91 to 120 days","Over 120 days"))))</f>
        <v>Over 120 days</v>
      </c>
      <c r="H1408" s="0" t="n">
        <f aca="false">VLOOKUP(D1408,Rates!$A$4:$B$7,2,FALSE())</f>
        <v>0.05</v>
      </c>
      <c r="I1408" s="0" t="n">
        <f aca="false">VLOOKUP(F1408,Rates!$D$4:$E$8,2)</f>
        <v>0.85</v>
      </c>
      <c r="J1408" s="0" t="n">
        <f aca="false">ROUND(E1408*I1408,2)</f>
        <v>5274.44</v>
      </c>
      <c r="K1408" s="1" t="n">
        <f aca="false">PV(H1408/12,F1408/30,0,-E1408)</f>
        <v>6017.19737267688</v>
      </c>
      <c r="L1408" s="0" t="n">
        <f aca="false">ROUND(E1408-K1408,2)</f>
        <v>188.02</v>
      </c>
      <c r="M1408" s="0" t="n">
        <f aca="false">F1408/E1408</f>
        <v>0.0357763302509822</v>
      </c>
    </row>
    <row r="1409" customFormat="false" ht="12.8" hidden="false" customHeight="false" outlineLevel="0" collapsed="false">
      <c r="A1409" s="0" t="s">
        <v>2056</v>
      </c>
      <c r="B1409" s="0" t="s">
        <v>120</v>
      </c>
      <c r="C1409" s="0" t="s">
        <v>31</v>
      </c>
      <c r="D1409" s="0" t="s">
        <v>23</v>
      </c>
      <c r="E1409" s="0" t="n">
        <v>28737.4</v>
      </c>
      <c r="F1409" s="0" t="n">
        <v>84</v>
      </c>
      <c r="G1409" s="0" t="str">
        <f aca="false">IF(F1409&lt;=30,"Current",IF(F1409&lt;=60,"31 to 60 days",IF(F1409&lt;=90,"61 to 90 days",IF(F1409&lt;=120,"91 to 120 days","Over 120 days"))))</f>
        <v>61 to 90 days</v>
      </c>
      <c r="H1409" s="0" t="n">
        <f aca="false">VLOOKUP(D1409,Rates!$A$4:$B$7,2,FALSE())</f>
        <v>0.115</v>
      </c>
      <c r="I1409" s="0" t="n">
        <f aca="false">VLOOKUP(F1409,Rates!$D$4:$E$8,2)</f>
        <v>0.25</v>
      </c>
      <c r="J1409" s="0" t="n">
        <f aca="false">ROUND(E1409*I1409,2)</f>
        <v>7184.35</v>
      </c>
      <c r="K1409" s="1" t="n">
        <f aca="false">PV(H1409/12,F1409/30,0,-E1409)</f>
        <v>27980.1082415872</v>
      </c>
      <c r="L1409" s="0" t="n">
        <f aca="false">ROUND(E1409-K1409,2)</f>
        <v>757.29</v>
      </c>
      <c r="M1409" s="0" t="n">
        <f aca="false">F1409/E1409</f>
        <v>0.00292302017579878</v>
      </c>
    </row>
    <row r="1410" customFormat="false" ht="12.8" hidden="false" customHeight="false" outlineLevel="0" collapsed="false">
      <c r="A1410" s="0" t="s">
        <v>2057</v>
      </c>
      <c r="B1410" s="0" t="s">
        <v>2058</v>
      </c>
      <c r="C1410" s="0" t="s">
        <v>31</v>
      </c>
      <c r="D1410" s="0" t="s">
        <v>16</v>
      </c>
      <c r="E1410" s="0" t="n">
        <v>1432.43</v>
      </c>
      <c r="F1410" s="0" t="n">
        <v>156</v>
      </c>
      <c r="G1410" s="0" t="str">
        <f aca="false">IF(F1410&lt;=30,"Current",IF(F1410&lt;=60,"31 to 60 days",IF(F1410&lt;=90,"61 to 90 days",IF(F1410&lt;=120,"91 to 120 days","Over 120 days"))))</f>
        <v>Over 120 days</v>
      </c>
      <c r="H1410" s="0" t="n">
        <f aca="false">VLOOKUP(D1410,Rates!$A$4:$B$7,2,FALSE())</f>
        <v>0.085</v>
      </c>
      <c r="I1410" s="0" t="n">
        <f aca="false">VLOOKUP(F1410,Rates!$D$4:$E$8,2)</f>
        <v>0.85</v>
      </c>
      <c r="J1410" s="0" t="n">
        <f aca="false">ROUND(E1410*I1410,2)</f>
        <v>1217.57</v>
      </c>
      <c r="K1410" s="1" t="n">
        <f aca="false">PV(H1410/12,F1410/30,0,-E1410)</f>
        <v>1380.80796273134</v>
      </c>
      <c r="L1410" s="0" t="n">
        <f aca="false">ROUND(E1410-K1410,2)</f>
        <v>51.62</v>
      </c>
      <c r="M1410" s="0" t="n">
        <f aca="false">F1410/E1410</f>
        <v>0.108905845311813</v>
      </c>
    </row>
    <row r="1411" customFormat="false" ht="12.8" hidden="false" customHeight="false" outlineLevel="0" collapsed="false">
      <c r="A1411" s="0" t="s">
        <v>2059</v>
      </c>
      <c r="B1411" s="0" t="s">
        <v>2060</v>
      </c>
      <c r="C1411" s="0" t="s">
        <v>36</v>
      </c>
      <c r="D1411" s="0" t="s">
        <v>16</v>
      </c>
      <c r="E1411" s="0" t="n">
        <v>29518.51</v>
      </c>
      <c r="F1411" s="0" t="n">
        <v>247</v>
      </c>
      <c r="G1411" s="0" t="str">
        <f aca="false">IF(F1411&lt;=30,"Current",IF(F1411&lt;=60,"31 to 60 days",IF(F1411&lt;=90,"61 to 90 days",IF(F1411&lt;=120,"91 to 120 days","Over 120 days"))))</f>
        <v>Over 120 days</v>
      </c>
      <c r="H1411" s="0" t="n">
        <f aca="false">VLOOKUP(D1411,Rates!$A$4:$B$7,2,FALSE())</f>
        <v>0.085</v>
      </c>
      <c r="I1411" s="0" t="n">
        <f aca="false">VLOOKUP(F1411,Rates!$D$4:$E$8,2)</f>
        <v>0.85</v>
      </c>
      <c r="J1411" s="0" t="n">
        <f aca="false">ROUND(E1411*I1411,2)</f>
        <v>25090.73</v>
      </c>
      <c r="K1411" s="1" t="n">
        <f aca="false">PV(H1411/12,F1411/30,0,-E1411)</f>
        <v>27851.9688196493</v>
      </c>
      <c r="L1411" s="0" t="n">
        <f aca="false">ROUND(E1411-K1411,2)</f>
        <v>1666.54</v>
      </c>
      <c r="M1411" s="0" t="n">
        <f aca="false">F1411/E1411</f>
        <v>0.00836763102202652</v>
      </c>
    </row>
    <row r="1412" customFormat="false" ht="12.8" hidden="false" customHeight="false" outlineLevel="0" collapsed="false">
      <c r="A1412" s="0" t="s">
        <v>2061</v>
      </c>
      <c r="B1412" s="0" t="s">
        <v>97</v>
      </c>
      <c r="C1412" s="0" t="s">
        <v>42</v>
      </c>
      <c r="D1412" s="0" t="s">
        <v>20</v>
      </c>
      <c r="E1412" s="0" t="n">
        <v>0</v>
      </c>
      <c r="F1412" s="0" t="n">
        <v>270</v>
      </c>
      <c r="G1412" s="0" t="str">
        <f aca="false">IF(F1412&lt;=30,"Current",IF(F1412&lt;=60,"31 to 60 days",IF(F1412&lt;=90,"61 to 90 days",IF(F1412&lt;=120,"91 to 120 days","Over 120 days"))))</f>
        <v>Over 120 days</v>
      </c>
      <c r="H1412" s="0" t="n">
        <f aca="false">VLOOKUP(D1412,Rates!$A$4:$B$7,2,FALSE())</f>
        <v>0.05</v>
      </c>
      <c r="I1412" s="0" t="n">
        <f aca="false">VLOOKUP(F1412,Rates!$D$4:$E$8,2)</f>
        <v>0.85</v>
      </c>
      <c r="J1412" s="0" t="n">
        <f aca="false">ROUND(E1412*I1412,2)</f>
        <v>0</v>
      </c>
      <c r="K1412" s="1" t="n">
        <f aca="false">PV(H1412/12,F1412/30,0,-E1412)</f>
        <v>-0</v>
      </c>
      <c r="L1412" s="0" t="n">
        <f aca="false">ROUND(E1412-K1412,2)</f>
        <v>0</v>
      </c>
      <c r="M1412" s="0" t="e">
        <f aca="false">F1412/E1412</f>
        <v>#DIV/0!</v>
      </c>
    </row>
    <row r="1413" customFormat="false" ht="12.8" hidden="false" customHeight="false" outlineLevel="0" collapsed="false">
      <c r="A1413" s="0" t="s">
        <v>2062</v>
      </c>
      <c r="B1413" s="0" t="s">
        <v>2063</v>
      </c>
      <c r="C1413" s="0" t="s">
        <v>31</v>
      </c>
      <c r="D1413" s="0" t="s">
        <v>49</v>
      </c>
      <c r="E1413" s="0" t="n">
        <v>14904.34</v>
      </c>
      <c r="F1413" s="0" t="n">
        <v>330</v>
      </c>
      <c r="G1413" s="0" t="str">
        <f aca="false">IF(F1413&lt;=30,"Current",IF(F1413&lt;=60,"31 to 60 days",IF(F1413&lt;=90,"61 to 90 days",IF(F1413&lt;=120,"91 to 120 days","Over 120 days"))))</f>
        <v>Over 120 days</v>
      </c>
      <c r="H1413" s="0" t="n">
        <f aca="false">VLOOKUP(D1413,Rates!$A$4:$B$7,2,FALSE())</f>
        <v>0.02</v>
      </c>
      <c r="I1413" s="0" t="n">
        <f aca="false">VLOOKUP(F1413,Rates!$D$4:$E$8,2)</f>
        <v>0.85</v>
      </c>
      <c r="J1413" s="0" t="n">
        <f aca="false">ROUND(E1413*I1413,2)</f>
        <v>12668.69</v>
      </c>
      <c r="K1413" s="1" t="n">
        <f aca="false">PV(H1413/12,F1413/30,0,-E1413)</f>
        <v>14633.8066090944</v>
      </c>
      <c r="L1413" s="0" t="n">
        <f aca="false">ROUND(E1413-K1413,2)</f>
        <v>270.53</v>
      </c>
      <c r="M1413" s="0" t="n">
        <f aca="false">F1413/E1413</f>
        <v>0.022141201824435</v>
      </c>
    </row>
    <row r="1414" customFormat="false" ht="12.8" hidden="false" customHeight="false" outlineLevel="0" collapsed="false">
      <c r="A1414" s="0" t="s">
        <v>2064</v>
      </c>
      <c r="B1414" s="0" t="s">
        <v>30</v>
      </c>
      <c r="C1414" s="0" t="s">
        <v>31</v>
      </c>
      <c r="D1414" s="0" t="s">
        <v>20</v>
      </c>
      <c r="E1414" s="0" t="n">
        <v>44204.45</v>
      </c>
      <c r="F1414" s="0" t="n">
        <v>74</v>
      </c>
      <c r="G1414" s="0" t="str">
        <f aca="false">IF(F1414&lt;=30,"Current",IF(F1414&lt;=60,"31 to 60 days",IF(F1414&lt;=90,"61 to 90 days",IF(F1414&lt;=120,"91 to 120 days","Over 120 days"))))</f>
        <v>61 to 90 days</v>
      </c>
      <c r="H1414" s="0" t="n">
        <f aca="false">VLOOKUP(D1414,Rates!$A$4:$B$7,2,FALSE())</f>
        <v>0.05</v>
      </c>
      <c r="I1414" s="0" t="n">
        <f aca="false">VLOOKUP(F1414,Rates!$D$4:$E$8,2)</f>
        <v>0.25</v>
      </c>
      <c r="J1414" s="0" t="n">
        <f aca="false">ROUND(E1414*I1414,2)</f>
        <v>11051.11</v>
      </c>
      <c r="K1414" s="1" t="n">
        <f aca="false">PV(H1414/12,F1414/30,0,-E1414)</f>
        <v>43753.3874710324</v>
      </c>
      <c r="L1414" s="0" t="n">
        <f aca="false">ROUND(E1414-K1414,2)</f>
        <v>451.06</v>
      </c>
      <c r="M1414" s="0" t="n">
        <f aca="false">F1414/E1414</f>
        <v>0.00167403960460994</v>
      </c>
    </row>
    <row r="1415" customFormat="false" ht="12.8" hidden="false" customHeight="false" outlineLevel="0" collapsed="false">
      <c r="A1415" s="0" t="s">
        <v>2065</v>
      </c>
      <c r="B1415" s="0" t="s">
        <v>682</v>
      </c>
      <c r="C1415" s="0" t="s">
        <v>19</v>
      </c>
      <c r="D1415" s="0" t="s">
        <v>23</v>
      </c>
      <c r="E1415" s="0" t="n">
        <v>11563.28</v>
      </c>
      <c r="F1415" s="0" t="n">
        <v>154</v>
      </c>
      <c r="G1415" s="0" t="str">
        <f aca="false">IF(F1415&lt;=30,"Current",IF(F1415&lt;=60,"31 to 60 days",IF(F1415&lt;=90,"61 to 90 days",IF(F1415&lt;=120,"91 to 120 days","Over 120 days"))))</f>
        <v>Over 120 days</v>
      </c>
      <c r="H1415" s="0" t="n">
        <f aca="false">VLOOKUP(D1415,Rates!$A$4:$B$7,2,FALSE())</f>
        <v>0.115</v>
      </c>
      <c r="I1415" s="0" t="n">
        <f aca="false">VLOOKUP(F1415,Rates!$D$4:$E$8,2)</f>
        <v>0.85</v>
      </c>
      <c r="J1415" s="0" t="n">
        <f aca="false">ROUND(E1415*I1415,2)</f>
        <v>9828.79</v>
      </c>
      <c r="K1415" s="1" t="n">
        <f aca="false">PV(H1415/12,F1415/30,0,-E1415)</f>
        <v>11010.7750537129</v>
      </c>
      <c r="L1415" s="0" t="n">
        <f aca="false">ROUND(E1415-K1415,2)</f>
        <v>552.5</v>
      </c>
      <c r="M1415" s="0" t="n">
        <f aca="false">F1415/E1415</f>
        <v>0.0133180204924554</v>
      </c>
    </row>
    <row r="1416" customFormat="false" ht="12.8" hidden="false" customHeight="false" outlineLevel="0" collapsed="false">
      <c r="A1416" s="0" t="s">
        <v>2066</v>
      </c>
      <c r="B1416" s="0" t="s">
        <v>2067</v>
      </c>
      <c r="C1416" s="0" t="s">
        <v>15</v>
      </c>
      <c r="D1416" s="0" t="s">
        <v>16</v>
      </c>
      <c r="E1416" s="0" t="n">
        <v>44638.24</v>
      </c>
      <c r="F1416" s="0" t="n">
        <v>33</v>
      </c>
      <c r="G1416" s="0" t="str">
        <f aca="false">IF(F1416&lt;=30,"Current",IF(F1416&lt;=60,"31 to 60 days",IF(F1416&lt;=90,"61 to 90 days",IF(F1416&lt;=120,"91 to 120 days","Over 120 days"))))</f>
        <v>31 to 60 days</v>
      </c>
      <c r="H1416" s="0" t="n">
        <f aca="false">VLOOKUP(D1416,Rates!$A$4:$B$7,2,FALSE())</f>
        <v>0.085</v>
      </c>
      <c r="I1416" s="0" t="n">
        <f aca="false">VLOOKUP(F1416,Rates!$D$4:$E$8,2)</f>
        <v>0.1</v>
      </c>
      <c r="J1416" s="0" t="n">
        <f aca="false">ROUND(E1416*I1416,2)</f>
        <v>4463.82</v>
      </c>
      <c r="K1416" s="1" t="n">
        <f aca="false">PV(H1416/12,F1416/30,0,-E1416)</f>
        <v>44293.0017250664</v>
      </c>
      <c r="L1416" s="0" t="n">
        <f aca="false">ROUND(E1416-K1416,2)</f>
        <v>345.24</v>
      </c>
      <c r="M1416" s="0" t="n">
        <f aca="false">F1416/E1416</f>
        <v>0.000739276458928488</v>
      </c>
    </row>
    <row r="1417" customFormat="false" ht="12.8" hidden="false" customHeight="false" outlineLevel="0" collapsed="false">
      <c r="A1417" s="0" t="s">
        <v>2068</v>
      </c>
      <c r="B1417" s="0" t="s">
        <v>2069</v>
      </c>
      <c r="C1417" s="0" t="s">
        <v>31</v>
      </c>
      <c r="D1417" s="0" t="s">
        <v>49</v>
      </c>
      <c r="E1417" s="0" t="n">
        <v>1843.96</v>
      </c>
      <c r="F1417" s="0" t="n">
        <v>194</v>
      </c>
      <c r="G1417" s="0" t="str">
        <f aca="false">IF(F1417&lt;=30,"Current",IF(F1417&lt;=60,"31 to 60 days",IF(F1417&lt;=90,"61 to 90 days",IF(F1417&lt;=120,"91 to 120 days","Over 120 days"))))</f>
        <v>Over 120 days</v>
      </c>
      <c r="H1417" s="0" t="n">
        <f aca="false">VLOOKUP(D1417,Rates!$A$4:$B$7,2,FALSE())</f>
        <v>0.02</v>
      </c>
      <c r="I1417" s="0" t="n">
        <f aca="false">VLOOKUP(F1417,Rates!$D$4:$E$8,2)</f>
        <v>0.85</v>
      </c>
      <c r="J1417" s="0" t="n">
        <f aca="false">ROUND(E1417*I1417,2)</f>
        <v>1567.37</v>
      </c>
      <c r="K1417" s="1" t="n">
        <f aca="false">PV(H1417/12,F1417/30,0,-E1417)</f>
        <v>1824.20928866393</v>
      </c>
      <c r="L1417" s="0" t="n">
        <f aca="false">ROUND(E1417-K1417,2)</f>
        <v>19.75</v>
      </c>
      <c r="M1417" s="0" t="n">
        <f aca="false">F1417/E1417</f>
        <v>0.10520835592963</v>
      </c>
    </row>
    <row r="1418" customFormat="false" ht="12.8" hidden="false" customHeight="false" outlineLevel="0" collapsed="false">
      <c r="A1418" s="0" t="s">
        <v>2070</v>
      </c>
      <c r="B1418" s="0" t="s">
        <v>2071</v>
      </c>
      <c r="C1418" s="0" t="s">
        <v>19</v>
      </c>
      <c r="D1418" s="0" t="s">
        <v>49</v>
      </c>
      <c r="E1418" s="0" t="n">
        <v>1368.94</v>
      </c>
      <c r="F1418" s="0" t="n">
        <v>47</v>
      </c>
      <c r="G1418" s="0" t="str">
        <f aca="false">IF(F1418&lt;=30,"Current",IF(F1418&lt;=60,"31 to 60 days",IF(F1418&lt;=90,"61 to 90 days",IF(F1418&lt;=120,"91 to 120 days","Over 120 days"))))</f>
        <v>31 to 60 days</v>
      </c>
      <c r="H1418" s="0" t="n">
        <f aca="false">VLOOKUP(D1418,Rates!$A$4:$B$7,2,FALSE())</f>
        <v>0.02</v>
      </c>
      <c r="I1418" s="0" t="n">
        <f aca="false">VLOOKUP(F1418,Rates!$D$4:$E$8,2)</f>
        <v>0.1</v>
      </c>
      <c r="J1418" s="0" t="n">
        <f aca="false">ROUND(E1418*I1418,2)</f>
        <v>136.89</v>
      </c>
      <c r="K1418" s="1" t="n">
        <f aca="false">PV(H1418/12,F1418/30,0,-E1418)</f>
        <v>1365.37317579608</v>
      </c>
      <c r="L1418" s="0" t="n">
        <f aca="false">ROUND(E1418-K1418,2)</f>
        <v>3.57</v>
      </c>
      <c r="M1418" s="0" t="n">
        <f aca="false">F1418/E1418</f>
        <v>0.0343331336654638</v>
      </c>
    </row>
    <row r="1419" customFormat="false" ht="12.8" hidden="false" customHeight="false" outlineLevel="0" collapsed="false">
      <c r="A1419" s="0" t="s">
        <v>2072</v>
      </c>
      <c r="B1419" s="0" t="s">
        <v>2073</v>
      </c>
      <c r="C1419" s="0" t="s">
        <v>19</v>
      </c>
      <c r="D1419" s="0" t="s">
        <v>16</v>
      </c>
      <c r="E1419" s="0" t="n">
        <v>37869.15</v>
      </c>
      <c r="F1419" s="0" t="n">
        <v>250</v>
      </c>
      <c r="G1419" s="0" t="str">
        <f aca="false">IF(F1419&lt;=30,"Current",IF(F1419&lt;=60,"31 to 60 days",IF(F1419&lt;=90,"61 to 90 days",IF(F1419&lt;=120,"91 to 120 days","Over 120 days"))))</f>
        <v>Over 120 days</v>
      </c>
      <c r="H1419" s="0" t="n">
        <f aca="false">VLOOKUP(D1419,Rates!$A$4:$B$7,2,FALSE())</f>
        <v>0.085</v>
      </c>
      <c r="I1419" s="0" t="n">
        <f aca="false">VLOOKUP(F1419,Rates!$D$4:$E$8,2)</f>
        <v>0.85</v>
      </c>
      <c r="J1419" s="0" t="n">
        <f aca="false">ROUND(E1419*I1419,2)</f>
        <v>32188.78</v>
      </c>
      <c r="K1419" s="1" t="n">
        <f aca="false">PV(H1419/12,F1419/30,0,-E1419)</f>
        <v>35705.9411387681</v>
      </c>
      <c r="L1419" s="0" t="n">
        <f aca="false">ROUND(E1419-K1419,2)</f>
        <v>2163.21</v>
      </c>
      <c r="M1419" s="0" t="n">
        <f aca="false">F1419/E1419</f>
        <v>0.00660167973139086</v>
      </c>
    </row>
    <row r="1420" customFormat="false" ht="12.8" hidden="false" customHeight="false" outlineLevel="0" collapsed="false">
      <c r="A1420" s="0" t="s">
        <v>2074</v>
      </c>
      <c r="B1420" s="0" t="s">
        <v>2075</v>
      </c>
      <c r="C1420" s="0" t="s">
        <v>42</v>
      </c>
      <c r="D1420" s="0" t="s">
        <v>49</v>
      </c>
      <c r="E1420" s="0" t="n">
        <v>32952.46</v>
      </c>
      <c r="F1420" s="0" t="n">
        <v>314</v>
      </c>
      <c r="G1420" s="0" t="str">
        <f aca="false">IF(F1420&lt;=30,"Current",IF(F1420&lt;=60,"31 to 60 days",IF(F1420&lt;=90,"61 to 90 days",IF(F1420&lt;=120,"91 to 120 days","Over 120 days"))))</f>
        <v>Over 120 days</v>
      </c>
      <c r="H1420" s="0" t="n">
        <f aca="false">VLOOKUP(D1420,Rates!$A$4:$B$7,2,FALSE())</f>
        <v>0.02</v>
      </c>
      <c r="I1420" s="0" t="n">
        <f aca="false">VLOOKUP(F1420,Rates!$D$4:$E$8,2)</f>
        <v>0.85</v>
      </c>
      <c r="J1420" s="0" t="n">
        <f aca="false">ROUND(E1420*I1420,2)</f>
        <v>28009.59</v>
      </c>
      <c r="K1420" s="1" t="n">
        <f aca="false">PV(H1420/12,F1420/30,0,-E1420)</f>
        <v>32383.077701619</v>
      </c>
      <c r="L1420" s="0" t="n">
        <f aca="false">ROUND(E1420-K1420,2)</f>
        <v>569.38</v>
      </c>
      <c r="M1420" s="0" t="n">
        <f aca="false">F1420/E1420</f>
        <v>0.00952887887581079</v>
      </c>
    </row>
    <row r="1421" customFormat="false" ht="12.8" hidden="false" customHeight="false" outlineLevel="0" collapsed="false">
      <c r="A1421" s="0" t="s">
        <v>2076</v>
      </c>
      <c r="B1421" s="0" t="s">
        <v>242</v>
      </c>
      <c r="C1421" s="0" t="s">
        <v>36</v>
      </c>
      <c r="D1421" s="0" t="s">
        <v>23</v>
      </c>
      <c r="E1421" s="0" t="n">
        <v>39829.7</v>
      </c>
      <c r="F1421" s="0" t="n">
        <v>260</v>
      </c>
      <c r="G1421" s="0" t="str">
        <f aca="false">IF(F1421&lt;=30,"Current",IF(F1421&lt;=60,"31 to 60 days",IF(F1421&lt;=90,"61 to 90 days",IF(F1421&lt;=120,"91 to 120 days","Over 120 days"))))</f>
        <v>Over 120 days</v>
      </c>
      <c r="H1421" s="0" t="n">
        <f aca="false">VLOOKUP(D1421,Rates!$A$4:$B$7,2,FALSE())</f>
        <v>0.115</v>
      </c>
      <c r="I1421" s="0" t="n">
        <f aca="false">VLOOKUP(F1421,Rates!$D$4:$E$8,2)</f>
        <v>0.85</v>
      </c>
      <c r="J1421" s="0" t="n">
        <f aca="false">ROUND(E1421*I1421,2)</f>
        <v>33855.25</v>
      </c>
      <c r="K1421" s="1" t="n">
        <f aca="false">PV(H1421/12,F1421/30,0,-E1421)</f>
        <v>36669.7718243242</v>
      </c>
      <c r="L1421" s="0" t="n">
        <f aca="false">ROUND(E1421-K1421,2)</f>
        <v>3159.93</v>
      </c>
      <c r="M1421" s="0" t="n">
        <f aca="false">F1421/E1421</f>
        <v>0.00652779207475828</v>
      </c>
    </row>
    <row r="1422" customFormat="false" ht="12.8" hidden="false" customHeight="false" outlineLevel="0" collapsed="false">
      <c r="A1422" s="0" t="s">
        <v>2077</v>
      </c>
      <c r="B1422" s="0" t="s">
        <v>2078</v>
      </c>
      <c r="C1422" s="0" t="s">
        <v>36</v>
      </c>
      <c r="D1422" s="0" t="s">
        <v>16</v>
      </c>
      <c r="E1422" s="0" t="n">
        <v>1988.76</v>
      </c>
      <c r="F1422" s="0" t="n">
        <v>40</v>
      </c>
      <c r="G1422" s="0" t="str">
        <f aca="false">IF(F1422&lt;=30,"Current",IF(F1422&lt;=60,"31 to 60 days",IF(F1422&lt;=90,"61 to 90 days",IF(F1422&lt;=120,"91 to 120 days","Over 120 days"))))</f>
        <v>31 to 60 days</v>
      </c>
      <c r="H1422" s="0" t="n">
        <f aca="false">VLOOKUP(D1422,Rates!$A$4:$B$7,2,FALSE())</f>
        <v>0.085</v>
      </c>
      <c r="I1422" s="0" t="n">
        <f aca="false">VLOOKUP(F1422,Rates!$D$4:$E$8,2)</f>
        <v>0.1</v>
      </c>
      <c r="J1422" s="0" t="n">
        <f aca="false">ROUND(E1422*I1422,2)</f>
        <v>198.88</v>
      </c>
      <c r="K1422" s="1" t="n">
        <f aca="false">PV(H1422/12,F1422/30,0,-E1422)</f>
        <v>1970.13127276548</v>
      </c>
      <c r="L1422" s="0" t="n">
        <f aca="false">ROUND(E1422-K1422,2)</f>
        <v>18.63</v>
      </c>
      <c r="M1422" s="0" t="n">
        <f aca="false">F1422/E1422</f>
        <v>0.0201130352581508</v>
      </c>
    </row>
    <row r="1423" customFormat="false" ht="12.8" hidden="false" customHeight="false" outlineLevel="0" collapsed="false">
      <c r="A1423" s="0" t="s">
        <v>2079</v>
      </c>
      <c r="B1423" s="0" t="s">
        <v>1454</v>
      </c>
      <c r="C1423" s="0" t="s">
        <v>26</v>
      </c>
      <c r="D1423" s="0" t="s">
        <v>49</v>
      </c>
      <c r="E1423" s="0" t="n">
        <v>5850.25</v>
      </c>
      <c r="F1423" s="0" t="n">
        <v>44</v>
      </c>
      <c r="G1423" s="0" t="str">
        <f aca="false">IF(F1423&lt;=30,"Current",IF(F1423&lt;=60,"31 to 60 days",IF(F1423&lt;=90,"61 to 90 days",IF(F1423&lt;=120,"91 to 120 days","Over 120 days"))))</f>
        <v>31 to 60 days</v>
      </c>
      <c r="H1423" s="0" t="n">
        <f aca="false">VLOOKUP(D1423,Rates!$A$4:$B$7,2,FALSE())</f>
        <v>0.02</v>
      </c>
      <c r="I1423" s="0" t="n">
        <f aca="false">VLOOKUP(F1423,Rates!$D$4:$E$8,2)</f>
        <v>0.1</v>
      </c>
      <c r="J1423" s="0" t="n">
        <f aca="false">ROUND(E1423*I1423,2)</f>
        <v>585.03</v>
      </c>
      <c r="K1423" s="1" t="n">
        <f aca="false">PV(H1423/12,F1423/30,0,-E1423)</f>
        <v>5835.97872808074</v>
      </c>
      <c r="L1423" s="0" t="n">
        <f aca="false">ROUND(E1423-K1423,2)</f>
        <v>14.27</v>
      </c>
      <c r="M1423" s="0" t="n">
        <f aca="false">F1423/E1423</f>
        <v>0.00752104610914064</v>
      </c>
    </row>
    <row r="1424" customFormat="false" ht="12.8" hidden="false" customHeight="false" outlineLevel="0" collapsed="false">
      <c r="A1424" s="0" t="s">
        <v>2080</v>
      </c>
      <c r="B1424" s="0" t="s">
        <v>303</v>
      </c>
      <c r="C1424" s="0" t="s">
        <v>31</v>
      </c>
      <c r="D1424" s="0" t="s">
        <v>23</v>
      </c>
      <c r="E1424" s="0" t="n">
        <v>7506.84</v>
      </c>
      <c r="F1424" s="0" t="n">
        <v>363</v>
      </c>
      <c r="G1424" s="0" t="str">
        <f aca="false">IF(F1424&lt;=30,"Current",IF(F1424&lt;=60,"31 to 60 days",IF(F1424&lt;=90,"61 to 90 days",IF(F1424&lt;=120,"91 to 120 days","Over 120 days"))))</f>
        <v>Over 120 days</v>
      </c>
      <c r="H1424" s="0" t="n">
        <f aca="false">VLOOKUP(D1424,Rates!$A$4:$B$7,2,FALSE())</f>
        <v>0.115</v>
      </c>
      <c r="I1424" s="0" t="n">
        <f aca="false">VLOOKUP(F1424,Rates!$D$4:$E$8,2)</f>
        <v>0.85</v>
      </c>
      <c r="J1424" s="0" t="n">
        <f aca="false">ROUND(E1424*I1424,2)</f>
        <v>6380.81</v>
      </c>
      <c r="K1424" s="1" t="n">
        <f aca="false">PV(H1424/12,F1424/30,0,-E1424)</f>
        <v>6688.62539018737</v>
      </c>
      <c r="L1424" s="0" t="n">
        <f aca="false">ROUND(E1424-K1424,2)</f>
        <v>818.21</v>
      </c>
      <c r="M1424" s="0" t="n">
        <f aca="false">F1424/E1424</f>
        <v>0.0483558994197292</v>
      </c>
    </row>
    <row r="1425" customFormat="false" ht="12.8" hidden="false" customHeight="false" outlineLevel="0" collapsed="false">
      <c r="A1425" s="0" t="s">
        <v>2081</v>
      </c>
      <c r="B1425" s="0" t="s">
        <v>2082</v>
      </c>
      <c r="C1425" s="0" t="s">
        <v>19</v>
      </c>
      <c r="D1425" s="0" t="s">
        <v>16</v>
      </c>
      <c r="E1425" s="0" t="n">
        <v>32916.09</v>
      </c>
      <c r="F1425" s="0" t="n">
        <v>40</v>
      </c>
      <c r="G1425" s="0" t="str">
        <f aca="false">IF(F1425&lt;=30,"Current",IF(F1425&lt;=60,"31 to 60 days",IF(F1425&lt;=90,"61 to 90 days",IF(F1425&lt;=120,"91 to 120 days","Over 120 days"))))</f>
        <v>31 to 60 days</v>
      </c>
      <c r="H1425" s="0" t="n">
        <f aca="false">VLOOKUP(D1425,Rates!$A$4:$B$7,2,FALSE())</f>
        <v>0.085</v>
      </c>
      <c r="I1425" s="0" t="n">
        <f aca="false">VLOOKUP(F1425,Rates!$D$4:$E$8,2)</f>
        <v>0.1</v>
      </c>
      <c r="J1425" s="0" t="n">
        <f aca="false">ROUND(E1425*I1425,2)</f>
        <v>3291.61</v>
      </c>
      <c r="K1425" s="1" t="n">
        <f aca="false">PV(H1425/12,F1425/30,0,-E1425)</f>
        <v>32607.7647811517</v>
      </c>
      <c r="L1425" s="0" t="n">
        <f aca="false">ROUND(E1425-K1425,2)</f>
        <v>308.33</v>
      </c>
      <c r="M1425" s="0" t="n">
        <f aca="false">F1425/E1425</f>
        <v>0.0012152111626867</v>
      </c>
    </row>
    <row r="1426" customFormat="false" ht="12.8" hidden="false" customHeight="false" outlineLevel="0" collapsed="false">
      <c r="A1426" s="0" t="s">
        <v>2083</v>
      </c>
      <c r="B1426" s="0" t="s">
        <v>33</v>
      </c>
      <c r="C1426" s="0" t="s">
        <v>26</v>
      </c>
      <c r="D1426" s="0" t="s">
        <v>20</v>
      </c>
      <c r="E1426" s="0" t="n">
        <v>43992.45</v>
      </c>
      <c r="F1426" s="0" t="n">
        <v>250</v>
      </c>
      <c r="G1426" s="0" t="str">
        <f aca="false">IF(F1426&lt;=30,"Current",IF(F1426&lt;=60,"31 to 60 days",IF(F1426&lt;=90,"61 to 90 days",IF(F1426&lt;=120,"91 to 120 days","Over 120 days"))))</f>
        <v>Over 120 days</v>
      </c>
      <c r="H1426" s="0" t="n">
        <f aca="false">VLOOKUP(D1426,Rates!$A$4:$B$7,2,FALSE())</f>
        <v>0.05</v>
      </c>
      <c r="I1426" s="0" t="n">
        <f aca="false">VLOOKUP(F1426,Rates!$D$4:$E$8,2)</f>
        <v>0.85</v>
      </c>
      <c r="J1426" s="0" t="n">
        <f aca="false">ROUND(E1426*I1426,2)</f>
        <v>37393.58</v>
      </c>
      <c r="K1426" s="1" t="n">
        <f aca="false">PV(H1426/12,F1426/30,0,-E1426)</f>
        <v>42494.2147745726</v>
      </c>
      <c r="L1426" s="0" t="n">
        <f aca="false">ROUND(E1426-K1426,2)</f>
        <v>1498.24</v>
      </c>
      <c r="M1426" s="0" t="n">
        <f aca="false">F1426/E1426</f>
        <v>0.00568279329748627</v>
      </c>
    </row>
    <row r="1427" customFormat="false" ht="12.8" hidden="false" customHeight="false" outlineLevel="0" collapsed="false">
      <c r="A1427" s="0" t="s">
        <v>2084</v>
      </c>
      <c r="B1427" s="0" t="s">
        <v>2085</v>
      </c>
      <c r="C1427" s="0" t="s">
        <v>15</v>
      </c>
      <c r="D1427" s="0" t="s">
        <v>16</v>
      </c>
      <c r="E1427" s="0" t="n">
        <v>40887.08</v>
      </c>
      <c r="F1427" s="0" t="n">
        <v>52</v>
      </c>
      <c r="G1427" s="0" t="str">
        <f aca="false">IF(F1427&lt;=30,"Current",IF(F1427&lt;=60,"31 to 60 days",IF(F1427&lt;=90,"61 to 90 days",IF(F1427&lt;=120,"91 to 120 days","Over 120 days"))))</f>
        <v>31 to 60 days</v>
      </c>
      <c r="H1427" s="0" t="n">
        <f aca="false">VLOOKUP(D1427,Rates!$A$4:$B$7,2,FALSE())</f>
        <v>0.085</v>
      </c>
      <c r="I1427" s="0" t="n">
        <f aca="false">VLOOKUP(F1427,Rates!$D$4:$E$8,2)</f>
        <v>0.1</v>
      </c>
      <c r="J1427" s="0" t="n">
        <f aca="false">ROUND(E1427*I1427,2)</f>
        <v>4088.71</v>
      </c>
      <c r="K1427" s="1" t="n">
        <f aca="false">PV(H1427/12,F1427/30,0,-E1427)</f>
        <v>40389.8946998315</v>
      </c>
      <c r="L1427" s="0" t="n">
        <f aca="false">ROUND(E1427-K1427,2)</f>
        <v>497.19</v>
      </c>
      <c r="M1427" s="0" t="n">
        <f aca="false">F1427/E1427</f>
        <v>0.00127179539355708</v>
      </c>
    </row>
    <row r="1428" customFormat="false" ht="12.8" hidden="false" customHeight="false" outlineLevel="0" collapsed="false">
      <c r="A1428" s="0" t="s">
        <v>2086</v>
      </c>
      <c r="B1428" s="0" t="s">
        <v>33</v>
      </c>
      <c r="C1428" s="0" t="s">
        <v>26</v>
      </c>
      <c r="D1428" s="0" t="s">
        <v>20</v>
      </c>
      <c r="E1428" s="0" t="n">
        <v>7488.05</v>
      </c>
      <c r="F1428" s="0" t="n">
        <v>163</v>
      </c>
      <c r="G1428" s="0" t="str">
        <f aca="false">IF(F1428&lt;=30,"Current",IF(F1428&lt;=60,"31 to 60 days",IF(F1428&lt;=90,"61 to 90 days",IF(F1428&lt;=120,"91 to 120 days","Over 120 days"))))</f>
        <v>Over 120 days</v>
      </c>
      <c r="H1428" s="0" t="n">
        <f aca="false">VLOOKUP(D1428,Rates!$A$4:$B$7,2,FALSE())</f>
        <v>0.05</v>
      </c>
      <c r="I1428" s="0" t="n">
        <f aca="false">VLOOKUP(F1428,Rates!$D$4:$E$8,2)</f>
        <v>0.85</v>
      </c>
      <c r="J1428" s="0" t="n">
        <f aca="false">ROUND(E1428*I1428,2)</f>
        <v>6364.84</v>
      </c>
      <c r="K1428" s="1" t="n">
        <f aca="false">PV(H1428/12,F1428/30,0,-E1428)</f>
        <v>7320.77766971496</v>
      </c>
      <c r="L1428" s="0" t="n">
        <f aca="false">ROUND(E1428-K1428,2)</f>
        <v>167.27</v>
      </c>
      <c r="M1428" s="0" t="n">
        <f aca="false">F1428/E1428</f>
        <v>0.0217680170404845</v>
      </c>
    </row>
    <row r="1429" customFormat="false" ht="12.8" hidden="false" customHeight="false" outlineLevel="0" collapsed="false">
      <c r="A1429" s="0" t="s">
        <v>2087</v>
      </c>
      <c r="B1429" s="0" t="s">
        <v>30</v>
      </c>
      <c r="C1429" s="0" t="s">
        <v>31</v>
      </c>
      <c r="D1429" s="0" t="s">
        <v>20</v>
      </c>
      <c r="E1429" s="0" t="n">
        <v>4490.25</v>
      </c>
      <c r="F1429" s="0" t="n">
        <v>391</v>
      </c>
      <c r="G1429" s="0" t="str">
        <f aca="false">IF(F1429&lt;=30,"Current",IF(F1429&lt;=60,"31 to 60 days",IF(F1429&lt;=90,"61 to 90 days",IF(F1429&lt;=120,"91 to 120 days","Over 120 days"))))</f>
        <v>Over 120 days</v>
      </c>
      <c r="H1429" s="0" t="n">
        <f aca="false">VLOOKUP(D1429,Rates!$A$4:$B$7,2,FALSE())</f>
        <v>0.05</v>
      </c>
      <c r="I1429" s="0" t="n">
        <f aca="false">VLOOKUP(F1429,Rates!$D$4:$E$8,2)</f>
        <v>0.85</v>
      </c>
      <c r="J1429" s="0" t="n">
        <f aca="false">ROUND(E1429*I1429,2)</f>
        <v>3816.71</v>
      </c>
      <c r="K1429" s="1" t="n">
        <f aca="false">PV(H1429/12,F1429/30,0,-E1429)</f>
        <v>4253.38717224825</v>
      </c>
      <c r="L1429" s="0" t="n">
        <f aca="false">ROUND(E1429-K1429,2)</f>
        <v>236.86</v>
      </c>
      <c r="M1429" s="0" t="n">
        <f aca="false">F1429/E1429</f>
        <v>0.0870775569289015</v>
      </c>
    </row>
    <row r="1430" customFormat="false" ht="12.8" hidden="false" customHeight="false" outlineLevel="0" collapsed="false">
      <c r="A1430" s="0" t="s">
        <v>2088</v>
      </c>
      <c r="B1430" s="0" t="s">
        <v>441</v>
      </c>
      <c r="C1430" s="0" t="s">
        <v>15</v>
      </c>
      <c r="D1430" s="0" t="s">
        <v>23</v>
      </c>
      <c r="E1430" s="0" t="n">
        <v>1298.34</v>
      </c>
      <c r="F1430" s="0" t="n">
        <v>13</v>
      </c>
      <c r="G1430" s="0" t="str">
        <f aca="false">IF(F1430&lt;=30,"Current",IF(F1430&lt;=60,"31 to 60 days",IF(F1430&lt;=90,"61 to 90 days",IF(F1430&lt;=120,"91 to 120 days","Over 120 days"))))</f>
        <v>Current</v>
      </c>
      <c r="H1430" s="0" t="n">
        <f aca="false">VLOOKUP(D1430,Rates!$A$4:$B$7,2,FALSE())</f>
        <v>0.115</v>
      </c>
      <c r="I1430" s="0" t="n">
        <f aca="false">VLOOKUP(F1430,Rates!$D$4:$E$8,2)</f>
        <v>0.02</v>
      </c>
      <c r="J1430" s="0" t="n">
        <f aca="false">ROUND(E1430*I1430,2)</f>
        <v>25.97</v>
      </c>
      <c r="K1430" s="1" t="n">
        <f aca="false">PV(H1430/12,F1430/30,0,-E1430)</f>
        <v>1292.98502761865</v>
      </c>
      <c r="L1430" s="0" t="n">
        <f aca="false">ROUND(E1430-K1430,2)</f>
        <v>5.35</v>
      </c>
      <c r="M1430" s="0" t="n">
        <f aca="false">F1430/E1430</f>
        <v>0.0100127855569419</v>
      </c>
    </row>
    <row r="1431" customFormat="false" ht="12.8" hidden="false" customHeight="false" outlineLevel="0" collapsed="false">
      <c r="A1431" s="0" t="s">
        <v>2089</v>
      </c>
      <c r="B1431" s="0" t="s">
        <v>2090</v>
      </c>
      <c r="C1431" s="0" t="s">
        <v>19</v>
      </c>
      <c r="D1431" s="0" t="s">
        <v>49</v>
      </c>
      <c r="E1431" s="0" t="n">
        <v>33697.45</v>
      </c>
      <c r="F1431" s="0" t="n">
        <v>263</v>
      </c>
      <c r="G1431" s="0" t="str">
        <f aca="false">IF(F1431&lt;=30,"Current",IF(F1431&lt;=60,"31 to 60 days",IF(F1431&lt;=90,"61 to 90 days",IF(F1431&lt;=120,"91 to 120 days","Over 120 days"))))</f>
        <v>Over 120 days</v>
      </c>
      <c r="H1431" s="0" t="n">
        <f aca="false">VLOOKUP(D1431,Rates!$A$4:$B$7,2,FALSE())</f>
        <v>0.02</v>
      </c>
      <c r="I1431" s="0" t="n">
        <f aca="false">VLOOKUP(F1431,Rates!$D$4:$E$8,2)</f>
        <v>0.85</v>
      </c>
      <c r="J1431" s="0" t="n">
        <f aca="false">ROUND(E1431*I1431,2)</f>
        <v>28642.83</v>
      </c>
      <c r="K1431" s="1" t="n">
        <f aca="false">PV(H1431/12,F1431/30,0,-E1431)</f>
        <v>33209.0762021035</v>
      </c>
      <c r="L1431" s="0" t="n">
        <f aca="false">ROUND(E1431-K1431,2)</f>
        <v>488.37</v>
      </c>
      <c r="M1431" s="0" t="n">
        <f aca="false">F1431/E1431</f>
        <v>0.0078047448694189</v>
      </c>
    </row>
    <row r="1432" customFormat="false" ht="12.8" hidden="false" customHeight="false" outlineLevel="0" collapsed="false">
      <c r="A1432" s="0" t="s">
        <v>2091</v>
      </c>
      <c r="B1432" s="0" t="s">
        <v>28</v>
      </c>
      <c r="C1432" s="0" t="s">
        <v>15</v>
      </c>
      <c r="D1432" s="0" t="s">
        <v>20</v>
      </c>
      <c r="E1432" s="0" t="n">
        <v>26361.22</v>
      </c>
      <c r="F1432" s="0" t="n">
        <v>192</v>
      </c>
      <c r="G1432" s="0" t="str">
        <f aca="false">IF(F1432&lt;=30,"Current",IF(F1432&lt;=60,"31 to 60 days",IF(F1432&lt;=90,"61 to 90 days",IF(F1432&lt;=120,"91 to 120 days","Over 120 days"))))</f>
        <v>Over 120 days</v>
      </c>
      <c r="H1432" s="0" t="n">
        <f aca="false">VLOOKUP(D1432,Rates!$A$4:$B$7,2,FALSE())</f>
        <v>0.05</v>
      </c>
      <c r="I1432" s="0" t="n">
        <f aca="false">VLOOKUP(F1432,Rates!$D$4:$E$8,2)</f>
        <v>0.85</v>
      </c>
      <c r="J1432" s="0" t="n">
        <f aca="false">ROUND(E1432*I1432,2)</f>
        <v>22407.04</v>
      </c>
      <c r="K1432" s="1" t="n">
        <f aca="false">PV(H1432/12,F1432/30,0,-E1432)</f>
        <v>25668.9663149321</v>
      </c>
      <c r="L1432" s="0" t="n">
        <f aca="false">ROUND(E1432-K1432,2)</f>
        <v>692.25</v>
      </c>
      <c r="M1432" s="0" t="n">
        <f aca="false">F1432/E1432</f>
        <v>0.00728342618437235</v>
      </c>
    </row>
    <row r="1433" customFormat="false" ht="12.8" hidden="false" customHeight="false" outlineLevel="0" collapsed="false">
      <c r="A1433" s="0" t="s">
        <v>2092</v>
      </c>
      <c r="B1433" s="0" t="s">
        <v>2093</v>
      </c>
      <c r="C1433" s="0" t="s">
        <v>26</v>
      </c>
      <c r="D1433" s="0" t="s">
        <v>16</v>
      </c>
      <c r="E1433" s="0" t="n">
        <v>14246.5</v>
      </c>
      <c r="F1433" s="0" t="n">
        <v>179</v>
      </c>
      <c r="G1433" s="0" t="str">
        <f aca="false">IF(F1433&lt;=30,"Current",IF(F1433&lt;=60,"31 to 60 days",IF(F1433&lt;=90,"61 to 90 days",IF(F1433&lt;=120,"91 to 120 days","Over 120 days"))))</f>
        <v>Over 120 days</v>
      </c>
      <c r="H1433" s="0" t="n">
        <f aca="false">VLOOKUP(D1433,Rates!$A$4:$B$7,2,FALSE())</f>
        <v>0.085</v>
      </c>
      <c r="I1433" s="0" t="n">
        <f aca="false">VLOOKUP(F1433,Rates!$D$4:$E$8,2)</f>
        <v>0.85</v>
      </c>
      <c r="J1433" s="0" t="n">
        <f aca="false">ROUND(E1433*I1433,2)</f>
        <v>12109.53</v>
      </c>
      <c r="K1433" s="1" t="n">
        <f aca="false">PV(H1433/12,F1433/30,0,-E1433)</f>
        <v>13658.9687222688</v>
      </c>
      <c r="L1433" s="0" t="n">
        <f aca="false">ROUND(E1433-K1433,2)</f>
        <v>587.53</v>
      </c>
      <c r="M1433" s="0" t="n">
        <f aca="false">F1433/E1433</f>
        <v>0.0125644895237427</v>
      </c>
    </row>
    <row r="1434" customFormat="false" ht="12.8" hidden="false" customHeight="false" outlineLevel="0" collapsed="false">
      <c r="A1434" s="0" t="s">
        <v>2094</v>
      </c>
      <c r="B1434" s="0" t="s">
        <v>2095</v>
      </c>
      <c r="C1434" s="0" t="s">
        <v>19</v>
      </c>
      <c r="D1434" s="0" t="s">
        <v>49</v>
      </c>
      <c r="E1434" s="0" t="n">
        <v>35834.13</v>
      </c>
      <c r="F1434" s="0" t="n">
        <v>100</v>
      </c>
      <c r="G1434" s="0" t="str">
        <f aca="false">IF(F1434&lt;=30,"Current",IF(F1434&lt;=60,"31 to 60 days",IF(F1434&lt;=90,"61 to 90 days",IF(F1434&lt;=120,"91 to 120 days","Over 120 days"))))</f>
        <v>91 to 120 days</v>
      </c>
      <c r="H1434" s="0" t="n">
        <f aca="false">VLOOKUP(D1434,Rates!$A$4:$B$7,2,FALSE())</f>
        <v>0.02</v>
      </c>
      <c r="I1434" s="0" t="n">
        <f aca="false">VLOOKUP(F1434,Rates!$D$4:$E$8,2)</f>
        <v>0.5</v>
      </c>
      <c r="J1434" s="0" t="n">
        <f aca="false">ROUND(E1434*I1434,2)</f>
        <v>17917.07</v>
      </c>
      <c r="K1434" s="1" t="n">
        <f aca="false">PV(H1434/12,F1434/30,0,-E1434)</f>
        <v>35635.7682701326</v>
      </c>
      <c r="L1434" s="0" t="n">
        <f aca="false">ROUND(E1434-K1434,2)</f>
        <v>198.36</v>
      </c>
      <c r="M1434" s="0" t="n">
        <f aca="false">F1434/E1434</f>
        <v>0.00279063563144968</v>
      </c>
    </row>
    <row r="1435" customFormat="false" ht="12.8" hidden="false" customHeight="false" outlineLevel="0" collapsed="false">
      <c r="A1435" s="0" t="s">
        <v>2096</v>
      </c>
      <c r="B1435" s="0" t="s">
        <v>347</v>
      </c>
      <c r="C1435" s="0" t="s">
        <v>42</v>
      </c>
      <c r="D1435" s="0" t="s">
        <v>23</v>
      </c>
      <c r="E1435" s="0" t="n">
        <v>18785.15</v>
      </c>
      <c r="F1435" s="0" t="n">
        <v>393</v>
      </c>
      <c r="G1435" s="0" t="str">
        <f aca="false">IF(F1435&lt;=30,"Current",IF(F1435&lt;=60,"31 to 60 days",IF(F1435&lt;=90,"61 to 90 days",IF(F1435&lt;=120,"91 to 120 days","Over 120 days"))))</f>
        <v>Over 120 days</v>
      </c>
      <c r="H1435" s="0" t="n">
        <f aca="false">VLOOKUP(D1435,Rates!$A$4:$B$7,2,FALSE())</f>
        <v>0.115</v>
      </c>
      <c r="I1435" s="0" t="n">
        <f aca="false">VLOOKUP(F1435,Rates!$D$4:$E$8,2)</f>
        <v>0.85</v>
      </c>
      <c r="J1435" s="0" t="n">
        <f aca="false">ROUND(E1435*I1435,2)</f>
        <v>15967.38</v>
      </c>
      <c r="K1435" s="1" t="n">
        <f aca="false">PV(H1435/12,F1435/30,0,-E1435)</f>
        <v>16578.766256595</v>
      </c>
      <c r="L1435" s="0" t="n">
        <f aca="false">ROUND(E1435-K1435,2)</f>
        <v>2206.38</v>
      </c>
      <c r="M1435" s="0" t="n">
        <f aca="false">F1435/E1435</f>
        <v>0.020920780510137</v>
      </c>
    </row>
    <row r="1436" customFormat="false" ht="12.8" hidden="false" customHeight="false" outlineLevel="0" collapsed="false">
      <c r="A1436" s="0" t="s">
        <v>2097</v>
      </c>
      <c r="B1436" s="0" t="s">
        <v>2098</v>
      </c>
      <c r="C1436" s="0" t="s">
        <v>26</v>
      </c>
      <c r="D1436" s="0" t="s">
        <v>49</v>
      </c>
      <c r="E1436" s="0" t="n">
        <v>39642.84</v>
      </c>
      <c r="F1436" s="0" t="n">
        <v>312</v>
      </c>
      <c r="G1436" s="0" t="str">
        <f aca="false">IF(F1436&lt;=30,"Current",IF(F1436&lt;=60,"31 to 60 days",IF(F1436&lt;=90,"61 to 90 days",IF(F1436&lt;=120,"91 to 120 days","Over 120 days"))))</f>
        <v>Over 120 days</v>
      </c>
      <c r="H1436" s="0" t="n">
        <f aca="false">VLOOKUP(D1436,Rates!$A$4:$B$7,2,FALSE())</f>
        <v>0.02</v>
      </c>
      <c r="I1436" s="0" t="n">
        <f aca="false">VLOOKUP(F1436,Rates!$D$4:$E$8,2)</f>
        <v>0.85</v>
      </c>
      <c r="J1436" s="0" t="n">
        <f aca="false">ROUND(E1436*I1436,2)</f>
        <v>33696.41</v>
      </c>
      <c r="K1436" s="1" t="n">
        <f aca="false">PV(H1436/12,F1436/30,0,-E1436)</f>
        <v>38962.1805745375</v>
      </c>
      <c r="L1436" s="0" t="n">
        <f aca="false">ROUND(E1436-K1436,2)</f>
        <v>680.66</v>
      </c>
      <c r="M1436" s="0" t="n">
        <f aca="false">F1436/E1436</f>
        <v>0.00787027367363186</v>
      </c>
    </row>
    <row r="1437" customFormat="false" ht="12.8" hidden="false" customHeight="false" outlineLevel="0" collapsed="false">
      <c r="A1437" s="0" t="s">
        <v>2099</v>
      </c>
      <c r="B1437" s="0" t="s">
        <v>2100</v>
      </c>
      <c r="C1437" s="0" t="s">
        <v>31</v>
      </c>
      <c r="D1437" s="0" t="s">
        <v>49</v>
      </c>
      <c r="E1437" s="0" t="n">
        <v>24489.08</v>
      </c>
      <c r="F1437" s="0" t="n">
        <v>62</v>
      </c>
      <c r="G1437" s="0" t="str">
        <f aca="false">IF(F1437&lt;=30,"Current",IF(F1437&lt;=60,"31 to 60 days",IF(F1437&lt;=90,"61 to 90 days",IF(F1437&lt;=120,"91 to 120 days","Over 120 days"))))</f>
        <v>61 to 90 days</v>
      </c>
      <c r="H1437" s="0" t="n">
        <f aca="false">VLOOKUP(D1437,Rates!$A$4:$B$7,2,FALSE())</f>
        <v>0.02</v>
      </c>
      <c r="I1437" s="0" t="n">
        <f aca="false">VLOOKUP(F1437,Rates!$D$4:$E$8,2)</f>
        <v>0.25</v>
      </c>
      <c r="J1437" s="0" t="n">
        <f aca="false">ROUND(E1437*I1437,2)</f>
        <v>6122.27</v>
      </c>
      <c r="K1437" s="1" t="n">
        <f aca="false">PV(H1437/12,F1437/30,0,-E1437)</f>
        <v>24404.9438028256</v>
      </c>
      <c r="L1437" s="0" t="n">
        <f aca="false">ROUND(E1437-K1437,2)</f>
        <v>84.14</v>
      </c>
      <c r="M1437" s="0" t="n">
        <f aca="false">F1437/E1437</f>
        <v>0.00253174067788582</v>
      </c>
    </row>
    <row r="1438" customFormat="false" ht="12.8" hidden="false" customHeight="false" outlineLevel="0" collapsed="false">
      <c r="A1438" s="0" t="s">
        <v>2101</v>
      </c>
      <c r="B1438" s="0" t="s">
        <v>28</v>
      </c>
      <c r="C1438" s="0" t="s">
        <v>15</v>
      </c>
      <c r="D1438" s="0" t="s">
        <v>20</v>
      </c>
      <c r="E1438" s="0" t="n">
        <v>24216.84</v>
      </c>
      <c r="F1438" s="0" t="n">
        <v>152</v>
      </c>
      <c r="G1438" s="0" t="str">
        <f aca="false">IF(F1438&lt;=30,"Current",IF(F1438&lt;=60,"31 to 60 days",IF(F1438&lt;=90,"61 to 90 days",IF(F1438&lt;=120,"91 to 120 days","Over 120 days"))))</f>
        <v>Over 120 days</v>
      </c>
      <c r="H1438" s="0" t="n">
        <f aca="false">VLOOKUP(D1438,Rates!$A$4:$B$7,2,FALSE())</f>
        <v>0.05</v>
      </c>
      <c r="I1438" s="0" t="n">
        <f aca="false">VLOOKUP(F1438,Rates!$D$4:$E$8,2)</f>
        <v>0.85</v>
      </c>
      <c r="J1438" s="0" t="n">
        <f aca="false">ROUND(E1438*I1438,2)</f>
        <v>20584.31</v>
      </c>
      <c r="K1438" s="1" t="n">
        <f aca="false">PV(H1438/12,F1438/30,0,-E1438)</f>
        <v>23711.994271038</v>
      </c>
      <c r="L1438" s="0" t="n">
        <f aca="false">ROUND(E1438-K1438,2)</f>
        <v>504.85</v>
      </c>
      <c r="M1438" s="0" t="n">
        <f aca="false">F1438/E1438</f>
        <v>0.00627662403517552</v>
      </c>
    </row>
    <row r="1439" customFormat="false" ht="12.8" hidden="false" customHeight="false" outlineLevel="0" collapsed="false">
      <c r="A1439" s="0" t="s">
        <v>2102</v>
      </c>
      <c r="B1439" s="0" t="s">
        <v>2103</v>
      </c>
      <c r="C1439" s="0" t="s">
        <v>19</v>
      </c>
      <c r="D1439" s="0" t="s">
        <v>16</v>
      </c>
      <c r="E1439" s="0" t="n">
        <v>10310.66</v>
      </c>
      <c r="F1439" s="0" t="n">
        <v>327</v>
      </c>
      <c r="G1439" s="0" t="str">
        <f aca="false">IF(F1439&lt;=30,"Current",IF(F1439&lt;=60,"31 to 60 days",IF(F1439&lt;=90,"61 to 90 days",IF(F1439&lt;=120,"91 to 120 days","Over 120 days"))))</f>
        <v>Over 120 days</v>
      </c>
      <c r="H1439" s="0" t="n">
        <f aca="false">VLOOKUP(D1439,Rates!$A$4:$B$7,2,FALSE())</f>
        <v>0.085</v>
      </c>
      <c r="I1439" s="0" t="n">
        <f aca="false">VLOOKUP(F1439,Rates!$D$4:$E$8,2)</f>
        <v>0.85</v>
      </c>
      <c r="J1439" s="0" t="n">
        <f aca="false">ROUND(E1439*I1439,2)</f>
        <v>8764.06</v>
      </c>
      <c r="K1439" s="1" t="n">
        <f aca="false">PV(H1439/12,F1439/30,0,-E1439)</f>
        <v>9547.14483746919</v>
      </c>
      <c r="L1439" s="0" t="n">
        <f aca="false">ROUND(E1439-K1439,2)</f>
        <v>763.52</v>
      </c>
      <c r="M1439" s="0" t="n">
        <f aca="false">F1439/E1439</f>
        <v>0.0317147495892601</v>
      </c>
    </row>
    <row r="1440" customFormat="false" ht="12.8" hidden="false" customHeight="false" outlineLevel="0" collapsed="false">
      <c r="A1440" s="0" t="s">
        <v>2104</v>
      </c>
      <c r="B1440" s="0" t="s">
        <v>2105</v>
      </c>
      <c r="C1440" s="0" t="s">
        <v>31</v>
      </c>
      <c r="D1440" s="0" t="s">
        <v>16</v>
      </c>
      <c r="E1440" s="0" t="n">
        <v>16241.8</v>
      </c>
      <c r="F1440" s="0" t="n">
        <v>139</v>
      </c>
      <c r="G1440" s="0" t="str">
        <f aca="false">IF(F1440&lt;=30,"Current",IF(F1440&lt;=60,"31 to 60 days",IF(F1440&lt;=90,"61 to 90 days",IF(F1440&lt;=120,"91 to 120 days","Over 120 days"))))</f>
        <v>Over 120 days</v>
      </c>
      <c r="H1440" s="0" t="n">
        <f aca="false">VLOOKUP(D1440,Rates!$A$4:$B$7,2,FALSE())</f>
        <v>0.085</v>
      </c>
      <c r="I1440" s="0" t="n">
        <f aca="false">VLOOKUP(F1440,Rates!$D$4:$E$8,2)</f>
        <v>0.85</v>
      </c>
      <c r="J1440" s="0" t="n">
        <f aca="false">ROUND(E1440*I1440,2)</f>
        <v>13805.53</v>
      </c>
      <c r="K1440" s="1" t="n">
        <f aca="false">PV(H1440/12,F1440/30,0,-E1440)</f>
        <v>15719.2238304289</v>
      </c>
      <c r="L1440" s="0" t="n">
        <f aca="false">ROUND(E1440-K1440,2)</f>
        <v>522.58</v>
      </c>
      <c r="M1440" s="0" t="n">
        <f aca="false">F1440/E1440</f>
        <v>0.00855816473543573</v>
      </c>
    </row>
    <row r="1441" customFormat="false" ht="12.8" hidden="false" customHeight="false" outlineLevel="0" collapsed="false">
      <c r="A1441" s="0" t="s">
        <v>2106</v>
      </c>
      <c r="B1441" s="0" t="s">
        <v>2107</v>
      </c>
      <c r="C1441" s="0" t="s">
        <v>19</v>
      </c>
      <c r="D1441" s="0" t="s">
        <v>16</v>
      </c>
      <c r="E1441" s="0" t="n">
        <v>36452.53</v>
      </c>
      <c r="F1441" s="0" t="n">
        <v>205</v>
      </c>
      <c r="G1441" s="0" t="str">
        <f aca="false">IF(F1441&lt;=30,"Current",IF(F1441&lt;=60,"31 to 60 days",IF(F1441&lt;=90,"61 to 90 days",IF(F1441&lt;=120,"91 to 120 days","Over 120 days"))))</f>
        <v>Over 120 days</v>
      </c>
      <c r="H1441" s="0" t="n">
        <f aca="false">VLOOKUP(D1441,Rates!$A$4:$B$7,2,FALSE())</f>
        <v>0.085</v>
      </c>
      <c r="I1441" s="0" t="n">
        <f aca="false">VLOOKUP(F1441,Rates!$D$4:$E$8,2)</f>
        <v>0.85</v>
      </c>
      <c r="J1441" s="0" t="n">
        <f aca="false">ROUND(E1441*I1441,2)</f>
        <v>30984.65</v>
      </c>
      <c r="K1441" s="1" t="n">
        <f aca="false">PV(H1441/12,F1441/30,0,-E1441)</f>
        <v>34736.0728258361</v>
      </c>
      <c r="L1441" s="0" t="n">
        <f aca="false">ROUND(E1441-K1441,2)</f>
        <v>1716.46</v>
      </c>
      <c r="M1441" s="0" t="n">
        <f aca="false">F1441/E1441</f>
        <v>0.00562375231568289</v>
      </c>
    </row>
    <row r="1442" customFormat="false" ht="12.8" hidden="false" customHeight="false" outlineLevel="0" collapsed="false">
      <c r="A1442" s="0" t="s">
        <v>2108</v>
      </c>
      <c r="B1442" s="0" t="s">
        <v>2109</v>
      </c>
      <c r="C1442" s="0" t="s">
        <v>42</v>
      </c>
      <c r="D1442" s="0" t="s">
        <v>49</v>
      </c>
      <c r="E1442" s="0" t="n">
        <v>18800.89</v>
      </c>
      <c r="F1442" s="0" t="n">
        <v>342</v>
      </c>
      <c r="G1442" s="0" t="str">
        <f aca="false">IF(F1442&lt;=30,"Current",IF(F1442&lt;=60,"31 to 60 days",IF(F1442&lt;=90,"61 to 90 days",IF(F1442&lt;=120,"91 to 120 days","Over 120 days"))))</f>
        <v>Over 120 days</v>
      </c>
      <c r="H1442" s="0" t="n">
        <f aca="false">VLOOKUP(D1442,Rates!$A$4:$B$7,2,FALSE())</f>
        <v>0.02</v>
      </c>
      <c r="I1442" s="0" t="n">
        <f aca="false">VLOOKUP(F1442,Rates!$D$4:$E$8,2)</f>
        <v>0.85</v>
      </c>
      <c r="J1442" s="0" t="n">
        <f aca="false">ROUND(E1442*I1442,2)</f>
        <v>15980.76</v>
      </c>
      <c r="K1442" s="1" t="n">
        <f aca="false">PV(H1442/12,F1442/30,0,-E1442)</f>
        <v>18447.3370161947</v>
      </c>
      <c r="L1442" s="0" t="n">
        <f aca="false">ROUND(E1442-K1442,2)</f>
        <v>353.55</v>
      </c>
      <c r="M1442" s="0" t="n">
        <f aca="false">F1442/E1442</f>
        <v>0.018190628209622</v>
      </c>
    </row>
    <row r="1443" customFormat="false" ht="12.8" hidden="false" customHeight="false" outlineLevel="0" collapsed="false">
      <c r="A1443" s="0" t="s">
        <v>2110</v>
      </c>
      <c r="B1443" s="0" t="s">
        <v>18</v>
      </c>
      <c r="C1443" s="0" t="s">
        <v>19</v>
      </c>
      <c r="D1443" s="0" t="s">
        <v>20</v>
      </c>
      <c r="E1443" s="0" t="n">
        <v>34541.4</v>
      </c>
      <c r="F1443" s="0" t="n">
        <v>236</v>
      </c>
      <c r="G1443" s="0" t="str">
        <f aca="false">IF(F1443&lt;=30,"Current",IF(F1443&lt;=60,"31 to 60 days",IF(F1443&lt;=90,"61 to 90 days",IF(F1443&lt;=120,"91 to 120 days","Over 120 days"))))</f>
        <v>Over 120 days</v>
      </c>
      <c r="H1443" s="0" t="n">
        <f aca="false">VLOOKUP(D1443,Rates!$A$4:$B$7,2,FALSE())</f>
        <v>0.05</v>
      </c>
      <c r="I1443" s="0" t="n">
        <f aca="false">VLOOKUP(F1443,Rates!$D$4:$E$8,2)</f>
        <v>0.85</v>
      </c>
      <c r="J1443" s="0" t="n">
        <f aca="false">ROUND(E1443*I1443,2)</f>
        <v>29360.19</v>
      </c>
      <c r="K1443" s="1" t="n">
        <f aca="false">PV(H1443/12,F1443/30,0,-E1443)</f>
        <v>33429.8403502224</v>
      </c>
      <c r="L1443" s="0" t="n">
        <f aca="false">ROUND(E1443-K1443,2)</f>
        <v>1111.56</v>
      </c>
      <c r="M1443" s="0" t="n">
        <f aca="false">F1443/E1443</f>
        <v>0.00683238085312118</v>
      </c>
    </row>
    <row r="1444" customFormat="false" ht="12.8" hidden="false" customHeight="false" outlineLevel="0" collapsed="false">
      <c r="A1444" s="0" t="s">
        <v>2111</v>
      </c>
      <c r="B1444" s="0" t="s">
        <v>1003</v>
      </c>
      <c r="C1444" s="0" t="s">
        <v>26</v>
      </c>
      <c r="D1444" s="0" t="s">
        <v>49</v>
      </c>
      <c r="E1444" s="0" t="n">
        <v>3967.01</v>
      </c>
      <c r="F1444" s="0" t="n">
        <v>133</v>
      </c>
      <c r="G1444" s="0" t="str">
        <f aca="false">IF(F1444&lt;=30,"Current",IF(F1444&lt;=60,"31 to 60 days",IF(F1444&lt;=90,"61 to 90 days",IF(F1444&lt;=120,"91 to 120 days","Over 120 days"))))</f>
        <v>Over 120 days</v>
      </c>
      <c r="H1444" s="0" t="n">
        <f aca="false">VLOOKUP(D1444,Rates!$A$4:$B$7,2,FALSE())</f>
        <v>0.02</v>
      </c>
      <c r="I1444" s="0" t="n">
        <f aca="false">VLOOKUP(F1444,Rates!$D$4:$E$8,2)</f>
        <v>0.85</v>
      </c>
      <c r="J1444" s="0" t="n">
        <f aca="false">ROUND(E1444*I1444,2)</f>
        <v>3371.96</v>
      </c>
      <c r="K1444" s="1" t="n">
        <f aca="false">PV(H1444/12,F1444/30,0,-E1444)</f>
        <v>3937.83044831151</v>
      </c>
      <c r="L1444" s="0" t="n">
        <f aca="false">ROUND(E1444-K1444,2)</f>
        <v>29.18</v>
      </c>
      <c r="M1444" s="0" t="n">
        <f aca="false">F1444/E1444</f>
        <v>0.0335265098903204</v>
      </c>
    </row>
    <row r="1445" customFormat="false" ht="12.8" hidden="false" customHeight="false" outlineLevel="0" collapsed="false">
      <c r="A1445" s="0" t="s">
        <v>2112</v>
      </c>
      <c r="B1445" s="0" t="s">
        <v>2113</v>
      </c>
      <c r="C1445" s="0" t="s">
        <v>36</v>
      </c>
      <c r="D1445" s="0" t="s">
        <v>49</v>
      </c>
      <c r="E1445" s="0" t="n">
        <v>15980.15</v>
      </c>
      <c r="F1445" s="0" t="n">
        <v>183</v>
      </c>
      <c r="G1445" s="0" t="str">
        <f aca="false">IF(F1445&lt;=30,"Current",IF(F1445&lt;=60,"31 to 60 days",IF(F1445&lt;=90,"61 to 90 days",IF(F1445&lt;=120,"91 to 120 days","Over 120 days"))))</f>
        <v>Over 120 days</v>
      </c>
      <c r="H1445" s="0" t="n">
        <f aca="false">VLOOKUP(D1445,Rates!$A$4:$B$7,2,FALSE())</f>
        <v>0.02</v>
      </c>
      <c r="I1445" s="0" t="n">
        <f aca="false">VLOOKUP(F1445,Rates!$D$4:$E$8,2)</f>
        <v>0.85</v>
      </c>
      <c r="J1445" s="0" t="n">
        <f aca="false">ROUND(E1445*I1445,2)</f>
        <v>13583.13</v>
      </c>
      <c r="K1445" s="1" t="n">
        <f aca="false">PV(H1445/12,F1445/30,0,-E1445)</f>
        <v>15818.6420827979</v>
      </c>
      <c r="L1445" s="0" t="n">
        <f aca="false">ROUND(E1445-K1445,2)</f>
        <v>161.51</v>
      </c>
      <c r="M1445" s="0" t="n">
        <f aca="false">F1445/E1445</f>
        <v>0.0114517072743372</v>
      </c>
    </row>
    <row r="1446" customFormat="false" ht="12.8" hidden="false" customHeight="false" outlineLevel="0" collapsed="false">
      <c r="A1446" s="0" t="s">
        <v>2114</v>
      </c>
      <c r="B1446" s="0" t="s">
        <v>2115</v>
      </c>
      <c r="C1446" s="0" t="s">
        <v>42</v>
      </c>
      <c r="D1446" s="0" t="s">
        <v>49</v>
      </c>
      <c r="E1446" s="0" t="n">
        <v>6452.57</v>
      </c>
      <c r="F1446" s="0" t="n">
        <v>21</v>
      </c>
      <c r="G1446" s="0" t="str">
        <f aca="false">IF(F1446&lt;=30,"Current",IF(F1446&lt;=60,"31 to 60 days",IF(F1446&lt;=90,"61 to 90 days",IF(F1446&lt;=120,"91 to 120 days","Over 120 days"))))</f>
        <v>Current</v>
      </c>
      <c r="H1446" s="0" t="n">
        <f aca="false">VLOOKUP(D1446,Rates!$A$4:$B$7,2,FALSE())</f>
        <v>0.02</v>
      </c>
      <c r="I1446" s="0" t="n">
        <f aca="false">VLOOKUP(F1446,Rates!$D$4:$E$8,2)</f>
        <v>0.02</v>
      </c>
      <c r="J1446" s="0" t="n">
        <f aca="false">ROUND(E1446*I1446,2)</f>
        <v>129.05</v>
      </c>
      <c r="K1446" s="1" t="n">
        <f aca="false">PV(H1446/12,F1446/30,0,-E1446)</f>
        <v>6445.0526503586</v>
      </c>
      <c r="L1446" s="0" t="n">
        <f aca="false">ROUND(E1446-K1446,2)</f>
        <v>7.52</v>
      </c>
      <c r="M1446" s="0" t="n">
        <f aca="false">F1446/E1446</f>
        <v>0.00325451719237451</v>
      </c>
    </row>
    <row r="1447" customFormat="false" ht="12.8" hidden="false" customHeight="false" outlineLevel="0" collapsed="false">
      <c r="A1447" s="0" t="s">
        <v>2116</v>
      </c>
      <c r="B1447" s="0" t="s">
        <v>30</v>
      </c>
      <c r="C1447" s="0" t="s">
        <v>31</v>
      </c>
      <c r="D1447" s="0" t="s">
        <v>20</v>
      </c>
      <c r="E1447" s="0" t="n">
        <v>17893.94</v>
      </c>
      <c r="F1447" s="0" t="n">
        <v>296</v>
      </c>
      <c r="G1447" s="0" t="str">
        <f aca="false">IF(F1447&lt;=30,"Current",IF(F1447&lt;=60,"31 to 60 days",IF(F1447&lt;=90,"61 to 90 days",IF(F1447&lt;=120,"91 to 120 days","Over 120 days"))))</f>
        <v>Over 120 days</v>
      </c>
      <c r="H1447" s="0" t="n">
        <f aca="false">VLOOKUP(D1447,Rates!$A$4:$B$7,2,FALSE())</f>
        <v>0.05</v>
      </c>
      <c r="I1447" s="0" t="n">
        <f aca="false">VLOOKUP(F1447,Rates!$D$4:$E$8,2)</f>
        <v>0.85</v>
      </c>
      <c r="J1447" s="0" t="n">
        <f aca="false">ROUND(E1447*I1447,2)</f>
        <v>15209.85</v>
      </c>
      <c r="K1447" s="1" t="n">
        <f aca="false">PV(H1447/12,F1447/30,0,-E1447)</f>
        <v>17174.6834642086</v>
      </c>
      <c r="L1447" s="0" t="n">
        <f aca="false">ROUND(E1447-K1447,2)</f>
        <v>719.26</v>
      </c>
      <c r="M1447" s="0" t="n">
        <f aca="false">F1447/E1447</f>
        <v>0.0165419130722468</v>
      </c>
    </row>
    <row r="1448" customFormat="false" ht="12.8" hidden="false" customHeight="false" outlineLevel="0" collapsed="false">
      <c r="A1448" s="0" t="s">
        <v>2117</v>
      </c>
      <c r="B1448" s="0" t="s">
        <v>239</v>
      </c>
      <c r="C1448" s="0" t="s">
        <v>42</v>
      </c>
      <c r="D1448" s="0" t="s">
        <v>23</v>
      </c>
      <c r="E1448" s="0" t="n">
        <v>43197.69</v>
      </c>
      <c r="F1448" s="0" t="n">
        <v>165</v>
      </c>
      <c r="G1448" s="0" t="str">
        <f aca="false">IF(F1448&lt;=30,"Current",IF(F1448&lt;=60,"31 to 60 days",IF(F1448&lt;=90,"61 to 90 days",IF(F1448&lt;=120,"91 to 120 days","Over 120 days"))))</f>
        <v>Over 120 days</v>
      </c>
      <c r="H1448" s="0" t="n">
        <f aca="false">VLOOKUP(D1448,Rates!$A$4:$B$7,2,FALSE())</f>
        <v>0.115</v>
      </c>
      <c r="I1448" s="0" t="n">
        <f aca="false">VLOOKUP(F1448,Rates!$D$4:$E$8,2)</f>
        <v>0.85</v>
      </c>
      <c r="J1448" s="0" t="n">
        <f aca="false">ROUND(E1448*I1448,2)</f>
        <v>36718.04</v>
      </c>
      <c r="K1448" s="1" t="n">
        <f aca="false">PV(H1448/12,F1448/30,0,-E1448)</f>
        <v>40990.0619949304</v>
      </c>
      <c r="L1448" s="0" t="n">
        <f aca="false">ROUND(E1448-K1448,2)</f>
        <v>2207.63</v>
      </c>
      <c r="M1448" s="0" t="n">
        <f aca="false">F1448/E1448</f>
        <v>0.00381964868954798</v>
      </c>
    </row>
    <row r="1449" customFormat="false" ht="12.8" hidden="false" customHeight="false" outlineLevel="0" collapsed="false">
      <c r="A1449" s="0" t="s">
        <v>2118</v>
      </c>
      <c r="B1449" s="0" t="s">
        <v>55</v>
      </c>
      <c r="C1449" s="0" t="s">
        <v>26</v>
      </c>
      <c r="D1449" s="0" t="s">
        <v>23</v>
      </c>
      <c r="E1449" s="0" t="n">
        <v>10277.34</v>
      </c>
      <c r="F1449" s="0" t="n">
        <v>284</v>
      </c>
      <c r="G1449" s="0" t="str">
        <f aca="false">IF(F1449&lt;=30,"Current",IF(F1449&lt;=60,"31 to 60 days",IF(F1449&lt;=90,"61 to 90 days",IF(F1449&lt;=120,"91 to 120 days","Over 120 days"))))</f>
        <v>Over 120 days</v>
      </c>
      <c r="H1449" s="0" t="n">
        <f aca="false">VLOOKUP(D1449,Rates!$A$4:$B$7,2,FALSE())</f>
        <v>0.115</v>
      </c>
      <c r="I1449" s="0" t="n">
        <f aca="false">VLOOKUP(F1449,Rates!$D$4:$E$8,2)</f>
        <v>0.85</v>
      </c>
      <c r="J1449" s="0" t="n">
        <f aca="false">ROUND(E1449*I1449,2)</f>
        <v>8735.74</v>
      </c>
      <c r="K1449" s="1" t="n">
        <f aca="false">PV(H1449/12,F1449/30,0,-E1449)</f>
        <v>9390.0554892258</v>
      </c>
      <c r="L1449" s="0" t="n">
        <f aca="false">ROUND(E1449-K1449,2)</f>
        <v>887.28</v>
      </c>
      <c r="M1449" s="0" t="n">
        <f aca="false">F1449/E1449</f>
        <v>0.0276336094748252</v>
      </c>
    </row>
    <row r="1450" customFormat="false" ht="12.8" hidden="false" customHeight="false" outlineLevel="0" collapsed="false">
      <c r="A1450" s="0" t="s">
        <v>2119</v>
      </c>
      <c r="B1450" s="0" t="s">
        <v>2120</v>
      </c>
      <c r="C1450" s="0" t="s">
        <v>36</v>
      </c>
      <c r="D1450" s="0" t="s">
        <v>16</v>
      </c>
      <c r="E1450" s="0" t="n">
        <v>6614.44</v>
      </c>
      <c r="F1450" s="0" t="n">
        <v>2</v>
      </c>
      <c r="G1450" s="0" t="str">
        <f aca="false">IF(F1450&lt;=30,"Current",IF(F1450&lt;=60,"31 to 60 days",IF(F1450&lt;=90,"61 to 90 days",IF(F1450&lt;=120,"91 to 120 days","Over 120 days"))))</f>
        <v>Current</v>
      </c>
      <c r="H1450" s="0" t="n">
        <f aca="false">VLOOKUP(D1450,Rates!$A$4:$B$7,2,FALSE())</f>
        <v>0.085</v>
      </c>
      <c r="I1450" s="0" t="n">
        <f aca="false">VLOOKUP(F1450,Rates!$D$4:$E$8,2)</f>
        <v>0.02</v>
      </c>
      <c r="J1450" s="0" t="n">
        <f aca="false">ROUND(E1450*I1450,2)</f>
        <v>132.29</v>
      </c>
      <c r="K1450" s="1" t="n">
        <f aca="false">PV(H1450/12,F1450/30,0,-E1450)</f>
        <v>6611.32825701084</v>
      </c>
      <c r="L1450" s="0" t="n">
        <f aca="false">ROUND(E1450-K1450,2)</f>
        <v>3.11</v>
      </c>
      <c r="M1450" s="0" t="n">
        <f aca="false">F1450/E1450</f>
        <v>0.000302368756841093</v>
      </c>
    </row>
    <row r="1451" customFormat="false" ht="12.8" hidden="false" customHeight="false" outlineLevel="0" collapsed="false">
      <c r="A1451" s="0" t="s">
        <v>2121</v>
      </c>
      <c r="B1451" s="0" t="s">
        <v>368</v>
      </c>
      <c r="C1451" s="0" t="s">
        <v>42</v>
      </c>
      <c r="D1451" s="0" t="s">
        <v>23</v>
      </c>
      <c r="E1451" s="0" t="n">
        <v>15467.21</v>
      </c>
      <c r="F1451" s="0" t="n">
        <v>175</v>
      </c>
      <c r="G1451" s="0" t="str">
        <f aca="false">IF(F1451&lt;=30,"Current",IF(F1451&lt;=60,"31 to 60 days",IF(F1451&lt;=90,"61 to 90 days",IF(F1451&lt;=120,"91 to 120 days","Over 120 days"))))</f>
        <v>Over 120 days</v>
      </c>
      <c r="H1451" s="0" t="n">
        <f aca="false">VLOOKUP(D1451,Rates!$A$4:$B$7,2,FALSE())</f>
        <v>0.115</v>
      </c>
      <c r="I1451" s="0" t="n">
        <f aca="false">VLOOKUP(F1451,Rates!$D$4:$E$8,2)</f>
        <v>0.85</v>
      </c>
      <c r="J1451" s="0" t="n">
        <f aca="false">ROUND(E1451*I1451,2)</f>
        <v>13147.13</v>
      </c>
      <c r="K1451" s="1" t="n">
        <f aca="false">PV(H1451/12,F1451/30,0,-E1451)</f>
        <v>14630.1678766416</v>
      </c>
      <c r="L1451" s="0" t="n">
        <f aca="false">ROUND(E1451-K1451,2)</f>
        <v>837.04</v>
      </c>
      <c r="M1451" s="0" t="n">
        <f aca="false">F1451/E1451</f>
        <v>0.0113142577103434</v>
      </c>
    </row>
    <row r="1452" customFormat="false" ht="12.8" hidden="false" customHeight="false" outlineLevel="0" collapsed="false">
      <c r="A1452" s="0" t="s">
        <v>2122</v>
      </c>
      <c r="B1452" s="0" t="s">
        <v>18</v>
      </c>
      <c r="C1452" s="0" t="s">
        <v>19</v>
      </c>
      <c r="D1452" s="0" t="s">
        <v>20</v>
      </c>
      <c r="E1452" s="0" t="n">
        <v>24424.39</v>
      </c>
      <c r="F1452" s="0" t="n">
        <v>271</v>
      </c>
      <c r="G1452" s="0" t="str">
        <f aca="false">IF(F1452&lt;=30,"Current",IF(F1452&lt;=60,"31 to 60 days",IF(F1452&lt;=90,"61 to 90 days",IF(F1452&lt;=120,"91 to 120 days","Over 120 days"))))</f>
        <v>Over 120 days</v>
      </c>
      <c r="H1452" s="0" t="n">
        <f aca="false">VLOOKUP(D1452,Rates!$A$4:$B$7,2,FALSE())</f>
        <v>0.05</v>
      </c>
      <c r="I1452" s="0" t="n">
        <f aca="false">VLOOKUP(F1452,Rates!$D$4:$E$8,2)</f>
        <v>0.85</v>
      </c>
      <c r="J1452" s="0" t="n">
        <f aca="false">ROUND(E1452*I1452,2)</f>
        <v>20760.73</v>
      </c>
      <c r="K1452" s="1" t="n">
        <f aca="false">PV(H1452/12,F1452/30,0,-E1452)</f>
        <v>23524.0083494112</v>
      </c>
      <c r="L1452" s="0" t="n">
        <f aca="false">ROUND(E1452-K1452,2)</f>
        <v>900.38</v>
      </c>
      <c r="M1452" s="0" t="n">
        <f aca="false">F1452/E1452</f>
        <v>0.0110954664579136</v>
      </c>
    </row>
    <row r="1453" customFormat="false" ht="12.8" hidden="false" customHeight="false" outlineLevel="0" collapsed="false">
      <c r="A1453" s="0" t="s">
        <v>2123</v>
      </c>
      <c r="B1453" s="0" t="s">
        <v>51</v>
      </c>
      <c r="C1453" s="0" t="s">
        <v>36</v>
      </c>
      <c r="D1453" s="0" t="s">
        <v>20</v>
      </c>
      <c r="E1453" s="0" t="n">
        <v>36367.78</v>
      </c>
      <c r="F1453" s="0" t="n">
        <v>258</v>
      </c>
      <c r="G1453" s="0" t="str">
        <f aca="false">IF(F1453&lt;=30,"Current",IF(F1453&lt;=60,"31 to 60 days",IF(F1453&lt;=90,"61 to 90 days",IF(F1453&lt;=120,"91 to 120 days","Over 120 days"))))</f>
        <v>Over 120 days</v>
      </c>
      <c r="H1453" s="0" t="n">
        <f aca="false">VLOOKUP(D1453,Rates!$A$4:$B$7,2,FALSE())</f>
        <v>0.05</v>
      </c>
      <c r="I1453" s="0" t="n">
        <f aca="false">VLOOKUP(F1453,Rates!$D$4:$E$8,2)</f>
        <v>0.85</v>
      </c>
      <c r="J1453" s="0" t="n">
        <f aca="false">ROUND(E1453*I1453,2)</f>
        <v>30912.61</v>
      </c>
      <c r="K1453" s="1" t="n">
        <f aca="false">PV(H1453/12,F1453/30,0,-E1453)</f>
        <v>35090.2856668938</v>
      </c>
      <c r="L1453" s="0" t="n">
        <f aca="false">ROUND(E1453-K1453,2)</f>
        <v>1277.49</v>
      </c>
      <c r="M1453" s="0" t="n">
        <f aca="false">F1453/E1453</f>
        <v>0.00709419161686526</v>
      </c>
    </row>
    <row r="1454" customFormat="false" ht="12.8" hidden="false" customHeight="false" outlineLevel="0" collapsed="false">
      <c r="A1454" s="0" t="s">
        <v>2124</v>
      </c>
      <c r="B1454" s="0" t="s">
        <v>18</v>
      </c>
      <c r="C1454" s="0" t="s">
        <v>19</v>
      </c>
      <c r="D1454" s="0" t="s">
        <v>20</v>
      </c>
      <c r="E1454" s="0" t="n">
        <v>13236.85</v>
      </c>
      <c r="F1454" s="0" t="n">
        <v>311</v>
      </c>
      <c r="G1454" s="0" t="str">
        <f aca="false">IF(F1454&lt;=30,"Current",IF(F1454&lt;=60,"31 to 60 days",IF(F1454&lt;=90,"61 to 90 days",IF(F1454&lt;=120,"91 to 120 days","Over 120 days"))))</f>
        <v>Over 120 days</v>
      </c>
      <c r="H1454" s="0" t="n">
        <f aca="false">VLOOKUP(D1454,Rates!$A$4:$B$7,2,FALSE())</f>
        <v>0.05</v>
      </c>
      <c r="I1454" s="0" t="n">
        <f aca="false">VLOOKUP(F1454,Rates!$D$4:$E$8,2)</f>
        <v>0.85</v>
      </c>
      <c r="J1454" s="0" t="n">
        <f aca="false">ROUND(E1454*I1454,2)</f>
        <v>11251.32</v>
      </c>
      <c r="K1454" s="1" t="n">
        <f aca="false">PV(H1454/12,F1454/30,0,-E1454)</f>
        <v>12678.4018194113</v>
      </c>
      <c r="L1454" s="0" t="n">
        <f aca="false">ROUND(E1454-K1454,2)</f>
        <v>558.45</v>
      </c>
      <c r="M1454" s="0" t="n">
        <f aca="false">F1454/E1454</f>
        <v>0.0234950158081417</v>
      </c>
    </row>
    <row r="1455" customFormat="false" ht="12.8" hidden="false" customHeight="false" outlineLevel="0" collapsed="false">
      <c r="A1455" s="0" t="s">
        <v>2125</v>
      </c>
      <c r="B1455" s="0" t="s">
        <v>375</v>
      </c>
      <c r="C1455" s="0" t="s">
        <v>42</v>
      </c>
      <c r="D1455" s="0" t="s">
        <v>23</v>
      </c>
      <c r="E1455" s="0" t="n">
        <v>14327.2</v>
      </c>
      <c r="F1455" s="0" t="n">
        <v>73</v>
      </c>
      <c r="G1455" s="0" t="str">
        <f aca="false">IF(F1455&lt;=30,"Current",IF(F1455&lt;=60,"31 to 60 days",IF(F1455&lt;=90,"61 to 90 days",IF(F1455&lt;=120,"91 to 120 days","Over 120 days"))))</f>
        <v>61 to 90 days</v>
      </c>
      <c r="H1455" s="0" t="n">
        <f aca="false">VLOOKUP(D1455,Rates!$A$4:$B$7,2,FALSE())</f>
        <v>0.115</v>
      </c>
      <c r="I1455" s="0" t="n">
        <f aca="false">VLOOKUP(F1455,Rates!$D$4:$E$8,2)</f>
        <v>0.25</v>
      </c>
      <c r="J1455" s="0" t="n">
        <f aca="false">ROUND(E1455*I1455,2)</f>
        <v>3581.8</v>
      </c>
      <c r="K1455" s="1" t="n">
        <f aca="false">PV(H1455/12,F1455/30,0,-E1455)</f>
        <v>13998.5172631936</v>
      </c>
      <c r="L1455" s="0" t="n">
        <f aca="false">ROUND(E1455-K1455,2)</f>
        <v>328.68</v>
      </c>
      <c r="M1455" s="0" t="n">
        <f aca="false">F1455/E1455</f>
        <v>0.00509520352895192</v>
      </c>
    </row>
    <row r="1456" customFormat="false" ht="12.8" hidden="false" customHeight="false" outlineLevel="0" collapsed="false">
      <c r="A1456" s="0" t="s">
        <v>2126</v>
      </c>
      <c r="B1456" s="0" t="s">
        <v>97</v>
      </c>
      <c r="C1456" s="0" t="s">
        <v>42</v>
      </c>
      <c r="D1456" s="0" t="s">
        <v>20</v>
      </c>
      <c r="E1456" s="0" t="n">
        <v>25818.39</v>
      </c>
      <c r="F1456" s="0" t="n">
        <v>143</v>
      </c>
      <c r="G1456" s="0" t="str">
        <f aca="false">IF(F1456&lt;=30,"Current",IF(F1456&lt;=60,"31 to 60 days",IF(F1456&lt;=90,"61 to 90 days",IF(F1456&lt;=120,"91 to 120 days","Over 120 days"))))</f>
        <v>Over 120 days</v>
      </c>
      <c r="H1456" s="0" t="n">
        <f aca="false">VLOOKUP(D1456,Rates!$A$4:$B$7,2,FALSE())</f>
        <v>0.05</v>
      </c>
      <c r="I1456" s="0" t="n">
        <f aca="false">VLOOKUP(F1456,Rates!$D$4:$E$8,2)</f>
        <v>0.85</v>
      </c>
      <c r="J1456" s="0" t="n">
        <f aca="false">ROUND(E1456*I1456,2)</f>
        <v>21945.63</v>
      </c>
      <c r="K1456" s="1" t="n">
        <f aca="false">PV(H1456/12,F1456/30,0,-E1456)</f>
        <v>25311.7111600897</v>
      </c>
      <c r="L1456" s="0" t="n">
        <f aca="false">ROUND(E1456-K1456,2)</f>
        <v>506.68</v>
      </c>
      <c r="M1456" s="0" t="n">
        <f aca="false">F1456/E1456</f>
        <v>0.00553868773382074</v>
      </c>
    </row>
    <row r="1457" customFormat="false" ht="12.8" hidden="false" customHeight="false" outlineLevel="0" collapsed="false">
      <c r="A1457" s="0" t="s">
        <v>2127</v>
      </c>
      <c r="B1457" s="0" t="s">
        <v>606</v>
      </c>
      <c r="C1457" s="0" t="s">
        <v>19</v>
      </c>
      <c r="D1457" s="0" t="s">
        <v>23</v>
      </c>
      <c r="E1457" s="0" t="n">
        <v>27107.56</v>
      </c>
      <c r="F1457" s="0" t="n">
        <v>195</v>
      </c>
      <c r="G1457" s="0" t="str">
        <f aca="false">IF(F1457&lt;=30,"Current",IF(F1457&lt;=60,"31 to 60 days",IF(F1457&lt;=90,"61 to 90 days",IF(F1457&lt;=120,"91 to 120 days","Over 120 days"))))</f>
        <v>Over 120 days</v>
      </c>
      <c r="H1457" s="0" t="n">
        <f aca="false">VLOOKUP(D1457,Rates!$A$4:$B$7,2,FALSE())</f>
        <v>0.115</v>
      </c>
      <c r="I1457" s="0" t="n">
        <f aca="false">VLOOKUP(F1457,Rates!$D$4:$E$8,2)</f>
        <v>0.85</v>
      </c>
      <c r="J1457" s="0" t="n">
        <f aca="false">ROUND(E1457*I1457,2)</f>
        <v>23041.43</v>
      </c>
      <c r="K1457" s="1" t="n">
        <f aca="false">PV(H1457/12,F1457/30,0,-E1457)</f>
        <v>25478.057120735</v>
      </c>
      <c r="L1457" s="0" t="n">
        <f aca="false">ROUND(E1457-K1457,2)</f>
        <v>1629.5</v>
      </c>
      <c r="M1457" s="0" t="n">
        <f aca="false">F1457/E1457</f>
        <v>0.00719356518993226</v>
      </c>
    </row>
    <row r="1458" customFormat="false" ht="12.8" hidden="false" customHeight="false" outlineLevel="0" collapsed="false">
      <c r="A1458" s="0" t="s">
        <v>2128</v>
      </c>
      <c r="B1458" s="0" t="s">
        <v>2129</v>
      </c>
      <c r="C1458" s="0" t="s">
        <v>31</v>
      </c>
      <c r="D1458" s="0" t="s">
        <v>49</v>
      </c>
      <c r="E1458" s="0" t="n">
        <v>33971.59</v>
      </c>
      <c r="F1458" s="0" t="n">
        <v>75</v>
      </c>
      <c r="G1458" s="0" t="str">
        <f aca="false">IF(F1458&lt;=30,"Current",IF(F1458&lt;=60,"31 to 60 days",IF(F1458&lt;=90,"61 to 90 days",IF(F1458&lt;=120,"91 to 120 days","Over 120 days"))))</f>
        <v>61 to 90 days</v>
      </c>
      <c r="H1458" s="0" t="n">
        <f aca="false">VLOOKUP(D1458,Rates!$A$4:$B$7,2,FALSE())</f>
        <v>0.02</v>
      </c>
      <c r="I1458" s="0" t="n">
        <f aca="false">VLOOKUP(F1458,Rates!$D$4:$E$8,2)</f>
        <v>0.25</v>
      </c>
      <c r="J1458" s="0" t="n">
        <f aca="false">ROUND(E1458*I1458,2)</f>
        <v>8492.9</v>
      </c>
      <c r="K1458" s="1" t="n">
        <f aca="false">PV(H1458/12,F1458/30,0,-E1458)</f>
        <v>33830.4535277546</v>
      </c>
      <c r="L1458" s="0" t="n">
        <f aca="false">ROUND(E1458-K1458,2)</f>
        <v>141.14</v>
      </c>
      <c r="M1458" s="0" t="n">
        <f aca="false">F1458/E1458</f>
        <v>0.0022077271037358</v>
      </c>
    </row>
    <row r="1459" customFormat="false" ht="12.8" hidden="false" customHeight="false" outlineLevel="0" collapsed="false">
      <c r="A1459" s="0" t="s">
        <v>2130</v>
      </c>
      <c r="B1459" s="0" t="s">
        <v>2131</v>
      </c>
      <c r="C1459" s="0" t="s">
        <v>19</v>
      </c>
      <c r="D1459" s="0" t="s">
        <v>16</v>
      </c>
      <c r="E1459" s="0" t="n">
        <v>0</v>
      </c>
      <c r="F1459" s="0" t="n">
        <v>346</v>
      </c>
      <c r="G1459" s="0" t="str">
        <f aca="false">IF(F1459&lt;=30,"Current",IF(F1459&lt;=60,"31 to 60 days",IF(F1459&lt;=90,"61 to 90 days",IF(F1459&lt;=120,"91 to 120 days","Over 120 days"))))</f>
        <v>Over 120 days</v>
      </c>
      <c r="H1459" s="0" t="n">
        <f aca="false">VLOOKUP(D1459,Rates!$A$4:$B$7,2,FALSE())</f>
        <v>0.085</v>
      </c>
      <c r="I1459" s="0" t="n">
        <f aca="false">VLOOKUP(F1459,Rates!$D$4:$E$8,2)</f>
        <v>0.85</v>
      </c>
      <c r="J1459" s="0" t="n">
        <f aca="false">ROUND(E1459*I1459,2)</f>
        <v>0</v>
      </c>
      <c r="K1459" s="1" t="n">
        <f aca="false">PV(H1459/12,F1459/30,0,-E1459)</f>
        <v>-0</v>
      </c>
      <c r="L1459" s="0" t="n">
        <f aca="false">ROUND(E1459-K1459,2)</f>
        <v>0</v>
      </c>
      <c r="M1459" s="0" t="e">
        <f aca="false">F1459/E1459</f>
        <v>#DIV/0!</v>
      </c>
    </row>
    <row r="1460" customFormat="false" ht="12.8" hidden="false" customHeight="false" outlineLevel="0" collapsed="false">
      <c r="A1460" s="0" t="s">
        <v>2132</v>
      </c>
      <c r="B1460" s="0" t="s">
        <v>51</v>
      </c>
      <c r="C1460" s="0" t="s">
        <v>36</v>
      </c>
      <c r="D1460" s="0" t="s">
        <v>20</v>
      </c>
      <c r="E1460" s="0" t="n">
        <v>27579.63</v>
      </c>
      <c r="F1460" s="0" t="n">
        <v>176</v>
      </c>
      <c r="G1460" s="0" t="str">
        <f aca="false">IF(F1460&lt;=30,"Current",IF(F1460&lt;=60,"31 to 60 days",IF(F1460&lt;=90,"61 to 90 days",IF(F1460&lt;=120,"91 to 120 days","Over 120 days"))))</f>
        <v>Over 120 days</v>
      </c>
      <c r="H1460" s="0" t="n">
        <f aca="false">VLOOKUP(D1460,Rates!$A$4:$B$7,2,FALSE())</f>
        <v>0.05</v>
      </c>
      <c r="I1460" s="0" t="n">
        <f aca="false">VLOOKUP(F1460,Rates!$D$4:$E$8,2)</f>
        <v>0.85</v>
      </c>
      <c r="J1460" s="0" t="n">
        <f aca="false">ROUND(E1460*I1460,2)</f>
        <v>23442.69</v>
      </c>
      <c r="K1460" s="1" t="n">
        <f aca="false">PV(H1460/12,F1460/30,0,-E1460)</f>
        <v>26915.0012166907</v>
      </c>
      <c r="L1460" s="0" t="n">
        <f aca="false">ROUND(E1460-K1460,2)</f>
        <v>664.63</v>
      </c>
      <c r="M1460" s="0" t="n">
        <f aca="false">F1460/E1460</f>
        <v>0.006381521434479</v>
      </c>
    </row>
    <row r="1461" customFormat="false" ht="12.8" hidden="false" customHeight="false" outlineLevel="0" collapsed="false">
      <c r="A1461" s="0" t="s">
        <v>2133</v>
      </c>
      <c r="B1461" s="0" t="s">
        <v>186</v>
      </c>
      <c r="C1461" s="0" t="s">
        <v>31</v>
      </c>
      <c r="D1461" s="0" t="s">
        <v>23</v>
      </c>
      <c r="E1461" s="0" t="n">
        <v>38788.55</v>
      </c>
      <c r="F1461" s="0" t="n">
        <v>320</v>
      </c>
      <c r="G1461" s="0" t="str">
        <f aca="false">IF(F1461&lt;=30,"Current",IF(F1461&lt;=60,"31 to 60 days",IF(F1461&lt;=90,"61 to 90 days",IF(F1461&lt;=120,"91 to 120 days","Over 120 days"))))</f>
        <v>Over 120 days</v>
      </c>
      <c r="H1461" s="0" t="n">
        <f aca="false">VLOOKUP(D1461,Rates!$A$4:$B$7,2,FALSE())</f>
        <v>0.115</v>
      </c>
      <c r="I1461" s="0" t="n">
        <f aca="false">VLOOKUP(F1461,Rates!$D$4:$E$8,2)</f>
        <v>0.85</v>
      </c>
      <c r="J1461" s="0" t="n">
        <f aca="false">ROUND(E1461*I1461,2)</f>
        <v>32970.27</v>
      </c>
      <c r="K1461" s="1" t="n">
        <f aca="false">PV(H1461/12,F1461/30,0,-E1461)</f>
        <v>35036.4723314029</v>
      </c>
      <c r="L1461" s="0" t="n">
        <f aca="false">ROUND(E1461-K1461,2)</f>
        <v>3752.08</v>
      </c>
      <c r="M1461" s="0" t="n">
        <f aca="false">F1461/E1461</f>
        <v>0.00824985723879856</v>
      </c>
    </row>
    <row r="1462" customFormat="false" ht="12.8" hidden="false" customHeight="false" outlineLevel="0" collapsed="false">
      <c r="A1462" s="0" t="s">
        <v>2134</v>
      </c>
      <c r="B1462" s="0" t="s">
        <v>55</v>
      </c>
      <c r="C1462" s="0" t="s">
        <v>26</v>
      </c>
      <c r="D1462" s="0" t="s">
        <v>23</v>
      </c>
      <c r="E1462" s="0" t="n">
        <v>8138.88</v>
      </c>
      <c r="F1462" s="0" t="n">
        <v>81</v>
      </c>
      <c r="G1462" s="0" t="str">
        <f aca="false">IF(F1462&lt;=30,"Current",IF(F1462&lt;=60,"31 to 60 days",IF(F1462&lt;=90,"61 to 90 days",IF(F1462&lt;=120,"91 to 120 days","Over 120 days"))))</f>
        <v>61 to 90 days</v>
      </c>
      <c r="H1462" s="0" t="n">
        <f aca="false">VLOOKUP(D1462,Rates!$A$4:$B$7,2,FALSE())</f>
        <v>0.115</v>
      </c>
      <c r="I1462" s="0" t="n">
        <f aca="false">VLOOKUP(F1462,Rates!$D$4:$E$8,2)</f>
        <v>0.25</v>
      </c>
      <c r="J1462" s="0" t="n">
        <f aca="false">ROUND(E1462*I1462,2)</f>
        <v>2034.72</v>
      </c>
      <c r="K1462" s="1" t="n">
        <f aca="false">PV(H1462/12,F1462/30,0,-E1462)</f>
        <v>7931.96482685599</v>
      </c>
      <c r="L1462" s="0" t="n">
        <f aca="false">ROUND(E1462-K1462,2)</f>
        <v>206.92</v>
      </c>
      <c r="M1462" s="0" t="n">
        <f aca="false">F1462/E1462</f>
        <v>0.00995222929936306</v>
      </c>
    </row>
    <row r="1463" customFormat="false" ht="12.8" hidden="false" customHeight="false" outlineLevel="0" collapsed="false">
      <c r="A1463" s="0" t="s">
        <v>2135</v>
      </c>
      <c r="B1463" s="0" t="s">
        <v>441</v>
      </c>
      <c r="C1463" s="0" t="s">
        <v>15</v>
      </c>
      <c r="D1463" s="0" t="s">
        <v>23</v>
      </c>
      <c r="E1463" s="0" t="n">
        <v>14588.02</v>
      </c>
      <c r="F1463" s="0" t="n">
        <v>379</v>
      </c>
      <c r="G1463" s="0" t="str">
        <f aca="false">IF(F1463&lt;=30,"Current",IF(F1463&lt;=60,"31 to 60 days",IF(F1463&lt;=90,"61 to 90 days",IF(F1463&lt;=120,"91 to 120 days","Over 120 days"))))</f>
        <v>Over 120 days</v>
      </c>
      <c r="H1463" s="0" t="n">
        <f aca="false">VLOOKUP(D1463,Rates!$A$4:$B$7,2,FALSE())</f>
        <v>0.115</v>
      </c>
      <c r="I1463" s="0" t="n">
        <f aca="false">VLOOKUP(F1463,Rates!$D$4:$E$8,2)</f>
        <v>0.85</v>
      </c>
      <c r="J1463" s="0" t="n">
        <f aca="false">ROUND(E1463*I1463,2)</f>
        <v>12399.82</v>
      </c>
      <c r="K1463" s="1" t="n">
        <f aca="false">PV(H1463/12,F1463/30,0,-E1463)</f>
        <v>12932.0360044881</v>
      </c>
      <c r="L1463" s="0" t="n">
        <f aca="false">ROUND(E1463-K1463,2)</f>
        <v>1655.98</v>
      </c>
      <c r="M1463" s="0" t="n">
        <f aca="false">F1463/E1463</f>
        <v>0.0259802221274717</v>
      </c>
    </row>
    <row r="1464" customFormat="false" ht="12.8" hidden="false" customHeight="false" outlineLevel="0" collapsed="false">
      <c r="A1464" s="0" t="s">
        <v>2136</v>
      </c>
      <c r="B1464" s="0" t="s">
        <v>645</v>
      </c>
      <c r="C1464" s="0" t="s">
        <v>19</v>
      </c>
      <c r="D1464" s="0" t="s">
        <v>49</v>
      </c>
      <c r="E1464" s="0" t="n">
        <v>11077.83</v>
      </c>
      <c r="F1464" s="0" t="n">
        <v>295</v>
      </c>
      <c r="G1464" s="0" t="str">
        <f aca="false">IF(F1464&lt;=30,"Current",IF(F1464&lt;=60,"31 to 60 days",IF(F1464&lt;=90,"61 to 90 days",IF(F1464&lt;=120,"91 to 120 days","Over 120 days"))))</f>
        <v>Over 120 days</v>
      </c>
      <c r="H1464" s="0" t="n">
        <f aca="false">VLOOKUP(D1464,Rates!$A$4:$B$7,2,FALSE())</f>
        <v>0.02</v>
      </c>
      <c r="I1464" s="0" t="n">
        <f aca="false">VLOOKUP(F1464,Rates!$D$4:$E$8,2)</f>
        <v>0.85</v>
      </c>
      <c r="J1464" s="0" t="n">
        <f aca="false">ROUND(E1464*I1464,2)</f>
        <v>9416.16</v>
      </c>
      <c r="K1464" s="1" t="n">
        <f aca="false">PV(H1464/12,F1464/30,0,-E1464)</f>
        <v>10897.9049803659</v>
      </c>
      <c r="L1464" s="0" t="n">
        <f aca="false">ROUND(E1464-K1464,2)</f>
        <v>179.93</v>
      </c>
      <c r="M1464" s="0" t="n">
        <f aca="false">F1464/E1464</f>
        <v>0.0266297641325061</v>
      </c>
    </row>
    <row r="1465" customFormat="false" ht="12.8" hidden="false" customHeight="false" outlineLevel="0" collapsed="false">
      <c r="A1465" s="0" t="s">
        <v>2137</v>
      </c>
      <c r="B1465" s="0" t="s">
        <v>357</v>
      </c>
      <c r="C1465" s="0" t="s">
        <v>19</v>
      </c>
      <c r="D1465" s="0" t="s">
        <v>23</v>
      </c>
      <c r="E1465" s="0" t="n">
        <v>8124.81</v>
      </c>
      <c r="F1465" s="0" t="n">
        <v>290</v>
      </c>
      <c r="G1465" s="0" t="str">
        <f aca="false">IF(F1465&lt;=30,"Current",IF(F1465&lt;=60,"31 to 60 days",IF(F1465&lt;=90,"61 to 90 days",IF(F1465&lt;=120,"91 to 120 days","Over 120 days"))))</f>
        <v>Over 120 days</v>
      </c>
      <c r="H1465" s="0" t="n">
        <f aca="false">VLOOKUP(D1465,Rates!$A$4:$B$7,2,FALSE())</f>
        <v>0.115</v>
      </c>
      <c r="I1465" s="0" t="n">
        <f aca="false">VLOOKUP(F1465,Rates!$D$4:$E$8,2)</f>
        <v>0.85</v>
      </c>
      <c r="J1465" s="0" t="n">
        <f aca="false">ROUND(E1465*I1465,2)</f>
        <v>6906.09</v>
      </c>
      <c r="K1465" s="1" t="n">
        <f aca="false">PV(H1465/12,F1465/30,0,-E1465)</f>
        <v>7409.21527839744</v>
      </c>
      <c r="L1465" s="0" t="n">
        <f aca="false">ROUND(E1465-K1465,2)</f>
        <v>715.59</v>
      </c>
      <c r="M1465" s="0" t="n">
        <f aca="false">F1465/E1465</f>
        <v>0.0356931423627137</v>
      </c>
    </row>
    <row r="1466" customFormat="false" ht="12.8" hidden="false" customHeight="false" outlineLevel="0" collapsed="false">
      <c r="A1466" s="0" t="s">
        <v>2138</v>
      </c>
      <c r="B1466" s="0" t="s">
        <v>18</v>
      </c>
      <c r="C1466" s="0" t="s">
        <v>19</v>
      </c>
      <c r="D1466" s="0" t="s">
        <v>20</v>
      </c>
      <c r="E1466" s="0" t="n">
        <v>18142.41</v>
      </c>
      <c r="F1466" s="0" t="n">
        <v>325</v>
      </c>
      <c r="G1466" s="0" t="str">
        <f aca="false">IF(F1466&lt;=30,"Current",IF(F1466&lt;=60,"31 to 60 days",IF(F1466&lt;=90,"61 to 90 days",IF(F1466&lt;=120,"91 to 120 days","Over 120 days"))))</f>
        <v>Over 120 days</v>
      </c>
      <c r="H1466" s="0" t="n">
        <f aca="false">VLOOKUP(D1466,Rates!$A$4:$B$7,2,FALSE())</f>
        <v>0.05</v>
      </c>
      <c r="I1466" s="0" t="n">
        <f aca="false">VLOOKUP(F1466,Rates!$D$4:$E$8,2)</f>
        <v>0.85</v>
      </c>
      <c r="J1466" s="0" t="n">
        <f aca="false">ROUND(E1466*I1466,2)</f>
        <v>15421.05</v>
      </c>
      <c r="K1466" s="1" t="n">
        <f aca="false">PV(H1466/12,F1466/30,0,-E1466)</f>
        <v>17343.3159007308</v>
      </c>
      <c r="L1466" s="0" t="n">
        <f aca="false">ROUND(E1466-K1466,2)</f>
        <v>799.09</v>
      </c>
      <c r="M1466" s="0" t="n">
        <f aca="false">F1466/E1466</f>
        <v>0.0179138273250356</v>
      </c>
    </row>
    <row r="1467" customFormat="false" ht="12.8" hidden="false" customHeight="false" outlineLevel="0" collapsed="false">
      <c r="A1467" s="0" t="s">
        <v>2139</v>
      </c>
      <c r="B1467" s="0" t="s">
        <v>2140</v>
      </c>
      <c r="C1467" s="0" t="s">
        <v>42</v>
      </c>
      <c r="D1467" s="0" t="s">
        <v>16</v>
      </c>
      <c r="E1467" s="0" t="n">
        <v>27710.07</v>
      </c>
      <c r="F1467" s="0" t="n">
        <v>310</v>
      </c>
      <c r="G1467" s="0" t="str">
        <f aca="false">IF(F1467&lt;=30,"Current",IF(F1467&lt;=60,"31 to 60 days",IF(F1467&lt;=90,"61 to 90 days",IF(F1467&lt;=120,"91 to 120 days","Over 120 days"))))</f>
        <v>Over 120 days</v>
      </c>
      <c r="H1467" s="0" t="n">
        <f aca="false">VLOOKUP(D1467,Rates!$A$4:$B$7,2,FALSE())</f>
        <v>0.085</v>
      </c>
      <c r="I1467" s="0" t="n">
        <f aca="false">VLOOKUP(F1467,Rates!$D$4:$E$8,2)</f>
        <v>0.85</v>
      </c>
      <c r="J1467" s="0" t="n">
        <f aca="false">ROUND(E1467*I1467,2)</f>
        <v>23553.56</v>
      </c>
      <c r="K1467" s="1" t="n">
        <f aca="false">PV(H1467/12,F1467/30,0,-E1467)</f>
        <v>25760.9415967914</v>
      </c>
      <c r="L1467" s="0" t="n">
        <f aca="false">ROUND(E1467-K1467,2)</f>
        <v>1949.13</v>
      </c>
      <c r="M1467" s="0" t="n">
        <f aca="false">F1467/E1467</f>
        <v>0.0111872687438177</v>
      </c>
    </row>
    <row r="1468" customFormat="false" ht="12.8" hidden="false" customHeight="false" outlineLevel="0" collapsed="false">
      <c r="A1468" s="0" t="s">
        <v>2141</v>
      </c>
      <c r="B1468" s="0" t="s">
        <v>28</v>
      </c>
      <c r="C1468" s="0" t="s">
        <v>15</v>
      </c>
      <c r="D1468" s="0" t="s">
        <v>20</v>
      </c>
      <c r="E1468" s="0" t="n">
        <v>34782.97</v>
      </c>
      <c r="F1468" s="0" t="n">
        <v>275</v>
      </c>
      <c r="G1468" s="0" t="str">
        <f aca="false">IF(F1468&lt;=30,"Current",IF(F1468&lt;=60,"31 to 60 days",IF(F1468&lt;=90,"61 to 90 days",IF(F1468&lt;=120,"91 to 120 days","Over 120 days"))))</f>
        <v>Over 120 days</v>
      </c>
      <c r="H1468" s="0" t="n">
        <f aca="false">VLOOKUP(D1468,Rates!$A$4:$B$7,2,FALSE())</f>
        <v>0.05</v>
      </c>
      <c r="I1468" s="0" t="n">
        <f aca="false">VLOOKUP(F1468,Rates!$D$4:$E$8,2)</f>
        <v>0.85</v>
      </c>
      <c r="J1468" s="0" t="n">
        <f aca="false">ROUND(E1468*I1468,2)</f>
        <v>29565.52</v>
      </c>
      <c r="K1468" s="1" t="n">
        <f aca="false">PV(H1468/12,F1468/30,0,-E1468)</f>
        <v>33482.1615564578</v>
      </c>
      <c r="L1468" s="0" t="n">
        <f aca="false">ROUND(E1468-K1468,2)</f>
        <v>1300.81</v>
      </c>
      <c r="M1468" s="0" t="n">
        <f aca="false">F1468/E1468</f>
        <v>0.0079061678746812</v>
      </c>
    </row>
    <row r="1469" customFormat="false" ht="12.8" hidden="false" customHeight="false" outlineLevel="0" collapsed="false">
      <c r="A1469" s="0" t="s">
        <v>2142</v>
      </c>
      <c r="B1469" s="0" t="s">
        <v>2143</v>
      </c>
      <c r="C1469" s="0" t="s">
        <v>26</v>
      </c>
      <c r="D1469" s="0" t="s">
        <v>16</v>
      </c>
      <c r="E1469" s="0" t="n">
        <v>2720.83</v>
      </c>
      <c r="F1469" s="0" t="n">
        <v>250</v>
      </c>
      <c r="G1469" s="0" t="str">
        <f aca="false">IF(F1469&lt;=30,"Current",IF(F1469&lt;=60,"31 to 60 days",IF(F1469&lt;=90,"61 to 90 days",IF(F1469&lt;=120,"91 to 120 days","Over 120 days"))))</f>
        <v>Over 120 days</v>
      </c>
      <c r="H1469" s="0" t="n">
        <f aca="false">VLOOKUP(D1469,Rates!$A$4:$B$7,2,FALSE())</f>
        <v>0.085</v>
      </c>
      <c r="I1469" s="0" t="n">
        <f aca="false">VLOOKUP(F1469,Rates!$D$4:$E$8,2)</f>
        <v>0.85</v>
      </c>
      <c r="J1469" s="0" t="n">
        <f aca="false">ROUND(E1469*I1469,2)</f>
        <v>2312.71</v>
      </c>
      <c r="K1469" s="1" t="n">
        <f aca="false">PV(H1469/12,F1469/30,0,-E1469)</f>
        <v>2565.40735212157</v>
      </c>
      <c r="L1469" s="0" t="n">
        <f aca="false">ROUND(E1469-K1469,2)</f>
        <v>155.42</v>
      </c>
      <c r="M1469" s="0" t="n">
        <f aca="false">F1469/E1469</f>
        <v>0.0918837266569393</v>
      </c>
    </row>
    <row r="1470" customFormat="false" ht="12.8" hidden="false" customHeight="false" outlineLevel="0" collapsed="false">
      <c r="A1470" s="0" t="s">
        <v>2144</v>
      </c>
      <c r="B1470" s="0" t="s">
        <v>2060</v>
      </c>
      <c r="C1470" s="0" t="s">
        <v>36</v>
      </c>
      <c r="D1470" s="0" t="s">
        <v>16</v>
      </c>
      <c r="E1470" s="0" t="n">
        <v>21008.24</v>
      </c>
      <c r="F1470" s="0" t="n">
        <v>246</v>
      </c>
      <c r="G1470" s="0" t="str">
        <f aca="false">IF(F1470&lt;=30,"Current",IF(F1470&lt;=60,"31 to 60 days",IF(F1470&lt;=90,"61 to 90 days",IF(F1470&lt;=120,"91 to 120 days","Over 120 days"))))</f>
        <v>Over 120 days</v>
      </c>
      <c r="H1470" s="0" t="n">
        <f aca="false">VLOOKUP(D1470,Rates!$A$4:$B$7,2,FALSE())</f>
        <v>0.085</v>
      </c>
      <c r="I1470" s="0" t="n">
        <f aca="false">VLOOKUP(F1470,Rates!$D$4:$E$8,2)</f>
        <v>0.85</v>
      </c>
      <c r="J1470" s="0" t="n">
        <f aca="false">ROUND(E1470*I1470,2)</f>
        <v>17857</v>
      </c>
      <c r="K1470" s="1" t="n">
        <f aca="false">PV(H1470/12,F1470/30,0,-E1470)</f>
        <v>19826.8316446028</v>
      </c>
      <c r="L1470" s="0" t="n">
        <f aca="false">ROUND(E1470-K1470,2)</f>
        <v>1181.41</v>
      </c>
      <c r="M1470" s="0" t="n">
        <f aca="false">F1470/E1470</f>
        <v>0.0117096910545576</v>
      </c>
    </row>
    <row r="1471" customFormat="false" ht="12.8" hidden="false" customHeight="false" outlineLevel="0" collapsed="false">
      <c r="A1471" s="0" t="s">
        <v>2145</v>
      </c>
      <c r="B1471" s="0" t="s">
        <v>53</v>
      </c>
      <c r="C1471" s="0" t="s">
        <v>19</v>
      </c>
      <c r="D1471" s="0" t="s">
        <v>23</v>
      </c>
      <c r="E1471" s="0" t="n">
        <v>39907.47</v>
      </c>
      <c r="F1471" s="0" t="n">
        <v>160</v>
      </c>
      <c r="G1471" s="0" t="str">
        <f aca="false">IF(F1471&lt;=30,"Current",IF(F1471&lt;=60,"31 to 60 days",IF(F1471&lt;=90,"61 to 90 days",IF(F1471&lt;=120,"91 to 120 days","Over 120 days"))))</f>
        <v>Over 120 days</v>
      </c>
      <c r="H1471" s="0" t="n">
        <f aca="false">VLOOKUP(D1471,Rates!$A$4:$B$7,2,FALSE())</f>
        <v>0.115</v>
      </c>
      <c r="I1471" s="0" t="n">
        <f aca="false">VLOOKUP(F1471,Rates!$D$4:$E$8,2)</f>
        <v>0.85</v>
      </c>
      <c r="J1471" s="0" t="n">
        <f aca="false">ROUND(E1471*I1471,2)</f>
        <v>33921.35</v>
      </c>
      <c r="K1471" s="1" t="n">
        <f aca="false">PV(H1471/12,F1471/30,0,-E1471)</f>
        <v>37928.2329388926</v>
      </c>
      <c r="L1471" s="0" t="n">
        <f aca="false">ROUND(E1471-K1471,2)</f>
        <v>1979.24</v>
      </c>
      <c r="M1471" s="0" t="n">
        <f aca="false">F1471/E1471</f>
        <v>0.00400927445413102</v>
      </c>
    </row>
    <row r="1472" customFormat="false" ht="12.8" hidden="false" customHeight="false" outlineLevel="0" collapsed="false">
      <c r="A1472" s="0" t="s">
        <v>2146</v>
      </c>
      <c r="B1472" s="0" t="s">
        <v>30</v>
      </c>
      <c r="C1472" s="0" t="s">
        <v>31</v>
      </c>
      <c r="D1472" s="0" t="s">
        <v>20</v>
      </c>
      <c r="E1472" s="0" t="n">
        <v>25683.72</v>
      </c>
      <c r="F1472" s="0" t="n">
        <v>389</v>
      </c>
      <c r="G1472" s="0" t="str">
        <f aca="false">IF(F1472&lt;=30,"Current",IF(F1472&lt;=60,"31 to 60 days",IF(F1472&lt;=90,"61 to 90 days",IF(F1472&lt;=120,"91 to 120 days","Over 120 days"))))</f>
        <v>Over 120 days</v>
      </c>
      <c r="H1472" s="0" t="n">
        <f aca="false">VLOOKUP(D1472,Rates!$A$4:$B$7,2,FALSE())</f>
        <v>0.05</v>
      </c>
      <c r="I1472" s="0" t="n">
        <f aca="false">VLOOKUP(F1472,Rates!$D$4:$E$8,2)</f>
        <v>0.85</v>
      </c>
      <c r="J1472" s="0" t="n">
        <f aca="false">ROUND(E1472*I1472,2)</f>
        <v>21831.16</v>
      </c>
      <c r="K1472" s="1" t="n">
        <f aca="false">PV(H1472/12,F1472/30,0,-E1472)</f>
        <v>24335.636448</v>
      </c>
      <c r="L1472" s="0" t="n">
        <f aca="false">ROUND(E1472-K1472,2)</f>
        <v>1348.08</v>
      </c>
      <c r="M1472" s="0" t="n">
        <f aca="false">F1472/E1472</f>
        <v>0.0151457810628678</v>
      </c>
    </row>
    <row r="1473" customFormat="false" ht="12.8" hidden="false" customHeight="false" outlineLevel="0" collapsed="false">
      <c r="A1473" s="0" t="s">
        <v>2147</v>
      </c>
      <c r="B1473" s="0" t="s">
        <v>1059</v>
      </c>
      <c r="C1473" s="0" t="s">
        <v>19</v>
      </c>
      <c r="D1473" s="0" t="s">
        <v>49</v>
      </c>
      <c r="E1473" s="0" t="n">
        <v>33797.18</v>
      </c>
      <c r="F1473" s="0" t="n">
        <v>290</v>
      </c>
      <c r="G1473" s="0" t="str">
        <f aca="false">IF(F1473&lt;=30,"Current",IF(F1473&lt;=60,"31 to 60 days",IF(F1473&lt;=90,"61 to 90 days",IF(F1473&lt;=120,"91 to 120 days","Over 120 days"))))</f>
        <v>Over 120 days</v>
      </c>
      <c r="H1473" s="0" t="n">
        <f aca="false">VLOOKUP(D1473,Rates!$A$4:$B$7,2,FALSE())</f>
        <v>0.02</v>
      </c>
      <c r="I1473" s="0" t="n">
        <f aca="false">VLOOKUP(F1473,Rates!$D$4:$E$8,2)</f>
        <v>0.85</v>
      </c>
      <c r="J1473" s="0" t="n">
        <f aca="false">ROUND(E1473*I1473,2)</f>
        <v>28727.6</v>
      </c>
      <c r="K1473" s="1" t="n">
        <f aca="false">PV(H1473/12,F1473/30,0,-E1473)</f>
        <v>33257.4787616173</v>
      </c>
      <c r="L1473" s="0" t="n">
        <f aca="false">ROUND(E1473-K1473,2)</f>
        <v>539.7</v>
      </c>
      <c r="M1473" s="0" t="n">
        <f aca="false">F1473/E1473</f>
        <v>0.00858059755281358</v>
      </c>
    </row>
    <row r="1474" customFormat="false" ht="12.8" hidden="false" customHeight="false" outlineLevel="0" collapsed="false">
      <c r="A1474" s="0" t="s">
        <v>2148</v>
      </c>
      <c r="B1474" s="0" t="s">
        <v>2149</v>
      </c>
      <c r="C1474" s="0" t="s">
        <v>26</v>
      </c>
      <c r="D1474" s="0" t="s">
        <v>49</v>
      </c>
      <c r="E1474" s="0" t="n">
        <v>24324.78</v>
      </c>
      <c r="F1474" s="0" t="n">
        <v>237</v>
      </c>
      <c r="G1474" s="0" t="str">
        <f aca="false">IF(F1474&lt;=30,"Current",IF(F1474&lt;=60,"31 to 60 days",IF(F1474&lt;=90,"61 to 90 days",IF(F1474&lt;=120,"91 to 120 days","Over 120 days"))))</f>
        <v>Over 120 days</v>
      </c>
      <c r="H1474" s="0" t="n">
        <f aca="false">VLOOKUP(D1474,Rates!$A$4:$B$7,2,FALSE())</f>
        <v>0.02</v>
      </c>
      <c r="I1474" s="0" t="n">
        <f aca="false">VLOOKUP(F1474,Rates!$D$4:$E$8,2)</f>
        <v>0.85</v>
      </c>
      <c r="J1474" s="0" t="n">
        <f aca="false">ROUND(E1474*I1474,2)</f>
        <v>20676.06</v>
      </c>
      <c r="K1474" s="1" t="n">
        <f aca="false">PV(H1474/12,F1474/30,0,-E1474)</f>
        <v>24006.8661068335</v>
      </c>
      <c r="L1474" s="0" t="n">
        <f aca="false">ROUND(E1474-K1474,2)</f>
        <v>317.91</v>
      </c>
      <c r="M1474" s="0" t="n">
        <f aca="false">F1474/E1474</f>
        <v>0.00974315081164146</v>
      </c>
    </row>
    <row r="1475" customFormat="false" ht="12.8" hidden="false" customHeight="false" outlineLevel="0" collapsed="false">
      <c r="A1475" s="0" t="s">
        <v>2150</v>
      </c>
      <c r="B1475" s="0" t="s">
        <v>28</v>
      </c>
      <c r="C1475" s="0" t="s">
        <v>15</v>
      </c>
      <c r="D1475" s="0" t="s">
        <v>20</v>
      </c>
      <c r="E1475" s="0" t="n">
        <v>14529.04</v>
      </c>
      <c r="F1475" s="0" t="n">
        <v>382</v>
      </c>
      <c r="G1475" s="0" t="str">
        <f aca="false">IF(F1475&lt;=30,"Current",IF(F1475&lt;=60,"31 to 60 days",IF(F1475&lt;=90,"61 to 90 days",IF(F1475&lt;=120,"91 to 120 days","Over 120 days"))))</f>
        <v>Over 120 days</v>
      </c>
      <c r="H1475" s="0" t="n">
        <f aca="false">VLOOKUP(D1475,Rates!$A$4:$B$7,2,FALSE())</f>
        <v>0.05</v>
      </c>
      <c r="I1475" s="0" t="n">
        <f aca="false">VLOOKUP(F1475,Rates!$D$4:$E$8,2)</f>
        <v>0.85</v>
      </c>
      <c r="J1475" s="0" t="n">
        <f aca="false">ROUND(E1475*I1475,2)</f>
        <v>12349.68</v>
      </c>
      <c r="K1475" s="1" t="n">
        <f aca="false">PV(H1475/12,F1475/30,0,-E1475)</f>
        <v>13779.8044685345</v>
      </c>
      <c r="L1475" s="0" t="n">
        <f aca="false">ROUND(E1475-K1475,2)</f>
        <v>749.24</v>
      </c>
      <c r="M1475" s="0" t="n">
        <f aca="false">F1475/E1475</f>
        <v>0.0262921707146515</v>
      </c>
    </row>
    <row r="1476" customFormat="false" ht="12.8" hidden="false" customHeight="false" outlineLevel="0" collapsed="false">
      <c r="A1476" s="0" t="s">
        <v>2151</v>
      </c>
      <c r="B1476" s="0" t="s">
        <v>84</v>
      </c>
      <c r="C1476" s="0" t="s">
        <v>26</v>
      </c>
      <c r="D1476" s="0" t="s">
        <v>23</v>
      </c>
      <c r="E1476" s="0" t="n">
        <v>23098.76</v>
      </c>
      <c r="F1476" s="0" t="n">
        <v>13</v>
      </c>
      <c r="G1476" s="0" t="str">
        <f aca="false">IF(F1476&lt;=30,"Current",IF(F1476&lt;=60,"31 to 60 days",IF(F1476&lt;=90,"61 to 90 days",IF(F1476&lt;=120,"91 to 120 days","Over 120 days"))))</f>
        <v>Current</v>
      </c>
      <c r="H1476" s="0" t="n">
        <f aca="false">VLOOKUP(D1476,Rates!$A$4:$B$7,2,FALSE())</f>
        <v>0.115</v>
      </c>
      <c r="I1476" s="0" t="n">
        <f aca="false">VLOOKUP(F1476,Rates!$D$4:$E$8,2)</f>
        <v>0.02</v>
      </c>
      <c r="J1476" s="0" t="n">
        <f aca="false">ROUND(E1476*I1476,2)</f>
        <v>461.98</v>
      </c>
      <c r="K1476" s="1" t="n">
        <f aca="false">PV(H1476/12,F1476/30,0,-E1476)</f>
        <v>23003.4897149872</v>
      </c>
      <c r="L1476" s="0" t="n">
        <f aca="false">ROUND(E1476-K1476,2)</f>
        <v>95.27</v>
      </c>
      <c r="M1476" s="0" t="n">
        <f aca="false">F1476/E1476</f>
        <v>0.000562800773721187</v>
      </c>
    </row>
    <row r="1477" customFormat="false" ht="12.8" hidden="false" customHeight="false" outlineLevel="0" collapsed="false">
      <c r="A1477" s="0" t="s">
        <v>2152</v>
      </c>
      <c r="B1477" s="0" t="s">
        <v>2153</v>
      </c>
      <c r="C1477" s="0" t="s">
        <v>15</v>
      </c>
      <c r="D1477" s="0" t="s">
        <v>49</v>
      </c>
      <c r="E1477" s="0" t="n">
        <v>7122.28</v>
      </c>
      <c r="F1477" s="0" t="n">
        <v>38</v>
      </c>
      <c r="G1477" s="0" t="str">
        <f aca="false">IF(F1477&lt;=30,"Current",IF(F1477&lt;=60,"31 to 60 days",IF(F1477&lt;=90,"61 to 90 days",IF(F1477&lt;=120,"91 to 120 days","Over 120 days"))))</f>
        <v>31 to 60 days</v>
      </c>
      <c r="H1477" s="0" t="n">
        <f aca="false">VLOOKUP(D1477,Rates!$A$4:$B$7,2,FALSE())</f>
        <v>0.02</v>
      </c>
      <c r="I1477" s="0" t="n">
        <f aca="false">VLOOKUP(F1477,Rates!$D$4:$E$8,2)</f>
        <v>0.1</v>
      </c>
      <c r="J1477" s="0" t="n">
        <f aca="false">ROUND(E1477*I1477,2)</f>
        <v>712.23</v>
      </c>
      <c r="K1477" s="1" t="n">
        <f aca="false">PV(H1477/12,F1477/30,0,-E1477)</f>
        <v>7107.27242529474</v>
      </c>
      <c r="L1477" s="0" t="n">
        <f aca="false">ROUND(E1477-K1477,2)</f>
        <v>15.01</v>
      </c>
      <c r="M1477" s="0" t="n">
        <f aca="false">F1477/E1477</f>
        <v>0.00533537013428284</v>
      </c>
    </row>
    <row r="1478" customFormat="false" ht="12.8" hidden="false" customHeight="false" outlineLevel="0" collapsed="false">
      <c r="A1478" s="0" t="s">
        <v>2154</v>
      </c>
      <c r="B1478" s="0" t="s">
        <v>53</v>
      </c>
      <c r="C1478" s="0" t="s">
        <v>19</v>
      </c>
      <c r="D1478" s="0" t="s">
        <v>23</v>
      </c>
      <c r="E1478" s="0" t="n">
        <v>44330.12</v>
      </c>
      <c r="F1478" s="0" t="n">
        <v>133</v>
      </c>
      <c r="G1478" s="0" t="str">
        <f aca="false">IF(F1478&lt;=30,"Current",IF(F1478&lt;=60,"31 to 60 days",IF(F1478&lt;=90,"61 to 90 days",IF(F1478&lt;=120,"91 to 120 days","Over 120 days"))))</f>
        <v>Over 120 days</v>
      </c>
      <c r="H1478" s="0" t="n">
        <f aca="false">VLOOKUP(D1478,Rates!$A$4:$B$7,2,FALSE())</f>
        <v>0.115</v>
      </c>
      <c r="I1478" s="0" t="n">
        <f aca="false">VLOOKUP(F1478,Rates!$D$4:$E$8,2)</f>
        <v>0.85</v>
      </c>
      <c r="J1478" s="0" t="n">
        <f aca="false">ROUND(E1478*I1478,2)</f>
        <v>37680.6</v>
      </c>
      <c r="K1478" s="1" t="n">
        <f aca="false">PV(H1478/12,F1478/30,0,-E1478)</f>
        <v>42494.7497296779</v>
      </c>
      <c r="L1478" s="0" t="n">
        <f aca="false">ROUND(E1478-K1478,2)</f>
        <v>1835.37</v>
      </c>
      <c r="M1478" s="0" t="n">
        <f aca="false">F1478/E1478</f>
        <v>0.00300021745937074</v>
      </c>
    </row>
    <row r="1479" customFormat="false" ht="12.8" hidden="false" customHeight="false" outlineLevel="0" collapsed="false">
      <c r="A1479" s="0" t="s">
        <v>2155</v>
      </c>
      <c r="B1479" s="0" t="s">
        <v>28</v>
      </c>
      <c r="C1479" s="0" t="s">
        <v>15</v>
      </c>
      <c r="D1479" s="0" t="s">
        <v>20</v>
      </c>
      <c r="E1479" s="0" t="n">
        <v>32753.33</v>
      </c>
      <c r="F1479" s="0" t="n">
        <v>331</v>
      </c>
      <c r="G1479" s="0" t="str">
        <f aca="false">IF(F1479&lt;=30,"Current",IF(F1479&lt;=60,"31 to 60 days",IF(F1479&lt;=90,"61 to 90 days",IF(F1479&lt;=120,"91 to 120 days","Over 120 days"))))</f>
        <v>Over 120 days</v>
      </c>
      <c r="H1479" s="0" t="n">
        <f aca="false">VLOOKUP(D1479,Rates!$A$4:$B$7,2,FALSE())</f>
        <v>0.05</v>
      </c>
      <c r="I1479" s="0" t="n">
        <f aca="false">VLOOKUP(F1479,Rates!$D$4:$E$8,2)</f>
        <v>0.85</v>
      </c>
      <c r="J1479" s="0" t="n">
        <f aca="false">ROUND(E1479*I1479,2)</f>
        <v>27840.33</v>
      </c>
      <c r="K1479" s="1" t="n">
        <f aca="false">PV(H1479/12,F1479/30,0,-E1479)</f>
        <v>31284.6613378806</v>
      </c>
      <c r="L1479" s="0" t="n">
        <f aca="false">ROUND(E1479-K1479,2)</f>
        <v>1468.67</v>
      </c>
      <c r="M1479" s="0" t="n">
        <f aca="false">F1479/E1479</f>
        <v>0.0101058426730961</v>
      </c>
    </row>
    <row r="1480" customFormat="false" ht="12.8" hidden="false" customHeight="false" outlineLevel="0" collapsed="false">
      <c r="A1480" s="0" t="s">
        <v>2156</v>
      </c>
      <c r="B1480" s="0" t="s">
        <v>2157</v>
      </c>
      <c r="C1480" s="0" t="s">
        <v>26</v>
      </c>
      <c r="D1480" s="0" t="s">
        <v>16</v>
      </c>
      <c r="E1480" s="0" t="n">
        <v>38447.47</v>
      </c>
      <c r="F1480" s="0" t="n">
        <v>163</v>
      </c>
      <c r="G1480" s="0" t="str">
        <f aca="false">IF(F1480&lt;=30,"Current",IF(F1480&lt;=60,"31 to 60 days",IF(F1480&lt;=90,"61 to 90 days",IF(F1480&lt;=120,"91 to 120 days","Over 120 days"))))</f>
        <v>Over 120 days</v>
      </c>
      <c r="H1480" s="0" t="n">
        <f aca="false">VLOOKUP(D1480,Rates!$A$4:$B$7,2,FALSE())</f>
        <v>0.085</v>
      </c>
      <c r="I1480" s="0" t="n">
        <f aca="false">VLOOKUP(F1480,Rates!$D$4:$E$8,2)</f>
        <v>0.85</v>
      </c>
      <c r="J1480" s="0" t="n">
        <f aca="false">ROUND(E1480*I1480,2)</f>
        <v>32680.35</v>
      </c>
      <c r="K1480" s="1" t="n">
        <f aca="false">PV(H1480/12,F1480/30,0,-E1480)</f>
        <v>37000.9078063641</v>
      </c>
      <c r="L1480" s="0" t="n">
        <f aca="false">ROUND(E1480-K1480,2)</f>
        <v>1446.56</v>
      </c>
      <c r="M1480" s="0" t="n">
        <f aca="false">F1480/E1480</f>
        <v>0.00423955074287073</v>
      </c>
    </row>
    <row r="1481" customFormat="false" ht="12.8" hidden="false" customHeight="false" outlineLevel="0" collapsed="false">
      <c r="A1481" s="0" t="s">
        <v>2158</v>
      </c>
      <c r="B1481" s="0" t="s">
        <v>2159</v>
      </c>
      <c r="C1481" s="0" t="s">
        <v>31</v>
      </c>
      <c r="D1481" s="0" t="s">
        <v>49</v>
      </c>
      <c r="E1481" s="0" t="n">
        <v>19624.9</v>
      </c>
      <c r="F1481" s="0" t="n">
        <v>87</v>
      </c>
      <c r="G1481" s="0" t="str">
        <f aca="false">IF(F1481&lt;=30,"Current",IF(F1481&lt;=60,"31 to 60 days",IF(F1481&lt;=90,"61 to 90 days",IF(F1481&lt;=120,"91 to 120 days","Over 120 days"))))</f>
        <v>61 to 90 days</v>
      </c>
      <c r="H1481" s="0" t="n">
        <f aca="false">VLOOKUP(D1481,Rates!$A$4:$B$7,2,FALSE())</f>
        <v>0.02</v>
      </c>
      <c r="I1481" s="0" t="n">
        <f aca="false">VLOOKUP(F1481,Rates!$D$4:$E$8,2)</f>
        <v>0.25</v>
      </c>
      <c r="J1481" s="0" t="n">
        <f aca="false">ROUND(E1481*I1481,2)</f>
        <v>4906.23</v>
      </c>
      <c r="K1481" s="1" t="n">
        <f aca="false">PV(H1481/12,F1481/30,0,-E1481)</f>
        <v>19530.3537540042</v>
      </c>
      <c r="L1481" s="0" t="n">
        <f aca="false">ROUND(E1481-K1481,2)</f>
        <v>94.55</v>
      </c>
      <c r="M1481" s="0" t="n">
        <f aca="false">F1481/E1481</f>
        <v>0.00443314360837507</v>
      </c>
    </row>
    <row r="1482" customFormat="false" ht="12.8" hidden="false" customHeight="false" outlineLevel="0" collapsed="false">
      <c r="A1482" s="0" t="s">
        <v>2160</v>
      </c>
      <c r="B1482" s="0" t="s">
        <v>2161</v>
      </c>
      <c r="C1482" s="0" t="s">
        <v>42</v>
      </c>
      <c r="D1482" s="0" t="s">
        <v>16</v>
      </c>
      <c r="E1482" s="0" t="n">
        <v>39992.89</v>
      </c>
      <c r="F1482" s="0" t="n">
        <v>276</v>
      </c>
      <c r="G1482" s="0" t="str">
        <f aca="false">IF(F1482&lt;=30,"Current",IF(F1482&lt;=60,"31 to 60 days",IF(F1482&lt;=90,"61 to 90 days",IF(F1482&lt;=120,"91 to 120 days","Over 120 days"))))</f>
        <v>Over 120 days</v>
      </c>
      <c r="H1482" s="0" t="n">
        <f aca="false">VLOOKUP(D1482,Rates!$A$4:$B$7,2,FALSE())</f>
        <v>0.085</v>
      </c>
      <c r="I1482" s="0" t="n">
        <f aca="false">VLOOKUP(F1482,Rates!$D$4:$E$8,2)</f>
        <v>0.85</v>
      </c>
      <c r="J1482" s="0" t="n">
        <f aca="false">ROUND(E1482*I1482,2)</f>
        <v>33993.96</v>
      </c>
      <c r="K1482" s="1" t="n">
        <f aca="false">PV(H1482/12,F1482/30,0,-E1482)</f>
        <v>37478.3988422695</v>
      </c>
      <c r="L1482" s="0" t="n">
        <f aca="false">ROUND(E1482-K1482,2)</f>
        <v>2514.49</v>
      </c>
      <c r="M1482" s="0" t="n">
        <f aca="false">F1482/E1482</f>
        <v>0.00690122669304469</v>
      </c>
    </row>
    <row r="1483" customFormat="false" ht="12.8" hidden="false" customHeight="false" outlineLevel="0" collapsed="false">
      <c r="A1483" s="0" t="s">
        <v>2162</v>
      </c>
      <c r="B1483" s="0" t="s">
        <v>2163</v>
      </c>
      <c r="C1483" s="0" t="s">
        <v>31</v>
      </c>
      <c r="D1483" s="0" t="s">
        <v>16</v>
      </c>
      <c r="E1483" s="0" t="n">
        <v>27709.28</v>
      </c>
      <c r="F1483" s="0" t="n">
        <v>263</v>
      </c>
      <c r="G1483" s="0" t="str">
        <f aca="false">IF(F1483&lt;=30,"Current",IF(F1483&lt;=60,"31 to 60 days",IF(F1483&lt;=90,"61 to 90 days",IF(F1483&lt;=120,"91 to 120 days","Over 120 days"))))</f>
        <v>Over 120 days</v>
      </c>
      <c r="H1483" s="0" t="n">
        <f aca="false">VLOOKUP(D1483,Rates!$A$4:$B$7,2,FALSE())</f>
        <v>0.085</v>
      </c>
      <c r="I1483" s="0" t="n">
        <f aca="false">VLOOKUP(F1483,Rates!$D$4:$E$8,2)</f>
        <v>0.85</v>
      </c>
      <c r="J1483" s="0" t="n">
        <f aca="false">ROUND(E1483*I1483,2)</f>
        <v>23552.89</v>
      </c>
      <c r="K1483" s="1" t="n">
        <f aca="false">PV(H1483/12,F1483/30,0,-E1483)</f>
        <v>26046.6470420143</v>
      </c>
      <c r="L1483" s="0" t="n">
        <f aca="false">ROUND(E1483-K1483,2)</f>
        <v>1662.63</v>
      </c>
      <c r="M1483" s="0" t="n">
        <f aca="false">F1483/E1483</f>
        <v>0.00949140504552987</v>
      </c>
    </row>
    <row r="1484" customFormat="false" ht="12.8" hidden="false" customHeight="false" outlineLevel="0" collapsed="false">
      <c r="A1484" s="0" t="s">
        <v>2164</v>
      </c>
      <c r="B1484" s="0" t="s">
        <v>2165</v>
      </c>
      <c r="C1484" s="0" t="s">
        <v>19</v>
      </c>
      <c r="D1484" s="0" t="s">
        <v>49</v>
      </c>
      <c r="E1484" s="0" t="n">
        <v>39502.27</v>
      </c>
      <c r="F1484" s="0" t="n">
        <v>397</v>
      </c>
      <c r="G1484" s="0" t="str">
        <f aca="false">IF(F1484&lt;=30,"Current",IF(F1484&lt;=60,"31 to 60 days",IF(F1484&lt;=90,"61 to 90 days",IF(F1484&lt;=120,"91 to 120 days","Over 120 days"))))</f>
        <v>Over 120 days</v>
      </c>
      <c r="H1484" s="0" t="n">
        <f aca="false">VLOOKUP(D1484,Rates!$A$4:$B$7,2,FALSE())</f>
        <v>0.02</v>
      </c>
      <c r="I1484" s="0" t="n">
        <f aca="false">VLOOKUP(F1484,Rates!$D$4:$E$8,2)</f>
        <v>0.85</v>
      </c>
      <c r="J1484" s="0" t="n">
        <f aca="false">ROUND(E1484*I1484,2)</f>
        <v>33576.93</v>
      </c>
      <c r="K1484" s="1" t="n">
        <f aca="false">PV(H1484/12,F1484/30,0,-E1484)</f>
        <v>38641.272549899</v>
      </c>
      <c r="L1484" s="0" t="n">
        <f aca="false">ROUND(E1484-K1484,2)</f>
        <v>861</v>
      </c>
      <c r="M1484" s="0" t="n">
        <f aca="false">F1484/E1484</f>
        <v>0.0100500553512494</v>
      </c>
    </row>
    <row r="1485" customFormat="false" ht="12.8" hidden="false" customHeight="false" outlineLevel="0" collapsed="false">
      <c r="A1485" s="0" t="s">
        <v>2166</v>
      </c>
      <c r="B1485" s="0" t="s">
        <v>2167</v>
      </c>
      <c r="C1485" s="0" t="s">
        <v>26</v>
      </c>
      <c r="D1485" s="0" t="s">
        <v>16</v>
      </c>
      <c r="E1485" s="0" t="n">
        <v>24649.66</v>
      </c>
      <c r="F1485" s="0" t="n">
        <v>335</v>
      </c>
      <c r="G1485" s="0" t="str">
        <f aca="false">IF(F1485&lt;=30,"Current",IF(F1485&lt;=60,"31 to 60 days",IF(F1485&lt;=90,"61 to 90 days",IF(F1485&lt;=120,"91 to 120 days","Over 120 days"))))</f>
        <v>Over 120 days</v>
      </c>
      <c r="H1485" s="0" t="n">
        <f aca="false">VLOOKUP(D1485,Rates!$A$4:$B$7,2,FALSE())</f>
        <v>0.085</v>
      </c>
      <c r="I1485" s="0" t="n">
        <f aca="false">VLOOKUP(F1485,Rates!$D$4:$E$8,2)</f>
        <v>0.85</v>
      </c>
      <c r="J1485" s="0" t="n">
        <f aca="false">ROUND(E1485*I1485,2)</f>
        <v>20952.21</v>
      </c>
      <c r="K1485" s="1" t="n">
        <f aca="false">PV(H1485/12,F1485/30,0,-E1485)</f>
        <v>22781.4066439134</v>
      </c>
      <c r="L1485" s="0" t="n">
        <f aca="false">ROUND(E1485-K1485,2)</f>
        <v>1868.25</v>
      </c>
      <c r="M1485" s="0" t="n">
        <f aca="false">F1485/E1485</f>
        <v>0.0135904511461821</v>
      </c>
    </row>
    <row r="1486" customFormat="false" ht="12.8" hidden="false" customHeight="false" outlineLevel="0" collapsed="false">
      <c r="A1486" s="0" t="s">
        <v>2168</v>
      </c>
      <c r="B1486" s="0" t="s">
        <v>51</v>
      </c>
      <c r="C1486" s="0" t="s">
        <v>36</v>
      </c>
      <c r="D1486" s="0" t="s">
        <v>20</v>
      </c>
      <c r="E1486" s="0" t="n">
        <v>21112.77</v>
      </c>
      <c r="F1486" s="0" t="n">
        <v>101</v>
      </c>
      <c r="G1486" s="0" t="str">
        <f aca="false">IF(F1486&lt;=30,"Current",IF(F1486&lt;=60,"31 to 60 days",IF(F1486&lt;=90,"61 to 90 days",IF(F1486&lt;=120,"91 to 120 days","Over 120 days"))))</f>
        <v>91 to 120 days</v>
      </c>
      <c r="H1486" s="0" t="n">
        <f aca="false">VLOOKUP(D1486,Rates!$A$4:$B$7,2,FALSE())</f>
        <v>0.05</v>
      </c>
      <c r="I1486" s="0" t="n">
        <f aca="false">VLOOKUP(F1486,Rates!$D$4:$E$8,2)</f>
        <v>0.5</v>
      </c>
      <c r="J1486" s="0" t="n">
        <f aca="false">ROUND(E1486*I1486,2)</f>
        <v>10556.39</v>
      </c>
      <c r="K1486" s="1" t="n">
        <f aca="false">PV(H1486/12,F1486/30,0,-E1486)</f>
        <v>20819.2790852221</v>
      </c>
      <c r="L1486" s="0" t="n">
        <f aca="false">ROUND(E1486-K1486,2)</f>
        <v>293.49</v>
      </c>
      <c r="M1486" s="0" t="n">
        <f aca="false">F1486/E1486</f>
        <v>0.00478383461762715</v>
      </c>
    </row>
    <row r="1487" customFormat="false" ht="12.8" hidden="false" customHeight="false" outlineLevel="0" collapsed="false">
      <c r="A1487" s="0" t="s">
        <v>2169</v>
      </c>
      <c r="B1487" s="0" t="s">
        <v>2170</v>
      </c>
      <c r="C1487" s="0" t="s">
        <v>15</v>
      </c>
      <c r="D1487" s="0" t="s">
        <v>49</v>
      </c>
      <c r="E1487" s="0" t="n">
        <v>35425.7</v>
      </c>
      <c r="F1487" s="0" t="n">
        <v>310</v>
      </c>
      <c r="G1487" s="0" t="str">
        <f aca="false">IF(F1487&lt;=30,"Current",IF(F1487&lt;=60,"31 to 60 days",IF(F1487&lt;=90,"61 to 90 days",IF(F1487&lt;=120,"91 to 120 days","Over 120 days"))))</f>
        <v>Over 120 days</v>
      </c>
      <c r="H1487" s="0" t="n">
        <f aca="false">VLOOKUP(D1487,Rates!$A$4:$B$7,2,FALSE())</f>
        <v>0.02</v>
      </c>
      <c r="I1487" s="0" t="n">
        <f aca="false">VLOOKUP(F1487,Rates!$D$4:$E$8,2)</f>
        <v>0.85</v>
      </c>
      <c r="J1487" s="0" t="n">
        <f aca="false">ROUND(E1487*I1487,2)</f>
        <v>30111.85</v>
      </c>
      <c r="K1487" s="1" t="n">
        <f aca="false">PV(H1487/12,F1487/30,0,-E1487)</f>
        <v>34821.3136023471</v>
      </c>
      <c r="L1487" s="0" t="n">
        <f aca="false">ROUND(E1487-K1487,2)</f>
        <v>604.39</v>
      </c>
      <c r="M1487" s="0" t="n">
        <f aca="false">F1487/E1487</f>
        <v>0.00875070923086912</v>
      </c>
    </row>
    <row r="1488" customFormat="false" ht="12.8" hidden="false" customHeight="false" outlineLevel="0" collapsed="false">
      <c r="A1488" s="0" t="s">
        <v>2171</v>
      </c>
      <c r="B1488" s="0" t="s">
        <v>413</v>
      </c>
      <c r="C1488" s="0" t="s">
        <v>36</v>
      </c>
      <c r="D1488" s="0" t="s">
        <v>23</v>
      </c>
      <c r="E1488" s="0" t="n">
        <v>26279.08</v>
      </c>
      <c r="F1488" s="0" t="n">
        <v>317</v>
      </c>
      <c r="G1488" s="0" t="str">
        <f aca="false">IF(F1488&lt;=30,"Current",IF(F1488&lt;=60,"31 to 60 days",IF(F1488&lt;=90,"61 to 90 days",IF(F1488&lt;=120,"91 to 120 days","Over 120 days"))))</f>
        <v>Over 120 days</v>
      </c>
      <c r="H1488" s="0" t="n">
        <f aca="false">VLOOKUP(D1488,Rates!$A$4:$B$7,2,FALSE())</f>
        <v>0.115</v>
      </c>
      <c r="I1488" s="0" t="n">
        <f aca="false">VLOOKUP(F1488,Rates!$D$4:$E$8,2)</f>
        <v>0.85</v>
      </c>
      <c r="J1488" s="0" t="n">
        <f aca="false">ROUND(E1488*I1488,2)</f>
        <v>22337.22</v>
      </c>
      <c r="K1488" s="1" t="n">
        <f aca="false">PV(H1488/12,F1488/30,0,-E1488)</f>
        <v>23759.7136197928</v>
      </c>
      <c r="L1488" s="0" t="n">
        <f aca="false">ROUND(E1488-K1488,2)</f>
        <v>2519.37</v>
      </c>
      <c r="M1488" s="0" t="n">
        <f aca="false">F1488/E1488</f>
        <v>0.012062827161377</v>
      </c>
    </row>
    <row r="1489" customFormat="false" ht="12.8" hidden="false" customHeight="false" outlineLevel="0" collapsed="false">
      <c r="A1489" s="0" t="s">
        <v>2172</v>
      </c>
      <c r="B1489" s="0" t="s">
        <v>18</v>
      </c>
      <c r="C1489" s="0" t="s">
        <v>19</v>
      </c>
      <c r="D1489" s="0" t="s">
        <v>20</v>
      </c>
      <c r="E1489" s="0" t="n">
        <v>22378.58</v>
      </c>
      <c r="F1489" s="0" t="n">
        <v>269</v>
      </c>
      <c r="G1489" s="0" t="str">
        <f aca="false">IF(F1489&lt;=30,"Current",IF(F1489&lt;=60,"31 to 60 days",IF(F1489&lt;=90,"61 to 90 days",IF(F1489&lt;=120,"91 to 120 days","Over 120 days"))))</f>
        <v>Over 120 days</v>
      </c>
      <c r="H1489" s="0" t="n">
        <f aca="false">VLOOKUP(D1489,Rates!$A$4:$B$7,2,FALSE())</f>
        <v>0.05</v>
      </c>
      <c r="I1489" s="0" t="n">
        <f aca="false">VLOOKUP(F1489,Rates!$D$4:$E$8,2)</f>
        <v>0.85</v>
      </c>
      <c r="J1489" s="0" t="n">
        <f aca="false">ROUND(E1489*I1489,2)</f>
        <v>19021.79</v>
      </c>
      <c r="K1489" s="1" t="n">
        <f aca="false">PV(H1489/12,F1489/30,0,-E1489)</f>
        <v>21559.5906726638</v>
      </c>
      <c r="L1489" s="0" t="n">
        <f aca="false">ROUND(E1489-K1489,2)</f>
        <v>818.99</v>
      </c>
      <c r="M1489" s="0" t="n">
        <f aca="false">F1489/E1489</f>
        <v>0.0120204231010189</v>
      </c>
    </row>
    <row r="1490" customFormat="false" ht="12.8" hidden="false" customHeight="false" outlineLevel="0" collapsed="false">
      <c r="A1490" s="0" t="s">
        <v>2173</v>
      </c>
      <c r="B1490" s="0" t="s">
        <v>18</v>
      </c>
      <c r="C1490" s="0" t="s">
        <v>19</v>
      </c>
      <c r="D1490" s="0" t="s">
        <v>20</v>
      </c>
      <c r="E1490" s="0" t="n">
        <v>9359.12</v>
      </c>
      <c r="F1490" s="0" t="n">
        <v>365</v>
      </c>
      <c r="G1490" s="0" t="str">
        <f aca="false">IF(F1490&lt;=30,"Current",IF(F1490&lt;=60,"31 to 60 days",IF(F1490&lt;=90,"61 to 90 days",IF(F1490&lt;=120,"91 to 120 days","Over 120 days"))))</f>
        <v>Over 120 days</v>
      </c>
      <c r="H1490" s="0" t="n">
        <f aca="false">VLOOKUP(D1490,Rates!$A$4:$B$7,2,FALSE())</f>
        <v>0.05</v>
      </c>
      <c r="I1490" s="0" t="n">
        <f aca="false">VLOOKUP(F1490,Rates!$D$4:$E$8,2)</f>
        <v>0.85</v>
      </c>
      <c r="J1490" s="0" t="n">
        <f aca="false">ROUND(E1490*I1490,2)</f>
        <v>7955.25</v>
      </c>
      <c r="K1490" s="1" t="n">
        <f aca="false">PV(H1490/12,F1490/30,0,-E1490)</f>
        <v>8897.4271039529</v>
      </c>
      <c r="L1490" s="0" t="n">
        <f aca="false">ROUND(E1490-K1490,2)</f>
        <v>461.69</v>
      </c>
      <c r="M1490" s="0" t="n">
        <f aca="false">F1490/E1490</f>
        <v>0.0389993931053347</v>
      </c>
    </row>
    <row r="1491" customFormat="false" ht="12.8" hidden="false" customHeight="false" outlineLevel="0" collapsed="false">
      <c r="A1491" s="0" t="s">
        <v>2174</v>
      </c>
      <c r="B1491" s="0" t="s">
        <v>682</v>
      </c>
      <c r="C1491" s="0" t="s">
        <v>19</v>
      </c>
      <c r="D1491" s="0" t="s">
        <v>23</v>
      </c>
      <c r="E1491" s="0" t="n">
        <v>32897.23</v>
      </c>
      <c r="F1491" s="0" t="n">
        <v>250</v>
      </c>
      <c r="G1491" s="0" t="str">
        <f aca="false">IF(F1491&lt;=30,"Current",IF(F1491&lt;=60,"31 to 60 days",IF(F1491&lt;=90,"61 to 90 days",IF(F1491&lt;=120,"91 to 120 days","Over 120 days"))))</f>
        <v>Over 120 days</v>
      </c>
      <c r="H1491" s="0" t="n">
        <f aca="false">VLOOKUP(D1491,Rates!$A$4:$B$7,2,FALSE())</f>
        <v>0.115</v>
      </c>
      <c r="I1491" s="0" t="n">
        <f aca="false">VLOOKUP(F1491,Rates!$D$4:$E$8,2)</f>
        <v>0.85</v>
      </c>
      <c r="J1491" s="0" t="n">
        <f aca="false">ROUND(E1491*I1491,2)</f>
        <v>27962.65</v>
      </c>
      <c r="K1491" s="1" t="n">
        <f aca="false">PV(H1491/12,F1491/30,0,-E1491)</f>
        <v>30383.7397608548</v>
      </c>
      <c r="L1491" s="0" t="n">
        <f aca="false">ROUND(E1491-K1491,2)</f>
        <v>2513.49</v>
      </c>
      <c r="M1491" s="0" t="n">
        <f aca="false">F1491/E1491</f>
        <v>0.00759942402445434</v>
      </c>
    </row>
    <row r="1492" customFormat="false" ht="12.8" hidden="false" customHeight="false" outlineLevel="0" collapsed="false">
      <c r="A1492" s="0" t="s">
        <v>2175</v>
      </c>
      <c r="B1492" s="0" t="s">
        <v>51</v>
      </c>
      <c r="C1492" s="0" t="s">
        <v>36</v>
      </c>
      <c r="D1492" s="0" t="s">
        <v>20</v>
      </c>
      <c r="E1492" s="0" t="n">
        <v>30081.25</v>
      </c>
      <c r="F1492" s="0" t="n">
        <v>390</v>
      </c>
      <c r="G1492" s="0" t="str">
        <f aca="false">IF(F1492&lt;=30,"Current",IF(F1492&lt;=60,"31 to 60 days",IF(F1492&lt;=90,"61 to 90 days",IF(F1492&lt;=120,"91 to 120 days","Over 120 days"))))</f>
        <v>Over 120 days</v>
      </c>
      <c r="H1492" s="0" t="n">
        <f aca="false">VLOOKUP(D1492,Rates!$A$4:$B$7,2,FALSE())</f>
        <v>0.05</v>
      </c>
      <c r="I1492" s="0" t="n">
        <f aca="false">VLOOKUP(F1492,Rates!$D$4:$E$8,2)</f>
        <v>0.85</v>
      </c>
      <c r="J1492" s="0" t="n">
        <f aca="false">ROUND(E1492*I1492,2)</f>
        <v>25569.06</v>
      </c>
      <c r="K1492" s="1" t="n">
        <f aca="false">PV(H1492/12,F1492/30,0,-E1492)</f>
        <v>28498.3993385195</v>
      </c>
      <c r="L1492" s="0" t="n">
        <f aca="false">ROUND(E1492-K1492,2)</f>
        <v>1582.85</v>
      </c>
      <c r="M1492" s="0" t="n">
        <f aca="false">F1492/E1492</f>
        <v>0.0129648867650114</v>
      </c>
    </row>
    <row r="1493" customFormat="false" ht="12.8" hidden="false" customHeight="false" outlineLevel="0" collapsed="false">
      <c r="A1493" s="0" t="s">
        <v>2176</v>
      </c>
      <c r="B1493" s="0" t="s">
        <v>2177</v>
      </c>
      <c r="C1493" s="0" t="s">
        <v>31</v>
      </c>
      <c r="D1493" s="0" t="s">
        <v>16</v>
      </c>
      <c r="E1493" s="0" t="n">
        <v>16803.95</v>
      </c>
      <c r="F1493" s="0" t="n">
        <v>298</v>
      </c>
      <c r="G1493" s="0" t="str">
        <f aca="false">IF(F1493&lt;=30,"Current",IF(F1493&lt;=60,"31 to 60 days",IF(F1493&lt;=90,"61 to 90 days",IF(F1493&lt;=120,"91 to 120 days","Over 120 days"))))</f>
        <v>Over 120 days</v>
      </c>
      <c r="H1493" s="0" t="n">
        <f aca="false">VLOOKUP(D1493,Rates!$A$4:$B$7,2,FALSE())</f>
        <v>0.085</v>
      </c>
      <c r="I1493" s="0" t="n">
        <f aca="false">VLOOKUP(F1493,Rates!$D$4:$E$8,2)</f>
        <v>0.85</v>
      </c>
      <c r="J1493" s="0" t="n">
        <f aca="false">ROUND(E1493*I1493,2)</f>
        <v>14283.36</v>
      </c>
      <c r="K1493" s="1" t="n">
        <f aca="false">PV(H1493/12,F1493/30,0,-E1493)</f>
        <v>15666.127409365</v>
      </c>
      <c r="L1493" s="0" t="n">
        <f aca="false">ROUND(E1493-K1493,2)</f>
        <v>1137.82</v>
      </c>
      <c r="M1493" s="0" t="n">
        <f aca="false">F1493/E1493</f>
        <v>0.0177339256543848</v>
      </c>
    </row>
    <row r="1494" customFormat="false" ht="12.8" hidden="false" customHeight="false" outlineLevel="0" collapsed="false">
      <c r="A1494" s="0" t="s">
        <v>2178</v>
      </c>
      <c r="B1494" s="0" t="s">
        <v>2179</v>
      </c>
      <c r="C1494" s="0" t="s">
        <v>31</v>
      </c>
      <c r="D1494" s="0" t="s">
        <v>49</v>
      </c>
      <c r="E1494" s="0" t="n">
        <v>11464.61</v>
      </c>
      <c r="F1494" s="0" t="n">
        <v>324</v>
      </c>
      <c r="G1494" s="0" t="str">
        <f aca="false">IF(F1494&lt;=30,"Current",IF(F1494&lt;=60,"31 to 60 days",IF(F1494&lt;=90,"61 to 90 days",IF(F1494&lt;=120,"91 to 120 days","Over 120 days"))))</f>
        <v>Over 120 days</v>
      </c>
      <c r="H1494" s="0" t="n">
        <f aca="false">VLOOKUP(D1494,Rates!$A$4:$B$7,2,FALSE())</f>
        <v>0.02</v>
      </c>
      <c r="I1494" s="0" t="n">
        <f aca="false">VLOOKUP(F1494,Rates!$D$4:$E$8,2)</f>
        <v>0.85</v>
      </c>
      <c r="J1494" s="0" t="n">
        <f aca="false">ROUND(E1494*I1494,2)</f>
        <v>9744.92</v>
      </c>
      <c r="K1494" s="1" t="n">
        <f aca="false">PV(H1494/12,F1494/30,0,-E1494)</f>
        <v>11260.2619084132</v>
      </c>
      <c r="L1494" s="0" t="n">
        <f aca="false">ROUND(E1494-K1494,2)</f>
        <v>204.35</v>
      </c>
      <c r="M1494" s="0" t="n">
        <f aca="false">F1494/E1494</f>
        <v>0.0282608828385789</v>
      </c>
    </row>
    <row r="1495" customFormat="false" ht="12.8" hidden="false" customHeight="false" outlineLevel="0" collapsed="false">
      <c r="A1495" s="0" t="s">
        <v>2180</v>
      </c>
      <c r="B1495" s="0" t="s">
        <v>30</v>
      </c>
      <c r="C1495" s="0" t="s">
        <v>31</v>
      </c>
      <c r="D1495" s="0" t="s">
        <v>20</v>
      </c>
      <c r="E1495" s="0" t="n">
        <v>13951.18</v>
      </c>
      <c r="F1495" s="0" t="n">
        <v>177</v>
      </c>
      <c r="G1495" s="0" t="str">
        <f aca="false">IF(F1495&lt;=30,"Current",IF(F1495&lt;=60,"31 to 60 days",IF(F1495&lt;=90,"61 to 90 days",IF(F1495&lt;=120,"91 to 120 days","Over 120 days"))))</f>
        <v>Over 120 days</v>
      </c>
      <c r="H1495" s="0" t="n">
        <f aca="false">VLOOKUP(D1495,Rates!$A$4:$B$7,2,FALSE())</f>
        <v>0.05</v>
      </c>
      <c r="I1495" s="0" t="n">
        <f aca="false">VLOOKUP(F1495,Rates!$D$4:$E$8,2)</f>
        <v>0.85</v>
      </c>
      <c r="J1495" s="0" t="n">
        <f aca="false">ROUND(E1495*I1495,2)</f>
        <v>11858.5</v>
      </c>
      <c r="K1495" s="1" t="n">
        <f aca="false">PV(H1495/12,F1495/30,0,-E1495)</f>
        <v>13613.0900379893</v>
      </c>
      <c r="L1495" s="0" t="n">
        <f aca="false">ROUND(E1495-K1495,2)</f>
        <v>338.09</v>
      </c>
      <c r="M1495" s="0" t="n">
        <f aca="false">F1495/E1495</f>
        <v>0.0126870988690562</v>
      </c>
    </row>
    <row r="1496" customFormat="false" ht="12.8" hidden="false" customHeight="false" outlineLevel="0" collapsed="false">
      <c r="A1496" s="0" t="s">
        <v>2181</v>
      </c>
      <c r="B1496" s="0" t="s">
        <v>28</v>
      </c>
      <c r="C1496" s="0" t="s">
        <v>15</v>
      </c>
      <c r="D1496" s="0" t="s">
        <v>20</v>
      </c>
      <c r="E1496" s="0" t="n">
        <v>38965.32</v>
      </c>
      <c r="F1496" s="0" t="n">
        <v>297</v>
      </c>
      <c r="G1496" s="0" t="str">
        <f aca="false">IF(F1496&lt;=30,"Current",IF(F1496&lt;=60,"31 to 60 days",IF(F1496&lt;=90,"61 to 90 days",IF(F1496&lt;=120,"91 to 120 days","Over 120 days"))))</f>
        <v>Over 120 days</v>
      </c>
      <c r="H1496" s="0" t="n">
        <f aca="false">VLOOKUP(D1496,Rates!$A$4:$B$7,2,FALSE())</f>
        <v>0.05</v>
      </c>
      <c r="I1496" s="0" t="n">
        <f aca="false">VLOOKUP(F1496,Rates!$D$4:$E$8,2)</f>
        <v>0.85</v>
      </c>
      <c r="J1496" s="0" t="n">
        <f aca="false">ROUND(E1496*I1496,2)</f>
        <v>33120.52</v>
      </c>
      <c r="K1496" s="1" t="n">
        <f aca="false">PV(H1496/12,F1496/30,0,-E1496)</f>
        <v>37393.9048527837</v>
      </c>
      <c r="L1496" s="0" t="n">
        <f aca="false">ROUND(E1496-K1496,2)</f>
        <v>1571.42</v>
      </c>
      <c r="M1496" s="0" t="n">
        <f aca="false">F1496/E1496</f>
        <v>0.00762216247678705</v>
      </c>
    </row>
    <row r="1497" customFormat="false" ht="12.8" hidden="false" customHeight="false" outlineLevel="0" collapsed="false">
      <c r="A1497" s="0" t="s">
        <v>2182</v>
      </c>
      <c r="B1497" s="0" t="s">
        <v>2082</v>
      </c>
      <c r="C1497" s="0" t="s">
        <v>19</v>
      </c>
      <c r="D1497" s="0" t="s">
        <v>49</v>
      </c>
      <c r="E1497" s="0" t="n">
        <v>5025.13</v>
      </c>
      <c r="F1497" s="0" t="n">
        <v>398</v>
      </c>
      <c r="G1497" s="0" t="str">
        <f aca="false">IF(F1497&lt;=30,"Current",IF(F1497&lt;=60,"31 to 60 days",IF(F1497&lt;=90,"61 to 90 days",IF(F1497&lt;=120,"91 to 120 days","Over 120 days"))))</f>
        <v>Over 120 days</v>
      </c>
      <c r="H1497" s="0" t="n">
        <f aca="false">VLOOKUP(D1497,Rates!$A$4:$B$7,2,FALSE())</f>
        <v>0.02</v>
      </c>
      <c r="I1497" s="0" t="n">
        <f aca="false">VLOOKUP(F1497,Rates!$D$4:$E$8,2)</f>
        <v>0.85</v>
      </c>
      <c r="J1497" s="0" t="n">
        <f aca="false">ROUND(E1497*I1497,2)</f>
        <v>4271.36</v>
      </c>
      <c r="K1497" s="1" t="n">
        <f aca="false">PV(H1497/12,F1497/30,0,-E1497)</f>
        <v>4915.3286525867</v>
      </c>
      <c r="L1497" s="0" t="n">
        <f aca="false">ROUND(E1497-K1497,2)</f>
        <v>109.8</v>
      </c>
      <c r="M1497" s="0" t="n">
        <f aca="false">F1497/E1497</f>
        <v>0.0792019310943199</v>
      </c>
    </row>
    <row r="1498" customFormat="false" ht="12.8" hidden="false" customHeight="false" outlineLevel="0" collapsed="false">
      <c r="A1498" s="0" t="s">
        <v>2183</v>
      </c>
      <c r="B1498" s="0" t="s">
        <v>1914</v>
      </c>
      <c r="C1498" s="0" t="s">
        <v>19</v>
      </c>
      <c r="D1498" s="0" t="s">
        <v>16</v>
      </c>
      <c r="E1498" s="0" t="n">
        <v>39199.35</v>
      </c>
      <c r="F1498" s="0" t="n">
        <v>210</v>
      </c>
      <c r="G1498" s="0" t="str">
        <f aca="false">IF(F1498&lt;=30,"Current",IF(F1498&lt;=60,"31 to 60 days",IF(F1498&lt;=90,"61 to 90 days",IF(F1498&lt;=120,"91 to 120 days","Over 120 days"))))</f>
        <v>Over 120 days</v>
      </c>
      <c r="H1498" s="0" t="n">
        <f aca="false">VLOOKUP(D1498,Rates!$A$4:$B$7,2,FALSE())</f>
        <v>0.085</v>
      </c>
      <c r="I1498" s="0" t="n">
        <f aca="false">VLOOKUP(F1498,Rates!$D$4:$E$8,2)</f>
        <v>0.85</v>
      </c>
      <c r="J1498" s="0" t="n">
        <f aca="false">ROUND(E1498*I1498,2)</f>
        <v>33319.45</v>
      </c>
      <c r="K1498" s="1" t="n">
        <f aca="false">PV(H1498/12,F1498/30,0,-E1498)</f>
        <v>37309.6353794009</v>
      </c>
      <c r="L1498" s="0" t="n">
        <f aca="false">ROUND(E1498-K1498,2)</f>
        <v>1889.71</v>
      </c>
      <c r="M1498" s="0" t="n">
        <f aca="false">F1498/E1498</f>
        <v>0.00535723168879076</v>
      </c>
    </row>
    <row r="1499" customFormat="false" ht="12.8" hidden="false" customHeight="false" outlineLevel="0" collapsed="false">
      <c r="A1499" s="0" t="s">
        <v>2184</v>
      </c>
      <c r="B1499" s="0" t="s">
        <v>2185</v>
      </c>
      <c r="C1499" s="0" t="s">
        <v>15</v>
      </c>
      <c r="D1499" s="0" t="s">
        <v>16</v>
      </c>
      <c r="E1499" s="0" t="n">
        <v>22677.51</v>
      </c>
      <c r="F1499" s="0" t="n">
        <v>9</v>
      </c>
      <c r="G1499" s="0" t="str">
        <f aca="false">IF(F1499&lt;=30,"Current",IF(F1499&lt;=60,"31 to 60 days",IF(F1499&lt;=90,"61 to 90 days",IF(F1499&lt;=120,"91 to 120 days","Over 120 days"))))</f>
        <v>Current</v>
      </c>
      <c r="H1499" s="0" t="n">
        <f aca="false">VLOOKUP(D1499,Rates!$A$4:$B$7,2,FALSE())</f>
        <v>0.085</v>
      </c>
      <c r="I1499" s="0" t="n">
        <f aca="false">VLOOKUP(F1499,Rates!$D$4:$E$8,2)</f>
        <v>0.02</v>
      </c>
      <c r="J1499" s="0" t="n">
        <f aca="false">ROUND(E1499*I1499,2)</f>
        <v>453.55</v>
      </c>
      <c r="K1499" s="1" t="n">
        <f aca="false">PV(H1499/12,F1499/30,0,-E1499)</f>
        <v>22629.5409668031</v>
      </c>
      <c r="L1499" s="0" t="n">
        <f aca="false">ROUND(E1499-K1499,2)</f>
        <v>47.97</v>
      </c>
      <c r="M1499" s="0" t="n">
        <f aca="false">F1499/E1499</f>
        <v>0.00039686896841849</v>
      </c>
    </row>
    <row r="1500" customFormat="false" ht="12.8" hidden="false" customHeight="false" outlineLevel="0" collapsed="false">
      <c r="A1500" s="0" t="s">
        <v>2186</v>
      </c>
      <c r="B1500" s="0" t="s">
        <v>216</v>
      </c>
      <c r="C1500" s="0" t="s">
        <v>15</v>
      </c>
      <c r="D1500" s="0" t="s">
        <v>23</v>
      </c>
      <c r="E1500" s="0" t="n">
        <v>9331.3</v>
      </c>
      <c r="F1500" s="0" t="n">
        <v>399</v>
      </c>
      <c r="G1500" s="0" t="str">
        <f aca="false">IF(F1500&lt;=30,"Current",IF(F1500&lt;=60,"31 to 60 days",IF(F1500&lt;=90,"61 to 90 days",IF(F1500&lt;=120,"91 to 120 days","Over 120 days"))))</f>
        <v>Over 120 days</v>
      </c>
      <c r="H1500" s="0" t="n">
        <f aca="false">VLOOKUP(D1500,Rates!$A$4:$B$7,2,FALSE())</f>
        <v>0.115</v>
      </c>
      <c r="I1500" s="0" t="n">
        <f aca="false">VLOOKUP(F1500,Rates!$D$4:$E$8,2)</f>
        <v>0.85</v>
      </c>
      <c r="J1500" s="0" t="n">
        <f aca="false">ROUND(E1500*I1500,2)</f>
        <v>7931.61</v>
      </c>
      <c r="K1500" s="1" t="n">
        <f aca="false">PV(H1500/12,F1500/30,0,-E1500)</f>
        <v>8219.61089061428</v>
      </c>
      <c r="L1500" s="0" t="n">
        <f aca="false">ROUND(E1500-K1500,2)</f>
        <v>1111.69</v>
      </c>
      <c r="M1500" s="0" t="n">
        <f aca="false">F1500/E1500</f>
        <v>0.0427593154222884</v>
      </c>
    </row>
    <row r="1501" customFormat="false" ht="12.8" hidden="false" customHeight="false" outlineLevel="0" collapsed="false">
      <c r="A1501" s="0" t="s">
        <v>2187</v>
      </c>
      <c r="B1501" s="0" t="s">
        <v>38</v>
      </c>
      <c r="C1501" s="0" t="s">
        <v>15</v>
      </c>
      <c r="D1501" s="0" t="s">
        <v>23</v>
      </c>
      <c r="E1501" s="0" t="n">
        <v>32694.38</v>
      </c>
      <c r="F1501" s="0" t="n">
        <v>195</v>
      </c>
      <c r="G1501" s="0" t="str">
        <f aca="false">IF(F1501&lt;=30,"Current",IF(F1501&lt;=60,"31 to 60 days",IF(F1501&lt;=90,"61 to 90 days",IF(F1501&lt;=120,"91 to 120 days","Over 120 days"))))</f>
        <v>Over 120 days</v>
      </c>
      <c r="H1501" s="0" t="n">
        <f aca="false">VLOOKUP(D1501,Rates!$A$4:$B$7,2,FALSE())</f>
        <v>0.115</v>
      </c>
      <c r="I1501" s="0" t="n">
        <f aca="false">VLOOKUP(F1501,Rates!$D$4:$E$8,2)</f>
        <v>0.85</v>
      </c>
      <c r="J1501" s="0" t="n">
        <f aca="false">ROUND(E1501*I1501,2)</f>
        <v>27790.22</v>
      </c>
      <c r="K1501" s="1" t="n">
        <f aca="false">PV(H1501/12,F1501/30,0,-E1501)</f>
        <v>30729.0394696909</v>
      </c>
      <c r="L1501" s="0" t="n">
        <f aca="false">ROUND(E1501-K1501,2)</f>
        <v>1965.34</v>
      </c>
      <c r="M1501" s="0" t="n">
        <f aca="false">F1501/E1501</f>
        <v>0.00596432781413809</v>
      </c>
    </row>
    <row r="1502" customFormat="false" ht="12.8" hidden="false" customHeight="false" outlineLevel="0" collapsed="false">
      <c r="A1502" s="0" t="s">
        <v>2188</v>
      </c>
      <c r="B1502" s="0" t="s">
        <v>2007</v>
      </c>
      <c r="C1502" s="0" t="s">
        <v>26</v>
      </c>
      <c r="D1502" s="0" t="s">
        <v>49</v>
      </c>
      <c r="E1502" s="0" t="n">
        <v>18917.33</v>
      </c>
      <c r="F1502" s="0" t="n">
        <v>227</v>
      </c>
      <c r="G1502" s="0" t="str">
        <f aca="false">IF(F1502&lt;=30,"Current",IF(F1502&lt;=60,"31 to 60 days",IF(F1502&lt;=90,"61 to 90 days",IF(F1502&lt;=120,"91 to 120 days","Over 120 days"))))</f>
        <v>Over 120 days</v>
      </c>
      <c r="H1502" s="0" t="n">
        <f aca="false">VLOOKUP(D1502,Rates!$A$4:$B$7,2,FALSE())</f>
        <v>0.02</v>
      </c>
      <c r="I1502" s="0" t="n">
        <f aca="false">VLOOKUP(F1502,Rates!$D$4:$E$8,2)</f>
        <v>0.85</v>
      </c>
      <c r="J1502" s="0" t="n">
        <f aca="false">ROUND(E1502*I1502,2)</f>
        <v>16079.73</v>
      </c>
      <c r="K1502" s="1" t="n">
        <f aca="false">PV(H1502/12,F1502/30,0,-E1502)</f>
        <v>18680.4555517814</v>
      </c>
      <c r="L1502" s="0" t="n">
        <f aca="false">ROUND(E1502-K1502,2)</f>
        <v>236.87</v>
      </c>
      <c r="M1502" s="0" t="n">
        <f aca="false">F1502/E1502</f>
        <v>0.0119995792218035</v>
      </c>
    </row>
    <row r="1503" customFormat="false" ht="12.8" hidden="false" customHeight="false" outlineLevel="0" collapsed="false">
      <c r="A1503" s="0" t="s">
        <v>2189</v>
      </c>
      <c r="B1503" s="0" t="s">
        <v>33</v>
      </c>
      <c r="C1503" s="0" t="s">
        <v>26</v>
      </c>
      <c r="D1503" s="0" t="s">
        <v>20</v>
      </c>
      <c r="E1503" s="0" t="n">
        <v>42065.57</v>
      </c>
      <c r="F1503" s="0" t="n">
        <v>228</v>
      </c>
      <c r="G1503" s="0" t="str">
        <f aca="false">IF(F1503&lt;=30,"Current",IF(F1503&lt;=60,"31 to 60 days",IF(F1503&lt;=90,"61 to 90 days",IF(F1503&lt;=120,"91 to 120 days","Over 120 days"))))</f>
        <v>Over 120 days</v>
      </c>
      <c r="H1503" s="0" t="n">
        <f aca="false">VLOOKUP(D1503,Rates!$A$4:$B$7,2,FALSE())</f>
        <v>0.05</v>
      </c>
      <c r="I1503" s="0" t="n">
        <f aca="false">VLOOKUP(F1503,Rates!$D$4:$E$8,2)</f>
        <v>0.85</v>
      </c>
      <c r="J1503" s="0" t="n">
        <f aca="false">ROUND(E1503*I1503,2)</f>
        <v>35755.73</v>
      </c>
      <c r="K1503" s="1" t="n">
        <f aca="false">PV(H1503/12,F1503/30,0,-E1503)</f>
        <v>40757.0452469435</v>
      </c>
      <c r="L1503" s="0" t="n">
        <f aca="false">ROUND(E1503-K1503,2)</f>
        <v>1308.52</v>
      </c>
      <c r="M1503" s="0" t="n">
        <f aca="false">F1503/E1503</f>
        <v>0.00542010960507608</v>
      </c>
    </row>
    <row r="1504" customFormat="false" ht="12.8" hidden="false" customHeight="false" outlineLevel="0" collapsed="false">
      <c r="A1504" s="0" t="s">
        <v>2190</v>
      </c>
      <c r="B1504" s="0" t="s">
        <v>33</v>
      </c>
      <c r="C1504" s="0" t="s">
        <v>26</v>
      </c>
      <c r="D1504" s="0" t="s">
        <v>20</v>
      </c>
      <c r="E1504" s="0" t="n">
        <v>36470.04</v>
      </c>
      <c r="F1504" s="0" t="n">
        <v>22</v>
      </c>
      <c r="G1504" s="0" t="str">
        <f aca="false">IF(F1504&lt;=30,"Current",IF(F1504&lt;=60,"31 to 60 days",IF(F1504&lt;=90,"61 to 90 days",IF(F1504&lt;=120,"91 to 120 days","Over 120 days"))))</f>
        <v>Current</v>
      </c>
      <c r="H1504" s="0" t="n">
        <f aca="false">VLOOKUP(D1504,Rates!$A$4:$B$7,2,FALSE())</f>
        <v>0.05</v>
      </c>
      <c r="I1504" s="0" t="n">
        <f aca="false">VLOOKUP(F1504,Rates!$D$4:$E$8,2)</f>
        <v>0.02</v>
      </c>
      <c r="J1504" s="0" t="n">
        <f aca="false">ROUND(E1504*I1504,2)</f>
        <v>729.4</v>
      </c>
      <c r="K1504" s="1" t="n">
        <f aca="false">PV(H1504/12,F1504/30,0,-E1504)</f>
        <v>36359.0046535423</v>
      </c>
      <c r="L1504" s="0" t="n">
        <f aca="false">ROUND(E1504-K1504,2)</f>
        <v>111.04</v>
      </c>
      <c r="M1504" s="0" t="n">
        <f aca="false">F1504/E1504</f>
        <v>0.000603234874433919</v>
      </c>
    </row>
    <row r="1505" customFormat="false" ht="12.8" hidden="false" customHeight="false" outlineLevel="0" collapsed="false">
      <c r="A1505" s="0" t="s">
        <v>2191</v>
      </c>
      <c r="B1505" s="0" t="s">
        <v>111</v>
      </c>
      <c r="C1505" s="0" t="s">
        <v>19</v>
      </c>
      <c r="D1505" s="0" t="s">
        <v>23</v>
      </c>
      <c r="E1505" s="0" t="n">
        <v>119.31</v>
      </c>
      <c r="F1505" s="0" t="n">
        <v>182</v>
      </c>
      <c r="G1505" s="0" t="str">
        <f aca="false">IF(F1505&lt;=30,"Current",IF(F1505&lt;=60,"31 to 60 days",IF(F1505&lt;=90,"61 to 90 days",IF(F1505&lt;=120,"91 to 120 days","Over 120 days"))))</f>
        <v>Over 120 days</v>
      </c>
      <c r="H1505" s="0" t="n">
        <f aca="false">VLOOKUP(D1505,Rates!$A$4:$B$7,2,FALSE())</f>
        <v>0.115</v>
      </c>
      <c r="I1505" s="0" t="n">
        <f aca="false">VLOOKUP(F1505,Rates!$D$4:$E$8,2)</f>
        <v>0.85</v>
      </c>
      <c r="J1505" s="0" t="n">
        <f aca="false">ROUND(E1505*I1505,2)</f>
        <v>101.41</v>
      </c>
      <c r="K1505" s="1" t="n">
        <f aca="false">PV(H1505/12,F1505/30,0,-E1505)</f>
        <v>112.602404974071</v>
      </c>
      <c r="L1505" s="0" t="n">
        <f aca="false">ROUND(E1505-K1505,2)</f>
        <v>6.71</v>
      </c>
      <c r="M1505" s="0" t="n">
        <f aca="false">F1505/E1505</f>
        <v>1.52543793479172</v>
      </c>
    </row>
    <row r="1506" customFormat="false" ht="12.8" hidden="false" customHeight="false" outlineLevel="0" collapsed="false">
      <c r="A1506" s="0" t="s">
        <v>2192</v>
      </c>
      <c r="B1506" s="0" t="s">
        <v>2193</v>
      </c>
      <c r="C1506" s="0" t="s">
        <v>42</v>
      </c>
      <c r="D1506" s="0" t="s">
        <v>49</v>
      </c>
      <c r="E1506" s="0" t="n">
        <v>0</v>
      </c>
      <c r="F1506" s="0" t="n">
        <v>254</v>
      </c>
      <c r="G1506" s="0" t="str">
        <f aca="false">IF(F1506&lt;=30,"Current",IF(F1506&lt;=60,"31 to 60 days",IF(F1506&lt;=90,"61 to 90 days",IF(F1506&lt;=120,"91 to 120 days","Over 120 days"))))</f>
        <v>Over 120 days</v>
      </c>
      <c r="H1506" s="0" t="n">
        <f aca="false">VLOOKUP(D1506,Rates!$A$4:$B$7,2,FALSE())</f>
        <v>0.02</v>
      </c>
      <c r="I1506" s="0" t="n">
        <f aca="false">VLOOKUP(F1506,Rates!$D$4:$E$8,2)</f>
        <v>0.85</v>
      </c>
      <c r="J1506" s="0" t="n">
        <f aca="false">ROUND(E1506*I1506,2)</f>
        <v>0</v>
      </c>
      <c r="K1506" s="1" t="n">
        <f aca="false">PV(H1506/12,F1506/30,0,-E1506)</f>
        <v>-0</v>
      </c>
      <c r="L1506" s="0" t="n">
        <f aca="false">ROUND(E1506-K1506,2)</f>
        <v>0</v>
      </c>
      <c r="M1506" s="0" t="e">
        <f aca="false">F1506/E1506</f>
        <v>#DIV/0!</v>
      </c>
    </row>
    <row r="1507" customFormat="false" ht="12.8" hidden="false" customHeight="false" outlineLevel="0" collapsed="false">
      <c r="A1507" s="0" t="s">
        <v>2194</v>
      </c>
      <c r="B1507" s="0" t="s">
        <v>33</v>
      </c>
      <c r="C1507" s="0" t="s">
        <v>26</v>
      </c>
      <c r="D1507" s="0" t="s">
        <v>20</v>
      </c>
      <c r="E1507" s="0" t="n">
        <v>38604.86</v>
      </c>
      <c r="F1507" s="0" t="n">
        <v>236</v>
      </c>
      <c r="G1507" s="0" t="str">
        <f aca="false">IF(F1507&lt;=30,"Current",IF(F1507&lt;=60,"31 to 60 days",IF(F1507&lt;=90,"61 to 90 days",IF(F1507&lt;=120,"91 to 120 days","Over 120 days"))))</f>
        <v>Over 120 days</v>
      </c>
      <c r="H1507" s="0" t="n">
        <f aca="false">VLOOKUP(D1507,Rates!$A$4:$B$7,2,FALSE())</f>
        <v>0.05</v>
      </c>
      <c r="I1507" s="0" t="n">
        <f aca="false">VLOOKUP(F1507,Rates!$D$4:$E$8,2)</f>
        <v>0.85</v>
      </c>
      <c r="J1507" s="0" t="n">
        <f aca="false">ROUND(E1507*I1507,2)</f>
        <v>32814.13</v>
      </c>
      <c r="K1507" s="1" t="n">
        <f aca="false">PV(H1507/12,F1507/30,0,-E1507)</f>
        <v>37362.5361607429</v>
      </c>
      <c r="L1507" s="0" t="n">
        <f aca="false">ROUND(E1507-K1507,2)</f>
        <v>1242.32</v>
      </c>
      <c r="M1507" s="0" t="n">
        <f aca="false">F1507/E1507</f>
        <v>0.00611321994173791</v>
      </c>
    </row>
    <row r="1508" customFormat="false" ht="12.8" hidden="false" customHeight="false" outlineLevel="0" collapsed="false">
      <c r="A1508" s="0" t="s">
        <v>2195</v>
      </c>
      <c r="B1508" s="0" t="s">
        <v>2196</v>
      </c>
      <c r="C1508" s="0" t="s">
        <v>26</v>
      </c>
      <c r="D1508" s="0" t="s">
        <v>49</v>
      </c>
      <c r="E1508" s="0" t="n">
        <v>30826.91</v>
      </c>
      <c r="F1508" s="0" t="n">
        <v>1</v>
      </c>
      <c r="G1508" s="0" t="str">
        <f aca="false">IF(F1508&lt;=30,"Current",IF(F1508&lt;=60,"31 to 60 days",IF(F1508&lt;=90,"61 to 90 days",IF(F1508&lt;=120,"91 to 120 days","Over 120 days"))))</f>
        <v>Current</v>
      </c>
      <c r="H1508" s="0" t="n">
        <f aca="false">VLOOKUP(D1508,Rates!$A$4:$B$7,2,FALSE())</f>
        <v>0.02</v>
      </c>
      <c r="I1508" s="0" t="n">
        <f aca="false">VLOOKUP(F1508,Rates!$D$4:$E$8,2)</f>
        <v>0.02</v>
      </c>
      <c r="J1508" s="0" t="n">
        <f aca="false">ROUND(E1508*I1508,2)</f>
        <v>616.54</v>
      </c>
      <c r="K1508" s="1" t="n">
        <f aca="false">PV(H1508/12,F1508/30,0,-E1508)</f>
        <v>30825.1988669692</v>
      </c>
      <c r="L1508" s="0" t="n">
        <f aca="false">ROUND(E1508-K1508,2)</f>
        <v>1.71</v>
      </c>
      <c r="M1508" s="0" t="n">
        <f aca="false">F1508/E1508</f>
        <v>3.24391903048343E-005</v>
      </c>
    </row>
    <row r="1509" customFormat="false" ht="12.8" hidden="false" customHeight="false" outlineLevel="0" collapsed="false">
      <c r="A1509" s="0" t="s">
        <v>2197</v>
      </c>
      <c r="B1509" s="0" t="s">
        <v>138</v>
      </c>
      <c r="C1509" s="0" t="s">
        <v>15</v>
      </c>
      <c r="D1509" s="0" t="s">
        <v>23</v>
      </c>
      <c r="E1509" s="0" t="n">
        <v>37313.64</v>
      </c>
      <c r="F1509" s="0" t="n">
        <v>366</v>
      </c>
      <c r="G1509" s="0" t="str">
        <f aca="false">IF(F1509&lt;=30,"Current",IF(F1509&lt;=60,"31 to 60 days",IF(F1509&lt;=90,"61 to 90 days",IF(F1509&lt;=120,"91 to 120 days","Over 120 days"))))</f>
        <v>Over 120 days</v>
      </c>
      <c r="H1509" s="0" t="n">
        <f aca="false">VLOOKUP(D1509,Rates!$A$4:$B$7,2,FALSE())</f>
        <v>0.115</v>
      </c>
      <c r="I1509" s="0" t="n">
        <f aca="false">VLOOKUP(F1509,Rates!$D$4:$E$8,2)</f>
        <v>0.85</v>
      </c>
      <c r="J1509" s="0" t="n">
        <f aca="false">ROUND(E1509*I1509,2)</f>
        <v>31716.59</v>
      </c>
      <c r="K1509" s="1" t="n">
        <f aca="false">PV(H1509/12,F1509/30,0,-E1509)</f>
        <v>33214.912567299</v>
      </c>
      <c r="L1509" s="0" t="n">
        <f aca="false">ROUND(E1509-K1509,2)</f>
        <v>4098.73</v>
      </c>
      <c r="M1509" s="0" t="n">
        <f aca="false">F1509/E1509</f>
        <v>0.00980874554184475</v>
      </c>
    </row>
    <row r="1510" customFormat="false" ht="12.8" hidden="false" customHeight="false" outlineLevel="0" collapsed="false">
      <c r="A1510" s="0" t="s">
        <v>2198</v>
      </c>
      <c r="B1510" s="0" t="s">
        <v>198</v>
      </c>
      <c r="C1510" s="0" t="s">
        <v>19</v>
      </c>
      <c r="D1510" s="0" t="s">
        <v>23</v>
      </c>
      <c r="E1510" s="0" t="n">
        <v>24922.29</v>
      </c>
      <c r="F1510" s="0" t="n">
        <v>238</v>
      </c>
      <c r="G1510" s="0" t="str">
        <f aca="false">IF(F1510&lt;=30,"Current",IF(F1510&lt;=60,"31 to 60 days",IF(F1510&lt;=90,"61 to 90 days",IF(F1510&lt;=120,"91 to 120 days","Over 120 days"))))</f>
        <v>Over 120 days</v>
      </c>
      <c r="H1510" s="0" t="n">
        <f aca="false">VLOOKUP(D1510,Rates!$A$4:$B$7,2,FALSE())</f>
        <v>0.115</v>
      </c>
      <c r="I1510" s="0" t="n">
        <f aca="false">VLOOKUP(F1510,Rates!$D$4:$E$8,2)</f>
        <v>0.85</v>
      </c>
      <c r="J1510" s="0" t="n">
        <f aca="false">ROUND(E1510*I1510,2)</f>
        <v>21183.95</v>
      </c>
      <c r="K1510" s="1" t="n">
        <f aca="false">PV(H1510/12,F1510/30,0,-E1510)</f>
        <v>23106.1033029719</v>
      </c>
      <c r="L1510" s="0" t="n">
        <f aca="false">ROUND(E1510-K1510,2)</f>
        <v>1816.19</v>
      </c>
      <c r="M1510" s="0" t="n">
        <f aca="false">F1510/E1510</f>
        <v>0.00954968423848691</v>
      </c>
    </row>
    <row r="1511" customFormat="false" ht="12.8" hidden="false" customHeight="false" outlineLevel="0" collapsed="false">
      <c r="A1511" s="0" t="s">
        <v>2199</v>
      </c>
      <c r="B1511" s="0" t="s">
        <v>285</v>
      </c>
      <c r="C1511" s="0" t="s">
        <v>36</v>
      </c>
      <c r="D1511" s="0" t="s">
        <v>23</v>
      </c>
      <c r="E1511" s="0" t="n">
        <v>11257.16</v>
      </c>
      <c r="F1511" s="0" t="n">
        <v>49</v>
      </c>
      <c r="G1511" s="0" t="str">
        <f aca="false">IF(F1511&lt;=30,"Current",IF(F1511&lt;=60,"31 to 60 days",IF(F1511&lt;=90,"61 to 90 days",IF(F1511&lt;=120,"91 to 120 days","Over 120 days"))))</f>
        <v>31 to 60 days</v>
      </c>
      <c r="H1511" s="0" t="n">
        <f aca="false">VLOOKUP(D1511,Rates!$A$4:$B$7,2,FALSE())</f>
        <v>0.115</v>
      </c>
      <c r="I1511" s="0" t="n">
        <f aca="false">VLOOKUP(F1511,Rates!$D$4:$E$8,2)</f>
        <v>0.1</v>
      </c>
      <c r="J1511" s="0" t="n">
        <f aca="false">ROUND(E1511*I1511,2)</f>
        <v>1125.72</v>
      </c>
      <c r="K1511" s="1" t="n">
        <f aca="false">PV(H1511/12,F1511/30,0,-E1511)</f>
        <v>11083.1520288259</v>
      </c>
      <c r="L1511" s="0" t="n">
        <f aca="false">ROUND(E1511-K1511,2)</f>
        <v>174.01</v>
      </c>
      <c r="M1511" s="0" t="n">
        <f aca="false">F1511/E1511</f>
        <v>0.00435278524956561</v>
      </c>
    </row>
    <row r="1512" customFormat="false" ht="12.8" hidden="false" customHeight="false" outlineLevel="0" collapsed="false">
      <c r="A1512" s="0" t="s">
        <v>2200</v>
      </c>
      <c r="B1512" s="0" t="s">
        <v>33</v>
      </c>
      <c r="C1512" s="0" t="s">
        <v>26</v>
      </c>
      <c r="D1512" s="0" t="s">
        <v>20</v>
      </c>
      <c r="E1512" s="0" t="n">
        <v>4552.28</v>
      </c>
      <c r="F1512" s="0" t="n">
        <v>22</v>
      </c>
      <c r="G1512" s="0" t="str">
        <f aca="false">IF(F1512&lt;=30,"Current",IF(F1512&lt;=60,"31 to 60 days",IF(F1512&lt;=90,"61 to 90 days",IF(F1512&lt;=120,"91 to 120 days","Over 120 days"))))</f>
        <v>Current</v>
      </c>
      <c r="H1512" s="0" t="n">
        <f aca="false">VLOOKUP(D1512,Rates!$A$4:$B$7,2,FALSE())</f>
        <v>0.05</v>
      </c>
      <c r="I1512" s="0" t="n">
        <f aca="false">VLOOKUP(F1512,Rates!$D$4:$E$8,2)</f>
        <v>0.02</v>
      </c>
      <c r="J1512" s="0" t="n">
        <f aca="false">ROUND(E1512*I1512,2)</f>
        <v>91.05</v>
      </c>
      <c r="K1512" s="1" t="n">
        <f aca="false">PV(H1512/12,F1512/30,0,-E1512)</f>
        <v>4538.42029524035</v>
      </c>
      <c r="L1512" s="0" t="n">
        <f aca="false">ROUND(E1512-K1512,2)</f>
        <v>13.86</v>
      </c>
      <c r="M1512" s="0" t="n">
        <f aca="false">F1512/E1512</f>
        <v>0.00483274315288163</v>
      </c>
    </row>
    <row r="1513" customFormat="false" ht="12.8" hidden="false" customHeight="false" outlineLevel="0" collapsed="false">
      <c r="A1513" s="0" t="s">
        <v>2201</v>
      </c>
      <c r="B1513" s="0" t="s">
        <v>78</v>
      </c>
      <c r="C1513" s="0" t="s">
        <v>19</v>
      </c>
      <c r="D1513" s="0" t="s">
        <v>23</v>
      </c>
      <c r="E1513" s="0" t="n">
        <v>30499.97</v>
      </c>
      <c r="F1513" s="0" t="n">
        <v>137</v>
      </c>
      <c r="G1513" s="0" t="str">
        <f aca="false">IF(F1513&lt;=30,"Current",IF(F1513&lt;=60,"31 to 60 days",IF(F1513&lt;=90,"61 to 90 days",IF(F1513&lt;=120,"91 to 120 days","Over 120 days"))))</f>
        <v>Over 120 days</v>
      </c>
      <c r="H1513" s="0" t="n">
        <f aca="false">VLOOKUP(D1513,Rates!$A$4:$B$7,2,FALSE())</f>
        <v>0.115</v>
      </c>
      <c r="I1513" s="0" t="n">
        <f aca="false">VLOOKUP(F1513,Rates!$D$4:$E$8,2)</f>
        <v>0.85</v>
      </c>
      <c r="J1513" s="0" t="n">
        <f aca="false">ROUND(E1513*I1513,2)</f>
        <v>25924.97</v>
      </c>
      <c r="K1513" s="1" t="n">
        <f aca="false">PV(H1513/12,F1513/30,0,-E1513)</f>
        <v>29200.0430292838</v>
      </c>
      <c r="L1513" s="0" t="n">
        <f aca="false">ROUND(E1513-K1513,2)</f>
        <v>1299.93</v>
      </c>
      <c r="M1513" s="0" t="n">
        <f aca="false">F1513/E1513</f>
        <v>0.00449180769686003</v>
      </c>
    </row>
    <row r="1514" customFormat="false" ht="12.8" hidden="false" customHeight="false" outlineLevel="0" collapsed="false">
      <c r="A1514" s="0" t="s">
        <v>2202</v>
      </c>
      <c r="B1514" s="0" t="s">
        <v>2203</v>
      </c>
      <c r="C1514" s="0" t="s">
        <v>19</v>
      </c>
      <c r="D1514" s="0" t="s">
        <v>16</v>
      </c>
      <c r="E1514" s="0" t="n">
        <v>33993.32</v>
      </c>
      <c r="F1514" s="0" t="n">
        <v>396</v>
      </c>
      <c r="G1514" s="0" t="str">
        <f aca="false">IF(F1514&lt;=30,"Current",IF(F1514&lt;=60,"31 to 60 days",IF(F1514&lt;=90,"61 to 90 days",IF(F1514&lt;=120,"91 to 120 days","Over 120 days"))))</f>
        <v>Over 120 days</v>
      </c>
      <c r="H1514" s="0" t="n">
        <f aca="false">VLOOKUP(D1514,Rates!$A$4:$B$7,2,FALSE())</f>
        <v>0.085</v>
      </c>
      <c r="I1514" s="0" t="n">
        <f aca="false">VLOOKUP(F1514,Rates!$D$4:$E$8,2)</f>
        <v>0.85</v>
      </c>
      <c r="J1514" s="0" t="n">
        <f aca="false">ROUND(E1514*I1514,2)</f>
        <v>28894.32</v>
      </c>
      <c r="K1514" s="1" t="n">
        <f aca="false">PV(H1514/12,F1514/30,0,-E1514)</f>
        <v>30969.2143348123</v>
      </c>
      <c r="L1514" s="0" t="n">
        <f aca="false">ROUND(E1514-K1514,2)</f>
        <v>3024.11</v>
      </c>
      <c r="M1514" s="0" t="n">
        <f aca="false">F1514/E1514</f>
        <v>0.0116493475777006</v>
      </c>
    </row>
    <row r="1515" customFormat="false" ht="12.8" hidden="false" customHeight="false" outlineLevel="0" collapsed="false">
      <c r="A1515" s="0" t="s">
        <v>2204</v>
      </c>
      <c r="B1515" s="0" t="s">
        <v>2205</v>
      </c>
      <c r="C1515" s="0" t="s">
        <v>19</v>
      </c>
      <c r="D1515" s="0" t="s">
        <v>49</v>
      </c>
      <c r="E1515" s="0" t="n">
        <v>2628.86</v>
      </c>
      <c r="F1515" s="0" t="n">
        <v>382</v>
      </c>
      <c r="G1515" s="0" t="str">
        <f aca="false">IF(F1515&lt;=30,"Current",IF(F1515&lt;=60,"31 to 60 days",IF(F1515&lt;=90,"61 to 90 days",IF(F1515&lt;=120,"91 to 120 days","Over 120 days"))))</f>
        <v>Over 120 days</v>
      </c>
      <c r="H1515" s="0" t="n">
        <f aca="false">VLOOKUP(D1515,Rates!$A$4:$B$7,2,FALSE())</f>
        <v>0.02</v>
      </c>
      <c r="I1515" s="0" t="n">
        <f aca="false">VLOOKUP(F1515,Rates!$D$4:$E$8,2)</f>
        <v>0.85</v>
      </c>
      <c r="J1515" s="0" t="n">
        <f aca="false">ROUND(E1515*I1515,2)</f>
        <v>2234.53</v>
      </c>
      <c r="K1515" s="1" t="n">
        <f aca="false">PV(H1515/12,F1515/30,0,-E1515)</f>
        <v>2573.70304524237</v>
      </c>
      <c r="L1515" s="0" t="n">
        <f aca="false">ROUND(E1515-K1515,2)</f>
        <v>55.16</v>
      </c>
      <c r="M1515" s="0" t="n">
        <f aca="false">F1515/E1515</f>
        <v>0.145310134430894</v>
      </c>
    </row>
    <row r="1516" customFormat="false" ht="12.8" hidden="false" customHeight="false" outlineLevel="0" collapsed="false">
      <c r="A1516" s="0" t="s">
        <v>2206</v>
      </c>
      <c r="B1516" s="0" t="s">
        <v>30</v>
      </c>
      <c r="C1516" s="0" t="s">
        <v>31</v>
      </c>
      <c r="D1516" s="0" t="s">
        <v>20</v>
      </c>
      <c r="E1516" s="0" t="n">
        <v>19985.49</v>
      </c>
      <c r="F1516" s="0" t="n">
        <v>265</v>
      </c>
      <c r="G1516" s="0" t="str">
        <f aca="false">IF(F1516&lt;=30,"Current",IF(F1516&lt;=60,"31 to 60 days",IF(F1516&lt;=90,"61 to 90 days",IF(F1516&lt;=120,"91 to 120 days","Over 120 days"))))</f>
        <v>Over 120 days</v>
      </c>
      <c r="H1516" s="0" t="n">
        <f aca="false">VLOOKUP(D1516,Rates!$A$4:$B$7,2,FALSE())</f>
        <v>0.05</v>
      </c>
      <c r="I1516" s="0" t="n">
        <f aca="false">VLOOKUP(F1516,Rates!$D$4:$E$8,2)</f>
        <v>0.85</v>
      </c>
      <c r="J1516" s="0" t="n">
        <f aca="false">ROUND(E1516*I1516,2)</f>
        <v>16987.67</v>
      </c>
      <c r="K1516" s="1" t="n">
        <f aca="false">PV(H1516/12,F1516/30,0,-E1516)</f>
        <v>19264.7580817989</v>
      </c>
      <c r="L1516" s="0" t="n">
        <f aca="false">ROUND(E1516-K1516,2)</f>
        <v>720.73</v>
      </c>
      <c r="M1516" s="0" t="n">
        <f aca="false">F1516/E1516</f>
        <v>0.0132596198542042</v>
      </c>
    </row>
    <row r="1517" customFormat="false" ht="12.8" hidden="false" customHeight="false" outlineLevel="0" collapsed="false">
      <c r="A1517" s="0" t="s">
        <v>2207</v>
      </c>
      <c r="B1517" s="0" t="s">
        <v>33</v>
      </c>
      <c r="C1517" s="0" t="s">
        <v>26</v>
      </c>
      <c r="D1517" s="0" t="s">
        <v>20</v>
      </c>
      <c r="E1517" s="0" t="n">
        <v>5334.86</v>
      </c>
      <c r="F1517" s="0" t="n">
        <v>72</v>
      </c>
      <c r="G1517" s="0" t="str">
        <f aca="false">IF(F1517&lt;=30,"Current",IF(F1517&lt;=60,"31 to 60 days",IF(F1517&lt;=90,"61 to 90 days",IF(F1517&lt;=120,"91 to 120 days","Over 120 days"))))</f>
        <v>61 to 90 days</v>
      </c>
      <c r="H1517" s="0" t="n">
        <f aca="false">VLOOKUP(D1517,Rates!$A$4:$B$7,2,FALSE())</f>
        <v>0.05</v>
      </c>
      <c r="I1517" s="0" t="n">
        <f aca="false">VLOOKUP(F1517,Rates!$D$4:$E$8,2)</f>
        <v>0.25</v>
      </c>
      <c r="J1517" s="0" t="n">
        <f aca="false">ROUND(E1517*I1517,2)</f>
        <v>1333.72</v>
      </c>
      <c r="K1517" s="1" t="n">
        <f aca="false">PV(H1517/12,F1517/30,0,-E1517)</f>
        <v>5281.88698953475</v>
      </c>
      <c r="L1517" s="0" t="n">
        <f aca="false">ROUND(E1517-K1517,2)</f>
        <v>52.97</v>
      </c>
      <c r="M1517" s="0" t="n">
        <f aca="false">F1517/E1517</f>
        <v>0.0134961367308608</v>
      </c>
    </row>
    <row r="1518" customFormat="false" ht="12.8" hidden="false" customHeight="false" outlineLevel="0" collapsed="false">
      <c r="A1518" s="0" t="s">
        <v>2208</v>
      </c>
      <c r="B1518" s="0" t="s">
        <v>2209</v>
      </c>
      <c r="C1518" s="0" t="s">
        <v>31</v>
      </c>
      <c r="D1518" s="0" t="s">
        <v>16</v>
      </c>
      <c r="E1518" s="0" t="n">
        <v>7927</v>
      </c>
      <c r="F1518" s="0" t="n">
        <v>360</v>
      </c>
      <c r="G1518" s="0" t="str">
        <f aca="false">IF(F1518&lt;=30,"Current",IF(F1518&lt;=60,"31 to 60 days",IF(F1518&lt;=90,"61 to 90 days",IF(F1518&lt;=120,"91 to 120 days","Over 120 days"))))</f>
        <v>Over 120 days</v>
      </c>
      <c r="H1518" s="0" t="n">
        <f aca="false">VLOOKUP(D1518,Rates!$A$4:$B$7,2,FALSE())</f>
        <v>0.085</v>
      </c>
      <c r="I1518" s="0" t="n">
        <f aca="false">VLOOKUP(F1518,Rates!$D$4:$E$8,2)</f>
        <v>0.85</v>
      </c>
      <c r="J1518" s="0" t="n">
        <f aca="false">ROUND(E1518*I1518,2)</f>
        <v>6737.95</v>
      </c>
      <c r="K1518" s="1" t="n">
        <f aca="false">PV(H1518/12,F1518/30,0,-E1518)</f>
        <v>7283.22880785074</v>
      </c>
      <c r="L1518" s="0" t="n">
        <f aca="false">ROUND(E1518-K1518,2)</f>
        <v>643.77</v>
      </c>
      <c r="M1518" s="0" t="n">
        <f aca="false">F1518/E1518</f>
        <v>0.0454144064589378</v>
      </c>
    </row>
    <row r="1519" customFormat="false" ht="12.8" hidden="false" customHeight="false" outlineLevel="0" collapsed="false">
      <c r="A1519" s="0" t="s">
        <v>2210</v>
      </c>
      <c r="B1519" s="0" t="s">
        <v>2211</v>
      </c>
      <c r="C1519" s="0" t="s">
        <v>26</v>
      </c>
      <c r="D1519" s="0" t="s">
        <v>16</v>
      </c>
      <c r="E1519" s="0" t="n">
        <v>26004.64</v>
      </c>
      <c r="F1519" s="0" t="n">
        <v>199</v>
      </c>
      <c r="G1519" s="0" t="str">
        <f aca="false">IF(F1519&lt;=30,"Current",IF(F1519&lt;=60,"31 to 60 days",IF(F1519&lt;=90,"61 to 90 days",IF(F1519&lt;=120,"91 to 120 days","Over 120 days"))))</f>
        <v>Over 120 days</v>
      </c>
      <c r="H1519" s="0" t="n">
        <f aca="false">VLOOKUP(D1519,Rates!$A$4:$B$7,2,FALSE())</f>
        <v>0.085</v>
      </c>
      <c r="I1519" s="0" t="n">
        <f aca="false">VLOOKUP(F1519,Rates!$D$4:$E$8,2)</f>
        <v>0.85</v>
      </c>
      <c r="J1519" s="0" t="n">
        <f aca="false">ROUND(E1519*I1519,2)</f>
        <v>22103.94</v>
      </c>
      <c r="K1519" s="1" t="n">
        <f aca="false">PV(H1519/12,F1519/30,0,-E1519)</f>
        <v>24815.1536291673</v>
      </c>
      <c r="L1519" s="0" t="n">
        <f aca="false">ROUND(E1519-K1519,2)</f>
        <v>1189.49</v>
      </c>
      <c r="M1519" s="0" t="n">
        <f aca="false">F1519/E1519</f>
        <v>0.00765248048040657</v>
      </c>
    </row>
    <row r="1520" customFormat="false" ht="12.8" hidden="false" customHeight="false" outlineLevel="0" collapsed="false">
      <c r="A1520" s="0" t="s">
        <v>2212</v>
      </c>
      <c r="B1520" s="0" t="s">
        <v>609</v>
      </c>
      <c r="C1520" s="0" t="s">
        <v>31</v>
      </c>
      <c r="D1520" s="0" t="s">
        <v>23</v>
      </c>
      <c r="E1520" s="0" t="n">
        <v>18865.21</v>
      </c>
      <c r="F1520" s="0" t="n">
        <v>216</v>
      </c>
      <c r="G1520" s="0" t="str">
        <f aca="false">IF(F1520&lt;=30,"Current",IF(F1520&lt;=60,"31 to 60 days",IF(F1520&lt;=90,"61 to 90 days",IF(F1520&lt;=120,"91 to 120 days","Over 120 days"))))</f>
        <v>Over 120 days</v>
      </c>
      <c r="H1520" s="0" t="n">
        <f aca="false">VLOOKUP(D1520,Rates!$A$4:$B$7,2,FALSE())</f>
        <v>0.115</v>
      </c>
      <c r="I1520" s="0" t="n">
        <f aca="false">VLOOKUP(F1520,Rates!$D$4:$E$8,2)</f>
        <v>0.85</v>
      </c>
      <c r="J1520" s="0" t="n">
        <f aca="false">ROUND(E1520*I1520,2)</f>
        <v>16035.43</v>
      </c>
      <c r="K1520" s="1" t="n">
        <f aca="false">PV(H1520/12,F1520/30,0,-E1520)</f>
        <v>17613.1892891621</v>
      </c>
      <c r="L1520" s="0" t="n">
        <f aca="false">ROUND(E1520-K1520,2)</f>
        <v>1252.02</v>
      </c>
      <c r="M1520" s="0" t="n">
        <f aca="false">F1520/E1520</f>
        <v>0.0114496472607514</v>
      </c>
    </row>
    <row r="1521" customFormat="false" ht="12.8" hidden="false" customHeight="false" outlineLevel="0" collapsed="false">
      <c r="A1521" s="0" t="s">
        <v>2213</v>
      </c>
      <c r="B1521" s="0" t="s">
        <v>150</v>
      </c>
      <c r="C1521" s="0" t="s">
        <v>31</v>
      </c>
      <c r="D1521" s="0" t="s">
        <v>23</v>
      </c>
      <c r="E1521" s="0" t="n">
        <v>16165.57</v>
      </c>
      <c r="F1521" s="0" t="n">
        <v>216</v>
      </c>
      <c r="G1521" s="0" t="str">
        <f aca="false">IF(F1521&lt;=30,"Current",IF(F1521&lt;=60,"31 to 60 days",IF(F1521&lt;=90,"61 to 90 days",IF(F1521&lt;=120,"91 to 120 days","Over 120 days"))))</f>
        <v>Over 120 days</v>
      </c>
      <c r="H1521" s="0" t="n">
        <f aca="false">VLOOKUP(D1521,Rates!$A$4:$B$7,2,FALSE())</f>
        <v>0.115</v>
      </c>
      <c r="I1521" s="0" t="n">
        <f aca="false">VLOOKUP(F1521,Rates!$D$4:$E$8,2)</f>
        <v>0.85</v>
      </c>
      <c r="J1521" s="0" t="n">
        <f aca="false">ROUND(E1521*I1521,2)</f>
        <v>13740.73</v>
      </c>
      <c r="K1521" s="1" t="n">
        <f aca="false">PV(H1521/12,F1521/30,0,-E1521)</f>
        <v>15092.7153409477</v>
      </c>
      <c r="L1521" s="0" t="n">
        <f aca="false">ROUND(E1521-K1521,2)</f>
        <v>1072.85</v>
      </c>
      <c r="M1521" s="0" t="n">
        <f aca="false">F1521/E1521</f>
        <v>0.0133617311359884</v>
      </c>
    </row>
    <row r="1522" customFormat="false" ht="12.8" hidden="false" customHeight="false" outlineLevel="0" collapsed="false">
      <c r="A1522" s="0" t="s">
        <v>2214</v>
      </c>
      <c r="B1522" s="0" t="s">
        <v>2215</v>
      </c>
      <c r="C1522" s="0" t="s">
        <v>31</v>
      </c>
      <c r="D1522" s="0" t="s">
        <v>49</v>
      </c>
      <c r="E1522" s="0" t="n">
        <v>12714.15</v>
      </c>
      <c r="F1522" s="0" t="n">
        <v>324</v>
      </c>
      <c r="G1522" s="0" t="str">
        <f aca="false">IF(F1522&lt;=30,"Current",IF(F1522&lt;=60,"31 to 60 days",IF(F1522&lt;=90,"61 to 90 days",IF(F1522&lt;=120,"91 to 120 days","Over 120 days"))))</f>
        <v>Over 120 days</v>
      </c>
      <c r="H1522" s="0" t="n">
        <f aca="false">VLOOKUP(D1522,Rates!$A$4:$B$7,2,FALSE())</f>
        <v>0.02</v>
      </c>
      <c r="I1522" s="0" t="n">
        <f aca="false">VLOOKUP(F1522,Rates!$D$4:$E$8,2)</f>
        <v>0.85</v>
      </c>
      <c r="J1522" s="0" t="n">
        <f aca="false">ROUND(E1522*I1522,2)</f>
        <v>10807.03</v>
      </c>
      <c r="K1522" s="1" t="n">
        <f aca="false">PV(H1522/12,F1522/30,0,-E1522)</f>
        <v>12487.5297932378</v>
      </c>
      <c r="L1522" s="0" t="n">
        <f aca="false">ROUND(E1522-K1522,2)</f>
        <v>226.62</v>
      </c>
      <c r="M1522" s="0" t="n">
        <f aca="false">F1522/E1522</f>
        <v>0.025483418081429</v>
      </c>
    </row>
    <row r="1523" customFormat="false" ht="12.8" hidden="false" customHeight="false" outlineLevel="0" collapsed="false">
      <c r="A1523" s="0" t="s">
        <v>2216</v>
      </c>
      <c r="B1523" s="0" t="s">
        <v>97</v>
      </c>
      <c r="C1523" s="0" t="s">
        <v>42</v>
      </c>
      <c r="D1523" s="0" t="s">
        <v>20</v>
      </c>
      <c r="E1523" s="0" t="n">
        <v>469.98</v>
      </c>
      <c r="F1523" s="0" t="n">
        <v>258</v>
      </c>
      <c r="G1523" s="0" t="str">
        <f aca="false">IF(F1523&lt;=30,"Current",IF(F1523&lt;=60,"31 to 60 days",IF(F1523&lt;=90,"61 to 90 days",IF(F1523&lt;=120,"91 to 120 days","Over 120 days"))))</f>
        <v>Over 120 days</v>
      </c>
      <c r="H1523" s="0" t="n">
        <f aca="false">VLOOKUP(D1523,Rates!$A$4:$B$7,2,FALSE())</f>
        <v>0.05</v>
      </c>
      <c r="I1523" s="0" t="n">
        <f aca="false">VLOOKUP(F1523,Rates!$D$4:$E$8,2)</f>
        <v>0.85</v>
      </c>
      <c r="J1523" s="0" t="n">
        <f aca="false">ROUND(E1523*I1523,2)</f>
        <v>399.48</v>
      </c>
      <c r="K1523" s="1" t="n">
        <f aca="false">PV(H1523/12,F1523/30,0,-E1523)</f>
        <v>453.470969570503</v>
      </c>
      <c r="L1523" s="0" t="n">
        <f aca="false">ROUND(E1523-K1523,2)</f>
        <v>16.51</v>
      </c>
      <c r="M1523" s="0" t="n">
        <f aca="false">F1523/E1523</f>
        <v>0.548959530192774</v>
      </c>
    </row>
    <row r="1524" customFormat="false" ht="12.8" hidden="false" customHeight="false" outlineLevel="0" collapsed="false">
      <c r="A1524" s="0" t="s">
        <v>2217</v>
      </c>
      <c r="B1524" s="0" t="s">
        <v>2218</v>
      </c>
      <c r="C1524" s="0" t="s">
        <v>31</v>
      </c>
      <c r="D1524" s="0" t="s">
        <v>49</v>
      </c>
      <c r="E1524" s="0" t="n">
        <v>43276.46</v>
      </c>
      <c r="F1524" s="0" t="n">
        <v>19</v>
      </c>
      <c r="G1524" s="0" t="str">
        <f aca="false">IF(F1524&lt;=30,"Current",IF(F1524&lt;=60,"31 to 60 days",IF(F1524&lt;=90,"61 to 90 days",IF(F1524&lt;=120,"91 to 120 days","Over 120 days"))))</f>
        <v>Current</v>
      </c>
      <c r="H1524" s="0" t="n">
        <f aca="false">VLOOKUP(D1524,Rates!$A$4:$B$7,2,FALSE())</f>
        <v>0.02</v>
      </c>
      <c r="I1524" s="0" t="n">
        <f aca="false">VLOOKUP(F1524,Rates!$D$4:$E$8,2)</f>
        <v>0.02</v>
      </c>
      <c r="J1524" s="0" t="n">
        <f aca="false">ROUND(E1524*I1524,2)</f>
        <v>865.53</v>
      </c>
      <c r="K1524" s="1" t="n">
        <f aca="false">PV(H1524/12,F1524/30,0,-E1524)</f>
        <v>43230.8413779167</v>
      </c>
      <c r="L1524" s="0" t="n">
        <f aca="false">ROUND(E1524-K1524,2)</f>
        <v>45.62</v>
      </c>
      <c r="M1524" s="0" t="n">
        <f aca="false">F1524/E1524</f>
        <v>0.000439037758633678</v>
      </c>
    </row>
    <row r="1525" customFormat="false" ht="12.8" hidden="false" customHeight="false" outlineLevel="0" collapsed="false">
      <c r="A1525" s="0" t="s">
        <v>2219</v>
      </c>
      <c r="B1525" s="0" t="s">
        <v>82</v>
      </c>
      <c r="C1525" s="0" t="s">
        <v>36</v>
      </c>
      <c r="D1525" s="0" t="s">
        <v>23</v>
      </c>
      <c r="E1525" s="0" t="n">
        <v>42537.62</v>
      </c>
      <c r="F1525" s="0" t="n">
        <v>155</v>
      </c>
      <c r="G1525" s="0" t="str">
        <f aca="false">IF(F1525&lt;=30,"Current",IF(F1525&lt;=60,"31 to 60 days",IF(F1525&lt;=90,"61 to 90 days",IF(F1525&lt;=120,"91 to 120 days","Over 120 days"))))</f>
        <v>Over 120 days</v>
      </c>
      <c r="H1525" s="0" t="n">
        <f aca="false">VLOOKUP(D1525,Rates!$A$4:$B$7,2,FALSE())</f>
        <v>0.115</v>
      </c>
      <c r="I1525" s="0" t="n">
        <f aca="false">VLOOKUP(F1525,Rates!$D$4:$E$8,2)</f>
        <v>0.85</v>
      </c>
      <c r="J1525" s="0" t="n">
        <f aca="false">ROUND(E1525*I1525,2)</f>
        <v>36156.98</v>
      </c>
      <c r="K1525" s="1" t="n">
        <f aca="false">PV(H1525/12,F1525/30,0,-E1525)</f>
        <v>40492.2549915175</v>
      </c>
      <c r="L1525" s="0" t="n">
        <f aca="false">ROUND(E1525-K1525,2)</f>
        <v>2045.37</v>
      </c>
      <c r="M1525" s="0" t="n">
        <f aca="false">F1525/E1525</f>
        <v>0.00364383338795165</v>
      </c>
    </row>
    <row r="1526" customFormat="false" ht="12.8" hidden="false" customHeight="false" outlineLevel="0" collapsed="false">
      <c r="A1526" s="0" t="s">
        <v>2220</v>
      </c>
      <c r="B1526" s="0" t="s">
        <v>2221</v>
      </c>
      <c r="C1526" s="0" t="s">
        <v>36</v>
      </c>
      <c r="D1526" s="0" t="s">
        <v>49</v>
      </c>
      <c r="E1526" s="0" t="n">
        <v>31419.77</v>
      </c>
      <c r="F1526" s="0" t="n">
        <v>289</v>
      </c>
      <c r="G1526" s="0" t="str">
        <f aca="false">IF(F1526&lt;=30,"Current",IF(F1526&lt;=60,"31 to 60 days",IF(F1526&lt;=90,"61 to 90 days",IF(F1526&lt;=120,"91 to 120 days","Over 120 days"))))</f>
        <v>Over 120 days</v>
      </c>
      <c r="H1526" s="0" t="n">
        <f aca="false">VLOOKUP(D1526,Rates!$A$4:$B$7,2,FALSE())</f>
        <v>0.02</v>
      </c>
      <c r="I1526" s="0" t="n">
        <f aca="false">VLOOKUP(F1526,Rates!$D$4:$E$8,2)</f>
        <v>0.85</v>
      </c>
      <c r="J1526" s="0" t="n">
        <f aca="false">ROUND(E1526*I1526,2)</f>
        <v>26706.8</v>
      </c>
      <c r="K1526" s="1" t="n">
        <f aca="false">PV(H1526/12,F1526/30,0,-E1526)</f>
        <v>30919.7494911823</v>
      </c>
      <c r="L1526" s="0" t="n">
        <f aca="false">ROUND(E1526-K1526,2)</f>
        <v>500.02</v>
      </c>
      <c r="M1526" s="0" t="n">
        <f aca="false">F1526/E1526</f>
        <v>0.00919803041206221</v>
      </c>
    </row>
    <row r="1527" customFormat="false" ht="12.8" hidden="false" customHeight="false" outlineLevel="0" collapsed="false">
      <c r="A1527" s="0" t="s">
        <v>2222</v>
      </c>
      <c r="B1527" s="0" t="s">
        <v>97</v>
      </c>
      <c r="C1527" s="0" t="s">
        <v>42</v>
      </c>
      <c r="D1527" s="0" t="s">
        <v>20</v>
      </c>
      <c r="E1527" s="0" t="n">
        <v>33100.16</v>
      </c>
      <c r="F1527" s="0" t="n">
        <v>313</v>
      </c>
      <c r="G1527" s="0" t="str">
        <f aca="false">IF(F1527&lt;=30,"Current",IF(F1527&lt;=60,"31 to 60 days",IF(F1527&lt;=90,"61 to 90 days",IF(F1527&lt;=120,"91 to 120 days","Over 120 days"))))</f>
        <v>Over 120 days</v>
      </c>
      <c r="H1527" s="0" t="n">
        <f aca="false">VLOOKUP(D1527,Rates!$A$4:$B$7,2,FALSE())</f>
        <v>0.05</v>
      </c>
      <c r="I1527" s="0" t="n">
        <f aca="false">VLOOKUP(F1527,Rates!$D$4:$E$8,2)</f>
        <v>0.85</v>
      </c>
      <c r="J1527" s="0" t="n">
        <f aca="false">ROUND(E1527*I1527,2)</f>
        <v>28135.14</v>
      </c>
      <c r="K1527" s="1" t="n">
        <f aca="false">PV(H1527/12,F1527/30,0,-E1527)</f>
        <v>31694.9134913943</v>
      </c>
      <c r="L1527" s="0" t="n">
        <f aca="false">ROUND(E1527-K1527,2)</f>
        <v>1405.25</v>
      </c>
      <c r="M1527" s="0" t="n">
        <f aca="false">F1527/E1527</f>
        <v>0.0094561476439993</v>
      </c>
    </row>
    <row r="1528" customFormat="false" ht="12.8" hidden="false" customHeight="false" outlineLevel="0" collapsed="false">
      <c r="A1528" s="0" t="s">
        <v>2223</v>
      </c>
      <c r="B1528" s="0" t="s">
        <v>2224</v>
      </c>
      <c r="C1528" s="0" t="s">
        <v>42</v>
      </c>
      <c r="D1528" s="0" t="s">
        <v>16</v>
      </c>
      <c r="E1528" s="0" t="n">
        <v>10363.98</v>
      </c>
      <c r="F1528" s="0" t="n">
        <v>214</v>
      </c>
      <c r="G1528" s="0" t="str">
        <f aca="false">IF(F1528&lt;=30,"Current",IF(F1528&lt;=60,"31 to 60 days",IF(F1528&lt;=90,"61 to 90 days",IF(F1528&lt;=120,"91 to 120 days","Over 120 days"))))</f>
        <v>Over 120 days</v>
      </c>
      <c r="H1528" s="0" t="n">
        <f aca="false">VLOOKUP(D1528,Rates!$A$4:$B$7,2,FALSE())</f>
        <v>0.085</v>
      </c>
      <c r="I1528" s="0" t="n">
        <f aca="false">VLOOKUP(F1528,Rates!$D$4:$E$8,2)</f>
        <v>0.85</v>
      </c>
      <c r="J1528" s="0" t="n">
        <f aca="false">ROUND(E1528*I1528,2)</f>
        <v>8809.38</v>
      </c>
      <c r="K1528" s="1" t="n">
        <f aca="false">PV(H1528/12,F1528/30,0,-E1528)</f>
        <v>9855.07614510297</v>
      </c>
      <c r="L1528" s="0" t="n">
        <f aca="false">ROUND(E1528-K1528,2)</f>
        <v>508.9</v>
      </c>
      <c r="M1528" s="0" t="n">
        <f aca="false">F1528/E1528</f>
        <v>0.0206484381482789</v>
      </c>
    </row>
    <row r="1529" customFormat="false" ht="12.8" hidden="false" customHeight="false" outlineLevel="0" collapsed="false">
      <c r="A1529" s="0" t="s">
        <v>2225</v>
      </c>
      <c r="B1529" s="0" t="s">
        <v>82</v>
      </c>
      <c r="C1529" s="0" t="s">
        <v>36</v>
      </c>
      <c r="D1529" s="0" t="s">
        <v>23</v>
      </c>
      <c r="E1529" s="0" t="n">
        <v>10605.22</v>
      </c>
      <c r="F1529" s="0" t="n">
        <v>193</v>
      </c>
      <c r="G1529" s="0" t="str">
        <f aca="false">IF(F1529&lt;=30,"Current",IF(F1529&lt;=60,"31 to 60 days",IF(F1529&lt;=90,"61 to 90 days",IF(F1529&lt;=120,"91 to 120 days","Over 120 days"))))</f>
        <v>Over 120 days</v>
      </c>
      <c r="H1529" s="0" t="n">
        <f aca="false">VLOOKUP(D1529,Rates!$A$4:$B$7,2,FALSE())</f>
        <v>0.115</v>
      </c>
      <c r="I1529" s="0" t="n">
        <f aca="false">VLOOKUP(F1529,Rates!$D$4:$E$8,2)</f>
        <v>0.85</v>
      </c>
      <c r="J1529" s="0" t="n">
        <f aca="false">ROUND(E1529*I1529,2)</f>
        <v>9014.44</v>
      </c>
      <c r="K1529" s="1" t="n">
        <f aca="false">PV(H1529/12,F1529/30,0,-E1529)</f>
        <v>9974.053794429</v>
      </c>
      <c r="L1529" s="0" t="n">
        <f aca="false">ROUND(E1529-K1529,2)</f>
        <v>631.17</v>
      </c>
      <c r="M1529" s="0" t="n">
        <f aca="false">F1529/E1529</f>
        <v>0.0181985852250118</v>
      </c>
    </row>
    <row r="1530" customFormat="false" ht="12.8" hidden="false" customHeight="false" outlineLevel="0" collapsed="false">
      <c r="A1530" s="0" t="s">
        <v>2226</v>
      </c>
      <c r="B1530" s="0" t="s">
        <v>2227</v>
      </c>
      <c r="C1530" s="0" t="s">
        <v>31</v>
      </c>
      <c r="D1530" s="0" t="s">
        <v>49</v>
      </c>
      <c r="E1530" s="0" t="n">
        <v>2376.33</v>
      </c>
      <c r="F1530" s="0" t="n">
        <v>63</v>
      </c>
      <c r="G1530" s="0" t="str">
        <f aca="false">IF(F1530&lt;=30,"Current",IF(F1530&lt;=60,"31 to 60 days",IF(F1530&lt;=90,"61 to 90 days",IF(F1530&lt;=120,"91 to 120 days","Over 120 days"))))</f>
        <v>61 to 90 days</v>
      </c>
      <c r="H1530" s="0" t="n">
        <f aca="false">VLOOKUP(D1530,Rates!$A$4:$B$7,2,FALSE())</f>
        <v>0.02</v>
      </c>
      <c r="I1530" s="0" t="n">
        <f aca="false">VLOOKUP(F1530,Rates!$D$4:$E$8,2)</f>
        <v>0.25</v>
      </c>
      <c r="J1530" s="0" t="n">
        <f aca="false">ROUND(E1530*I1530,2)</f>
        <v>594.08</v>
      </c>
      <c r="K1530" s="1" t="n">
        <f aca="false">PV(H1530/12,F1530/30,0,-E1530)</f>
        <v>2368.03428214724</v>
      </c>
      <c r="L1530" s="0" t="n">
        <f aca="false">ROUND(E1530-K1530,2)</f>
        <v>8.3</v>
      </c>
      <c r="M1530" s="0" t="n">
        <f aca="false">F1530/E1530</f>
        <v>0.0265114693666284</v>
      </c>
    </row>
    <row r="1531" customFormat="false" ht="12.8" hidden="false" customHeight="false" outlineLevel="0" collapsed="false">
      <c r="A1531" s="0" t="s">
        <v>2228</v>
      </c>
      <c r="B1531" s="0" t="s">
        <v>33</v>
      </c>
      <c r="C1531" s="0" t="s">
        <v>26</v>
      </c>
      <c r="D1531" s="0" t="s">
        <v>20</v>
      </c>
      <c r="E1531" s="0" t="n">
        <v>8514.69</v>
      </c>
      <c r="F1531" s="0" t="n">
        <v>228</v>
      </c>
      <c r="G1531" s="0" t="str">
        <f aca="false">IF(F1531&lt;=30,"Current",IF(F1531&lt;=60,"31 to 60 days",IF(F1531&lt;=90,"61 to 90 days",IF(F1531&lt;=120,"91 to 120 days","Over 120 days"))))</f>
        <v>Over 120 days</v>
      </c>
      <c r="H1531" s="0" t="n">
        <f aca="false">VLOOKUP(D1531,Rates!$A$4:$B$7,2,FALSE())</f>
        <v>0.05</v>
      </c>
      <c r="I1531" s="0" t="n">
        <f aca="false">VLOOKUP(F1531,Rates!$D$4:$E$8,2)</f>
        <v>0.85</v>
      </c>
      <c r="J1531" s="0" t="n">
        <f aca="false">ROUND(E1531*I1531,2)</f>
        <v>7237.49</v>
      </c>
      <c r="K1531" s="1" t="n">
        <f aca="false">PV(H1531/12,F1531/30,0,-E1531)</f>
        <v>8249.82534632711</v>
      </c>
      <c r="L1531" s="0" t="n">
        <f aca="false">ROUND(E1531-K1531,2)</f>
        <v>264.86</v>
      </c>
      <c r="M1531" s="0" t="n">
        <f aca="false">F1531/E1531</f>
        <v>0.0267772520197447</v>
      </c>
    </row>
    <row r="1532" customFormat="false" ht="12.8" hidden="false" customHeight="false" outlineLevel="0" collapsed="false">
      <c r="A1532" s="0" t="s">
        <v>2229</v>
      </c>
      <c r="B1532" s="0" t="s">
        <v>540</v>
      </c>
      <c r="C1532" s="0" t="s">
        <v>42</v>
      </c>
      <c r="D1532" s="0" t="s">
        <v>49</v>
      </c>
      <c r="E1532" s="0" t="n">
        <v>25622.41</v>
      </c>
      <c r="F1532" s="0" t="n">
        <v>16</v>
      </c>
      <c r="G1532" s="0" t="str">
        <f aca="false">IF(F1532&lt;=30,"Current",IF(F1532&lt;=60,"31 to 60 days",IF(F1532&lt;=90,"61 to 90 days",IF(F1532&lt;=120,"91 to 120 days","Over 120 days"))))</f>
        <v>Current</v>
      </c>
      <c r="H1532" s="0" t="n">
        <f aca="false">VLOOKUP(D1532,Rates!$A$4:$B$7,2,FALSE())</f>
        <v>0.02</v>
      </c>
      <c r="I1532" s="0" t="n">
        <f aca="false">VLOOKUP(F1532,Rates!$D$4:$E$8,2)</f>
        <v>0.02</v>
      </c>
      <c r="J1532" s="0" t="n">
        <f aca="false">ROUND(E1532*I1532,2)</f>
        <v>512.45</v>
      </c>
      <c r="K1532" s="1" t="n">
        <f aca="false">PV(H1532/12,F1532/30,0,-E1532)</f>
        <v>25599.6635855428</v>
      </c>
      <c r="L1532" s="0" t="n">
        <f aca="false">ROUND(E1532-K1532,2)</f>
        <v>22.75</v>
      </c>
      <c r="M1532" s="0" t="n">
        <f aca="false">F1532/E1532</f>
        <v>0.000624453359383446</v>
      </c>
    </row>
    <row r="1533" customFormat="false" ht="12.8" hidden="false" customHeight="false" outlineLevel="0" collapsed="false">
      <c r="A1533" s="0" t="s">
        <v>2230</v>
      </c>
      <c r="B1533" s="0" t="s">
        <v>1767</v>
      </c>
      <c r="C1533" s="0" t="s">
        <v>19</v>
      </c>
      <c r="D1533" s="0" t="s">
        <v>49</v>
      </c>
      <c r="E1533" s="0" t="n">
        <v>32985.95</v>
      </c>
      <c r="F1533" s="0" t="n">
        <v>89</v>
      </c>
      <c r="G1533" s="0" t="str">
        <f aca="false">IF(F1533&lt;=30,"Current",IF(F1533&lt;=60,"31 to 60 days",IF(F1533&lt;=90,"61 to 90 days",IF(F1533&lt;=120,"91 to 120 days","Over 120 days"))))</f>
        <v>61 to 90 days</v>
      </c>
      <c r="H1533" s="0" t="n">
        <f aca="false">VLOOKUP(D1533,Rates!$A$4:$B$7,2,FALSE())</f>
        <v>0.02</v>
      </c>
      <c r="I1533" s="0" t="n">
        <f aca="false">VLOOKUP(F1533,Rates!$D$4:$E$8,2)</f>
        <v>0.25</v>
      </c>
      <c r="J1533" s="0" t="n">
        <f aca="false">ROUND(E1533*I1533,2)</f>
        <v>8246.49</v>
      </c>
      <c r="K1533" s="1" t="n">
        <f aca="false">PV(H1533/12,F1533/30,0,-E1533)</f>
        <v>32823.3904457232</v>
      </c>
      <c r="L1533" s="0" t="n">
        <f aca="false">ROUND(E1533-K1533,2)</f>
        <v>162.56</v>
      </c>
      <c r="M1533" s="0" t="n">
        <f aca="false">F1533/E1533</f>
        <v>0.00269811844133639</v>
      </c>
    </row>
    <row r="1534" customFormat="false" ht="12.8" hidden="false" customHeight="false" outlineLevel="0" collapsed="false">
      <c r="A1534" s="0" t="s">
        <v>2231</v>
      </c>
      <c r="B1534" s="0" t="s">
        <v>2232</v>
      </c>
      <c r="C1534" s="0" t="s">
        <v>42</v>
      </c>
      <c r="D1534" s="0" t="s">
        <v>49</v>
      </c>
      <c r="E1534" s="0" t="n">
        <v>410.62</v>
      </c>
      <c r="F1534" s="0" t="n">
        <v>381</v>
      </c>
      <c r="G1534" s="0" t="str">
        <f aca="false">IF(F1534&lt;=30,"Current",IF(F1534&lt;=60,"31 to 60 days",IF(F1534&lt;=90,"61 to 90 days",IF(F1534&lt;=120,"91 to 120 days","Over 120 days"))))</f>
        <v>Over 120 days</v>
      </c>
      <c r="H1534" s="0" t="n">
        <f aca="false">VLOOKUP(D1534,Rates!$A$4:$B$7,2,FALSE())</f>
        <v>0.02</v>
      </c>
      <c r="I1534" s="0" t="n">
        <f aca="false">VLOOKUP(F1534,Rates!$D$4:$E$8,2)</f>
        <v>0.85</v>
      </c>
      <c r="J1534" s="0" t="n">
        <f aca="false">ROUND(E1534*I1534,2)</f>
        <v>349.03</v>
      </c>
      <c r="K1534" s="1" t="n">
        <f aca="false">PV(H1534/12,F1534/30,0,-E1534)</f>
        <v>402.026965711049</v>
      </c>
      <c r="L1534" s="0" t="n">
        <f aca="false">ROUND(E1534-K1534,2)</f>
        <v>8.59</v>
      </c>
      <c r="M1534" s="0" t="n">
        <f aca="false">F1534/E1534</f>
        <v>0.927865179484682</v>
      </c>
    </row>
    <row r="1535" customFormat="false" ht="12.8" hidden="false" customHeight="false" outlineLevel="0" collapsed="false">
      <c r="A1535" s="0" t="s">
        <v>2233</v>
      </c>
      <c r="B1535" s="0" t="s">
        <v>51</v>
      </c>
      <c r="C1535" s="0" t="s">
        <v>36</v>
      </c>
      <c r="D1535" s="0" t="s">
        <v>20</v>
      </c>
      <c r="E1535" s="0" t="n">
        <v>40935.36</v>
      </c>
      <c r="F1535" s="0" t="n">
        <v>140</v>
      </c>
      <c r="G1535" s="0" t="str">
        <f aca="false">IF(F1535&lt;=30,"Current",IF(F1535&lt;=60,"31 to 60 days",IF(F1535&lt;=90,"61 to 90 days",IF(F1535&lt;=120,"91 to 120 days","Over 120 days"))))</f>
        <v>Over 120 days</v>
      </c>
      <c r="H1535" s="0" t="n">
        <f aca="false">VLOOKUP(D1535,Rates!$A$4:$B$7,2,FALSE())</f>
        <v>0.05</v>
      </c>
      <c r="I1535" s="0" t="n">
        <f aca="false">VLOOKUP(F1535,Rates!$D$4:$E$8,2)</f>
        <v>0.85</v>
      </c>
      <c r="J1535" s="0" t="n">
        <f aca="false">ROUND(E1535*I1535,2)</f>
        <v>34795.06</v>
      </c>
      <c r="K1535" s="1" t="n">
        <f aca="false">PV(H1535/12,F1535/30,0,-E1535)</f>
        <v>40148.7051619691</v>
      </c>
      <c r="L1535" s="0" t="n">
        <f aca="false">ROUND(E1535-K1535,2)</f>
        <v>786.65</v>
      </c>
      <c r="M1535" s="0" t="n">
        <f aca="false">F1535/E1535</f>
        <v>0.00342002610945647</v>
      </c>
    </row>
    <row r="1536" customFormat="false" ht="12.8" hidden="false" customHeight="false" outlineLevel="0" collapsed="false">
      <c r="A1536" s="0" t="s">
        <v>2234</v>
      </c>
      <c r="B1536" s="0" t="s">
        <v>2235</v>
      </c>
      <c r="C1536" s="0" t="s">
        <v>42</v>
      </c>
      <c r="D1536" s="0" t="s">
        <v>16</v>
      </c>
      <c r="E1536" s="0" t="n">
        <v>21397.66</v>
      </c>
      <c r="F1536" s="0" t="n">
        <v>88</v>
      </c>
      <c r="G1536" s="0" t="str">
        <f aca="false">IF(F1536&lt;=30,"Current",IF(F1536&lt;=60,"31 to 60 days",IF(F1536&lt;=90,"61 to 90 days",IF(F1536&lt;=120,"91 to 120 days","Over 120 days"))))</f>
        <v>61 to 90 days</v>
      </c>
      <c r="H1536" s="0" t="n">
        <f aca="false">VLOOKUP(D1536,Rates!$A$4:$B$7,2,FALSE())</f>
        <v>0.085</v>
      </c>
      <c r="I1536" s="0" t="n">
        <f aca="false">VLOOKUP(F1536,Rates!$D$4:$E$8,2)</f>
        <v>0.25</v>
      </c>
      <c r="J1536" s="0" t="n">
        <f aca="false">ROUND(E1536*I1536,2)</f>
        <v>5349.42</v>
      </c>
      <c r="K1536" s="1" t="n">
        <f aca="false">PV(H1536/12,F1536/30,0,-E1536)</f>
        <v>20959.1862505888</v>
      </c>
      <c r="L1536" s="0" t="n">
        <f aca="false">ROUND(E1536-K1536,2)</f>
        <v>438.47</v>
      </c>
      <c r="M1536" s="0" t="n">
        <f aca="false">F1536/E1536</f>
        <v>0.0041125992281399</v>
      </c>
    </row>
    <row r="1537" customFormat="false" ht="12.8" hidden="false" customHeight="false" outlineLevel="0" collapsed="false">
      <c r="A1537" s="0" t="s">
        <v>2236</v>
      </c>
      <c r="B1537" s="0" t="s">
        <v>38</v>
      </c>
      <c r="C1537" s="0" t="s">
        <v>15</v>
      </c>
      <c r="D1537" s="0" t="s">
        <v>23</v>
      </c>
      <c r="E1537" s="0" t="n">
        <v>11638.44</v>
      </c>
      <c r="F1537" s="0" t="n">
        <v>304</v>
      </c>
      <c r="G1537" s="0" t="str">
        <f aca="false">IF(F1537&lt;=30,"Current",IF(F1537&lt;=60,"31 to 60 days",IF(F1537&lt;=90,"61 to 90 days",IF(F1537&lt;=120,"91 to 120 days","Over 120 days"))))</f>
        <v>Over 120 days</v>
      </c>
      <c r="H1537" s="0" t="n">
        <f aca="false">VLOOKUP(D1537,Rates!$A$4:$B$7,2,FALSE())</f>
        <v>0.115</v>
      </c>
      <c r="I1537" s="0" t="n">
        <f aca="false">VLOOKUP(F1537,Rates!$D$4:$E$8,2)</f>
        <v>0.85</v>
      </c>
      <c r="J1537" s="0" t="n">
        <f aca="false">ROUND(E1537*I1537,2)</f>
        <v>9892.67</v>
      </c>
      <c r="K1537" s="1" t="n">
        <f aca="false">PV(H1537/12,F1537/30,0,-E1537)</f>
        <v>10566.2469855185</v>
      </c>
      <c r="L1537" s="0" t="n">
        <f aca="false">ROUND(E1537-K1537,2)</f>
        <v>1072.19</v>
      </c>
      <c r="M1537" s="0" t="n">
        <f aca="false">F1537/E1537</f>
        <v>0.0261203391519826</v>
      </c>
    </row>
    <row r="1538" customFormat="false" ht="12.8" hidden="false" customHeight="false" outlineLevel="0" collapsed="false">
      <c r="A1538" s="0" t="s">
        <v>2237</v>
      </c>
      <c r="B1538" s="0" t="s">
        <v>285</v>
      </c>
      <c r="C1538" s="0" t="s">
        <v>36</v>
      </c>
      <c r="D1538" s="0" t="s">
        <v>23</v>
      </c>
      <c r="E1538" s="0" t="n">
        <v>14883.41</v>
      </c>
      <c r="F1538" s="0" t="n">
        <v>163</v>
      </c>
      <c r="G1538" s="0" t="str">
        <f aca="false">IF(F1538&lt;=30,"Current",IF(F1538&lt;=60,"31 to 60 days",IF(F1538&lt;=90,"61 to 90 days",IF(F1538&lt;=120,"91 to 120 days","Over 120 days"))))</f>
        <v>Over 120 days</v>
      </c>
      <c r="H1538" s="0" t="n">
        <f aca="false">VLOOKUP(D1538,Rates!$A$4:$B$7,2,FALSE())</f>
        <v>0.115</v>
      </c>
      <c r="I1538" s="0" t="n">
        <f aca="false">VLOOKUP(F1538,Rates!$D$4:$E$8,2)</f>
        <v>0.85</v>
      </c>
      <c r="J1538" s="0" t="n">
        <f aca="false">ROUND(E1538*I1538,2)</f>
        <v>12650.9</v>
      </c>
      <c r="K1538" s="1" t="n">
        <f aca="false">PV(H1538/12,F1538/30,0,-E1538)</f>
        <v>14131.7726552956</v>
      </c>
      <c r="L1538" s="0" t="n">
        <f aca="false">ROUND(E1538-K1538,2)</f>
        <v>751.64</v>
      </c>
      <c r="M1538" s="0" t="n">
        <f aca="false">F1538/E1538</f>
        <v>0.0109517912897649</v>
      </c>
    </row>
    <row r="1539" customFormat="false" ht="12.8" hidden="false" customHeight="false" outlineLevel="0" collapsed="false">
      <c r="A1539" s="0" t="s">
        <v>2238</v>
      </c>
      <c r="B1539" s="0" t="s">
        <v>82</v>
      </c>
      <c r="C1539" s="0" t="s">
        <v>36</v>
      </c>
      <c r="D1539" s="0" t="s">
        <v>23</v>
      </c>
      <c r="E1539" s="0" t="n">
        <v>33604.08</v>
      </c>
      <c r="F1539" s="0" t="n">
        <v>35</v>
      </c>
      <c r="G1539" s="0" t="str">
        <f aca="false">IF(F1539&lt;=30,"Current",IF(F1539&lt;=60,"31 to 60 days",IF(F1539&lt;=90,"61 to 90 days",IF(F1539&lt;=120,"91 to 120 days","Over 120 days"))))</f>
        <v>31 to 60 days</v>
      </c>
      <c r="H1539" s="0" t="n">
        <f aca="false">VLOOKUP(D1539,Rates!$A$4:$B$7,2,FALSE())</f>
        <v>0.115</v>
      </c>
      <c r="I1539" s="0" t="n">
        <f aca="false">VLOOKUP(F1539,Rates!$D$4:$E$8,2)</f>
        <v>0.1</v>
      </c>
      <c r="J1539" s="0" t="n">
        <f aca="false">ROUND(E1539*I1539,2)</f>
        <v>3360.41</v>
      </c>
      <c r="K1539" s="1" t="n">
        <f aca="false">PV(H1539/12,F1539/30,0,-E1539)</f>
        <v>33232.2292730471</v>
      </c>
      <c r="L1539" s="0" t="n">
        <f aca="false">ROUND(E1539-K1539,2)</f>
        <v>371.85</v>
      </c>
      <c r="M1539" s="0" t="n">
        <f aca="false">F1539/E1539</f>
        <v>0.00104154019392883</v>
      </c>
    </row>
    <row r="1540" customFormat="false" ht="12.8" hidden="false" customHeight="false" outlineLevel="0" collapsed="false">
      <c r="A1540" s="0" t="s">
        <v>2239</v>
      </c>
      <c r="B1540" s="0" t="s">
        <v>113</v>
      </c>
      <c r="C1540" s="0" t="s">
        <v>26</v>
      </c>
      <c r="D1540" s="0" t="s">
        <v>23</v>
      </c>
      <c r="E1540" s="0" t="n">
        <v>8134.73</v>
      </c>
      <c r="F1540" s="0" t="n">
        <v>221</v>
      </c>
      <c r="G1540" s="0" t="str">
        <f aca="false">IF(F1540&lt;=30,"Current",IF(F1540&lt;=60,"31 to 60 days",IF(F1540&lt;=90,"61 to 90 days",IF(F1540&lt;=120,"91 to 120 days","Over 120 days"))))</f>
        <v>Over 120 days</v>
      </c>
      <c r="H1540" s="0" t="n">
        <f aca="false">VLOOKUP(D1540,Rates!$A$4:$B$7,2,FALSE())</f>
        <v>0.115</v>
      </c>
      <c r="I1540" s="0" t="n">
        <f aca="false">VLOOKUP(F1540,Rates!$D$4:$E$8,2)</f>
        <v>0.85</v>
      </c>
      <c r="J1540" s="0" t="n">
        <f aca="false">ROUND(E1540*I1540,2)</f>
        <v>6914.52</v>
      </c>
      <c r="K1540" s="1" t="n">
        <f aca="false">PV(H1540/12,F1540/30,0,-E1540)</f>
        <v>7582.79193146452</v>
      </c>
      <c r="L1540" s="0" t="n">
        <f aca="false">ROUND(E1540-K1540,2)</f>
        <v>551.94</v>
      </c>
      <c r="M1540" s="0" t="n">
        <f aca="false">F1540/E1540</f>
        <v>0.0271674659146647</v>
      </c>
    </row>
    <row r="1541" customFormat="false" ht="12.8" hidden="false" customHeight="false" outlineLevel="0" collapsed="false">
      <c r="A1541" s="0" t="s">
        <v>2240</v>
      </c>
      <c r="B1541" s="0" t="s">
        <v>2241</v>
      </c>
      <c r="C1541" s="0" t="s">
        <v>19</v>
      </c>
      <c r="D1541" s="0" t="s">
        <v>16</v>
      </c>
      <c r="E1541" s="0" t="n">
        <v>2903.06</v>
      </c>
      <c r="F1541" s="0" t="n">
        <v>123</v>
      </c>
      <c r="G1541" s="0" t="str">
        <f aca="false">IF(F1541&lt;=30,"Current",IF(F1541&lt;=60,"31 to 60 days",IF(F1541&lt;=90,"61 to 90 days",IF(F1541&lt;=120,"91 to 120 days","Over 120 days"))))</f>
        <v>Over 120 days</v>
      </c>
      <c r="H1541" s="0" t="n">
        <f aca="false">VLOOKUP(D1541,Rates!$A$4:$B$7,2,FALSE())</f>
        <v>0.085</v>
      </c>
      <c r="I1541" s="0" t="n">
        <f aca="false">VLOOKUP(F1541,Rates!$D$4:$E$8,2)</f>
        <v>0.85</v>
      </c>
      <c r="J1541" s="0" t="n">
        <f aca="false">ROUND(E1541*I1541,2)</f>
        <v>2467.6</v>
      </c>
      <c r="K1541" s="1" t="n">
        <f aca="false">PV(H1541/12,F1541/30,0,-E1541)</f>
        <v>2820.251482588</v>
      </c>
      <c r="L1541" s="0" t="n">
        <f aca="false">ROUND(E1541-K1541,2)</f>
        <v>82.81</v>
      </c>
      <c r="M1541" s="0" t="n">
        <f aca="false">F1541/E1541</f>
        <v>0.0423690864122684</v>
      </c>
    </row>
    <row r="1542" customFormat="false" ht="12.8" hidden="false" customHeight="false" outlineLevel="0" collapsed="false">
      <c r="A1542" s="0" t="s">
        <v>2242</v>
      </c>
      <c r="B1542" s="0" t="s">
        <v>2243</v>
      </c>
      <c r="C1542" s="0" t="s">
        <v>26</v>
      </c>
      <c r="D1542" s="0" t="s">
        <v>49</v>
      </c>
      <c r="E1542" s="0" t="n">
        <v>9784.8</v>
      </c>
      <c r="F1542" s="0" t="n">
        <v>323</v>
      </c>
      <c r="G1542" s="0" t="str">
        <f aca="false">IF(F1542&lt;=30,"Current",IF(F1542&lt;=60,"31 to 60 days",IF(F1542&lt;=90,"61 to 90 days",IF(F1542&lt;=120,"91 to 120 days","Over 120 days"))))</f>
        <v>Over 120 days</v>
      </c>
      <c r="H1542" s="0" t="n">
        <f aca="false">VLOOKUP(D1542,Rates!$A$4:$B$7,2,FALSE())</f>
        <v>0.02</v>
      </c>
      <c r="I1542" s="0" t="n">
        <f aca="false">VLOOKUP(F1542,Rates!$D$4:$E$8,2)</f>
        <v>0.85</v>
      </c>
      <c r="J1542" s="0" t="n">
        <f aca="false">ROUND(E1542*I1542,2)</f>
        <v>8317.08</v>
      </c>
      <c r="K1542" s="1" t="n">
        <f aca="false">PV(H1542/12,F1542/30,0,-E1542)</f>
        <v>9610.92674537791</v>
      </c>
      <c r="L1542" s="0" t="n">
        <f aca="false">ROUND(E1542-K1542,2)</f>
        <v>173.87</v>
      </c>
      <c r="M1542" s="0" t="n">
        <f aca="false">F1542/E1542</f>
        <v>0.0330103834518846</v>
      </c>
    </row>
    <row r="1543" customFormat="false" ht="12.8" hidden="false" customHeight="false" outlineLevel="0" collapsed="false">
      <c r="A1543" s="0" t="s">
        <v>2244</v>
      </c>
      <c r="B1543" s="0" t="s">
        <v>2245</v>
      </c>
      <c r="C1543" s="0" t="s">
        <v>26</v>
      </c>
      <c r="D1543" s="0" t="s">
        <v>49</v>
      </c>
      <c r="E1543" s="0" t="n">
        <v>8656.57</v>
      </c>
      <c r="F1543" s="0" t="n">
        <v>91</v>
      </c>
      <c r="G1543" s="0" t="str">
        <f aca="false">IF(F1543&lt;=30,"Current",IF(F1543&lt;=60,"31 to 60 days",IF(F1543&lt;=90,"61 to 90 days",IF(F1543&lt;=120,"91 to 120 days","Over 120 days"))))</f>
        <v>91 to 120 days</v>
      </c>
      <c r="H1543" s="0" t="n">
        <f aca="false">VLOOKUP(D1543,Rates!$A$4:$B$7,2,FALSE())</f>
        <v>0.02</v>
      </c>
      <c r="I1543" s="0" t="n">
        <f aca="false">VLOOKUP(F1543,Rates!$D$4:$E$8,2)</f>
        <v>0.5</v>
      </c>
      <c r="J1543" s="0" t="n">
        <f aca="false">ROUND(E1543*I1543,2)</f>
        <v>4328.29</v>
      </c>
      <c r="K1543" s="1" t="n">
        <f aca="false">PV(H1543/12,F1543/30,0,-E1543)</f>
        <v>8612.95291405061</v>
      </c>
      <c r="L1543" s="0" t="n">
        <f aca="false">ROUND(E1543-K1543,2)</f>
        <v>43.62</v>
      </c>
      <c r="M1543" s="0" t="n">
        <f aca="false">F1543/E1543</f>
        <v>0.0105122467674841</v>
      </c>
    </row>
    <row r="1544" customFormat="false" ht="12.8" hidden="false" customHeight="false" outlineLevel="0" collapsed="false">
      <c r="A1544" s="0" t="s">
        <v>2246</v>
      </c>
      <c r="B1544" s="0" t="s">
        <v>2247</v>
      </c>
      <c r="C1544" s="0" t="s">
        <v>15</v>
      </c>
      <c r="D1544" s="0" t="s">
        <v>49</v>
      </c>
      <c r="E1544" s="0" t="n">
        <v>22758.05</v>
      </c>
      <c r="F1544" s="0" t="n">
        <v>163</v>
      </c>
      <c r="G1544" s="0" t="str">
        <f aca="false">IF(F1544&lt;=30,"Current",IF(F1544&lt;=60,"31 to 60 days",IF(F1544&lt;=90,"61 to 90 days",IF(F1544&lt;=120,"91 to 120 days","Over 120 days"))))</f>
        <v>Over 120 days</v>
      </c>
      <c r="H1544" s="0" t="n">
        <f aca="false">VLOOKUP(D1544,Rates!$A$4:$B$7,2,FALSE())</f>
        <v>0.02</v>
      </c>
      <c r="I1544" s="0" t="n">
        <f aca="false">VLOOKUP(F1544,Rates!$D$4:$E$8,2)</f>
        <v>0.85</v>
      </c>
      <c r="J1544" s="0" t="n">
        <f aca="false">ROUND(E1544*I1544,2)</f>
        <v>19344.34</v>
      </c>
      <c r="K1544" s="1" t="n">
        <f aca="false">PV(H1544/12,F1544/30,0,-E1544)</f>
        <v>22553.0635213916</v>
      </c>
      <c r="L1544" s="0" t="n">
        <f aca="false">ROUND(E1544-K1544,2)</f>
        <v>204.99</v>
      </c>
      <c r="M1544" s="0" t="n">
        <f aca="false">F1544/E1544</f>
        <v>0.00716230081224007</v>
      </c>
    </row>
    <row r="1545" customFormat="false" ht="12.8" hidden="false" customHeight="false" outlineLevel="0" collapsed="false">
      <c r="A1545" s="0" t="s">
        <v>2248</v>
      </c>
      <c r="B1545" s="0" t="s">
        <v>247</v>
      </c>
      <c r="C1545" s="0" t="s">
        <v>26</v>
      </c>
      <c r="D1545" s="0" t="s">
        <v>23</v>
      </c>
      <c r="E1545" s="0" t="n">
        <v>18269.09</v>
      </c>
      <c r="F1545" s="0" t="n">
        <v>188</v>
      </c>
      <c r="G1545" s="0" t="str">
        <f aca="false">IF(F1545&lt;=30,"Current",IF(F1545&lt;=60,"31 to 60 days",IF(F1545&lt;=90,"61 to 90 days",IF(F1545&lt;=120,"91 to 120 days","Over 120 days"))))</f>
        <v>Over 120 days</v>
      </c>
      <c r="H1545" s="0" t="n">
        <f aca="false">VLOOKUP(D1545,Rates!$A$4:$B$7,2,FALSE())</f>
        <v>0.115</v>
      </c>
      <c r="I1545" s="0" t="n">
        <f aca="false">VLOOKUP(F1545,Rates!$D$4:$E$8,2)</f>
        <v>0.85</v>
      </c>
      <c r="J1545" s="0" t="n">
        <f aca="false">ROUND(E1545*I1545,2)</f>
        <v>15528.73</v>
      </c>
      <c r="K1545" s="1" t="n">
        <f aca="false">PV(H1545/12,F1545/30,0,-E1545)</f>
        <v>17209.1452995242</v>
      </c>
      <c r="L1545" s="0" t="n">
        <f aca="false">ROUND(E1545-K1545,2)</f>
        <v>1059.94</v>
      </c>
      <c r="M1545" s="0" t="n">
        <f aca="false">F1545/E1545</f>
        <v>0.0102906056076137</v>
      </c>
    </row>
    <row r="1546" customFormat="false" ht="12.8" hidden="false" customHeight="false" outlineLevel="0" collapsed="false">
      <c r="A1546" s="0" t="s">
        <v>2249</v>
      </c>
      <c r="B1546" s="0" t="s">
        <v>2250</v>
      </c>
      <c r="C1546" s="0" t="s">
        <v>31</v>
      </c>
      <c r="D1546" s="0" t="s">
        <v>49</v>
      </c>
      <c r="E1546" s="0" t="n">
        <v>41759.1</v>
      </c>
      <c r="F1546" s="0" t="n">
        <v>109</v>
      </c>
      <c r="G1546" s="0" t="str">
        <f aca="false">IF(F1546&lt;=30,"Current",IF(F1546&lt;=60,"31 to 60 days",IF(F1546&lt;=90,"61 to 90 days",IF(F1546&lt;=120,"91 to 120 days","Over 120 days"))))</f>
        <v>91 to 120 days</v>
      </c>
      <c r="H1546" s="0" t="n">
        <f aca="false">VLOOKUP(D1546,Rates!$A$4:$B$7,2,FALSE())</f>
        <v>0.02</v>
      </c>
      <c r="I1546" s="0" t="n">
        <f aca="false">VLOOKUP(F1546,Rates!$D$4:$E$8,2)</f>
        <v>0.5</v>
      </c>
      <c r="J1546" s="0" t="n">
        <f aca="false">ROUND(E1546*I1546,2)</f>
        <v>20879.55</v>
      </c>
      <c r="K1546" s="1" t="n">
        <f aca="false">PV(H1546/12,F1546/30,0,-E1546)</f>
        <v>41507.1987794613</v>
      </c>
      <c r="L1546" s="0" t="n">
        <f aca="false">ROUND(E1546-K1546,2)</f>
        <v>251.9</v>
      </c>
      <c r="M1546" s="0" t="n">
        <f aca="false">F1546/E1546</f>
        <v>0.00261020951122031</v>
      </c>
    </row>
    <row r="1547" customFormat="false" ht="12.8" hidden="false" customHeight="false" outlineLevel="0" collapsed="false">
      <c r="A1547" s="0" t="s">
        <v>2251</v>
      </c>
      <c r="B1547" s="0" t="s">
        <v>2252</v>
      </c>
      <c r="C1547" s="0" t="s">
        <v>36</v>
      </c>
      <c r="D1547" s="0" t="s">
        <v>16</v>
      </c>
      <c r="E1547" s="0" t="n">
        <v>28144.14</v>
      </c>
      <c r="F1547" s="0" t="n">
        <v>15</v>
      </c>
      <c r="G1547" s="0" t="str">
        <f aca="false">IF(F1547&lt;=30,"Current",IF(F1547&lt;=60,"31 to 60 days",IF(F1547&lt;=90,"61 to 90 days",IF(F1547&lt;=120,"91 to 120 days","Over 120 days"))))</f>
        <v>Current</v>
      </c>
      <c r="H1547" s="0" t="n">
        <f aca="false">VLOOKUP(D1547,Rates!$A$4:$B$7,2,FALSE())</f>
        <v>0.085</v>
      </c>
      <c r="I1547" s="0" t="n">
        <f aca="false">VLOOKUP(F1547,Rates!$D$4:$E$8,2)</f>
        <v>0.02</v>
      </c>
      <c r="J1547" s="0" t="n">
        <f aca="false">ROUND(E1547*I1547,2)</f>
        <v>562.88</v>
      </c>
      <c r="K1547" s="1" t="n">
        <f aca="false">PV(H1547/12,F1547/30,0,-E1547)</f>
        <v>28044.9892659491</v>
      </c>
      <c r="L1547" s="0" t="n">
        <f aca="false">ROUND(E1547-K1547,2)</f>
        <v>99.15</v>
      </c>
      <c r="M1547" s="0" t="n">
        <f aca="false">F1547/E1547</f>
        <v>0.000532970629054574</v>
      </c>
    </row>
    <row r="1548" customFormat="false" ht="12.8" hidden="false" customHeight="false" outlineLevel="0" collapsed="false">
      <c r="A1548" s="0" t="s">
        <v>2253</v>
      </c>
      <c r="B1548" s="0" t="s">
        <v>342</v>
      </c>
      <c r="C1548" s="0" t="s">
        <v>26</v>
      </c>
      <c r="D1548" s="0" t="s">
        <v>23</v>
      </c>
      <c r="E1548" s="0" t="n">
        <v>23884.67</v>
      </c>
      <c r="F1548" s="0" t="n">
        <v>115</v>
      </c>
      <c r="G1548" s="0" t="str">
        <f aca="false">IF(F1548&lt;=30,"Current",IF(F1548&lt;=60,"31 to 60 days",IF(F1548&lt;=90,"61 to 90 days",IF(F1548&lt;=120,"91 to 120 days","Over 120 days"))))</f>
        <v>91 to 120 days</v>
      </c>
      <c r="H1548" s="0" t="n">
        <f aca="false">VLOOKUP(D1548,Rates!$A$4:$B$7,2,FALSE())</f>
        <v>0.115</v>
      </c>
      <c r="I1548" s="0" t="n">
        <f aca="false">VLOOKUP(F1548,Rates!$D$4:$E$8,2)</f>
        <v>0.5</v>
      </c>
      <c r="J1548" s="0" t="n">
        <f aca="false">ROUND(E1548*I1548,2)</f>
        <v>11942.34</v>
      </c>
      <c r="K1548" s="1" t="n">
        <f aca="false">PV(H1548/12,F1548/30,0,-E1548)</f>
        <v>23027.1885817662</v>
      </c>
      <c r="L1548" s="0" t="n">
        <f aca="false">ROUND(E1548-K1548,2)</f>
        <v>857.48</v>
      </c>
      <c r="M1548" s="0" t="n">
        <f aca="false">F1548/E1548</f>
        <v>0.00481480380511851</v>
      </c>
    </row>
    <row r="1549" customFormat="false" ht="12.8" hidden="false" customHeight="false" outlineLevel="0" collapsed="false">
      <c r="A1549" s="0" t="s">
        <v>2254</v>
      </c>
      <c r="B1549" s="0" t="s">
        <v>1958</v>
      </c>
      <c r="C1549" s="0" t="s">
        <v>36</v>
      </c>
      <c r="D1549" s="0" t="s">
        <v>16</v>
      </c>
      <c r="E1549" s="0" t="n">
        <v>37687.77</v>
      </c>
      <c r="F1549" s="0" t="n">
        <v>138</v>
      </c>
      <c r="G1549" s="0" t="str">
        <f aca="false">IF(F1549&lt;=30,"Current",IF(F1549&lt;=60,"31 to 60 days",IF(F1549&lt;=90,"61 to 90 days",IF(F1549&lt;=120,"91 to 120 days","Over 120 days"))))</f>
        <v>Over 120 days</v>
      </c>
      <c r="H1549" s="0" t="n">
        <f aca="false">VLOOKUP(D1549,Rates!$A$4:$B$7,2,FALSE())</f>
        <v>0.085</v>
      </c>
      <c r="I1549" s="0" t="n">
        <f aca="false">VLOOKUP(F1549,Rates!$D$4:$E$8,2)</f>
        <v>0.85</v>
      </c>
      <c r="J1549" s="0" t="n">
        <f aca="false">ROUND(E1549*I1549,2)</f>
        <v>32034.6</v>
      </c>
      <c r="K1549" s="1" t="n">
        <f aca="false">PV(H1549/12,F1549/30,0,-E1549)</f>
        <v>36483.7575366309</v>
      </c>
      <c r="L1549" s="0" t="n">
        <f aca="false">ROUND(E1549-K1549,2)</f>
        <v>1204.01</v>
      </c>
      <c r="M1549" s="0" t="n">
        <f aca="false">F1549/E1549</f>
        <v>0.00366166530946246</v>
      </c>
    </row>
    <row r="1550" customFormat="false" ht="12.8" hidden="false" customHeight="false" outlineLevel="0" collapsed="false">
      <c r="A1550" s="0" t="s">
        <v>2255</v>
      </c>
      <c r="B1550" s="0" t="s">
        <v>441</v>
      </c>
      <c r="C1550" s="0" t="s">
        <v>15</v>
      </c>
      <c r="D1550" s="0" t="s">
        <v>23</v>
      </c>
      <c r="E1550" s="0" t="n">
        <v>24617.27</v>
      </c>
      <c r="F1550" s="0" t="n">
        <v>291</v>
      </c>
      <c r="G1550" s="0" t="str">
        <f aca="false">IF(F1550&lt;=30,"Current",IF(F1550&lt;=60,"31 to 60 days",IF(F1550&lt;=90,"61 to 90 days",IF(F1550&lt;=120,"91 to 120 days","Over 120 days"))))</f>
        <v>Over 120 days</v>
      </c>
      <c r="H1550" s="0" t="n">
        <f aca="false">VLOOKUP(D1550,Rates!$A$4:$B$7,2,FALSE())</f>
        <v>0.115</v>
      </c>
      <c r="I1550" s="0" t="n">
        <f aca="false">VLOOKUP(F1550,Rates!$D$4:$E$8,2)</f>
        <v>0.85</v>
      </c>
      <c r="J1550" s="0" t="n">
        <f aca="false">ROUND(E1550*I1550,2)</f>
        <v>20924.68</v>
      </c>
      <c r="K1550" s="1" t="n">
        <f aca="false">PV(H1550/12,F1550/30,0,-E1550)</f>
        <v>22441.9616790984</v>
      </c>
      <c r="L1550" s="0" t="n">
        <f aca="false">ROUND(E1550-K1550,2)</f>
        <v>2175.31</v>
      </c>
      <c r="M1550" s="0" t="n">
        <f aca="false">F1550/E1550</f>
        <v>0.0118209695876106</v>
      </c>
    </row>
    <row r="1551" customFormat="false" ht="12.8" hidden="false" customHeight="false" outlineLevel="0" collapsed="false">
      <c r="A1551" s="0" t="s">
        <v>2256</v>
      </c>
      <c r="B1551" s="0" t="s">
        <v>2257</v>
      </c>
      <c r="C1551" s="0" t="s">
        <v>36</v>
      </c>
      <c r="D1551" s="0" t="s">
        <v>49</v>
      </c>
      <c r="E1551" s="0" t="n">
        <v>28435.93</v>
      </c>
      <c r="F1551" s="0" t="n">
        <v>6</v>
      </c>
      <c r="G1551" s="0" t="str">
        <f aca="false">IF(F1551&lt;=30,"Current",IF(F1551&lt;=60,"31 to 60 days",IF(F1551&lt;=90,"61 to 90 days",IF(F1551&lt;=120,"91 to 120 days","Over 120 days"))))</f>
        <v>Current</v>
      </c>
      <c r="H1551" s="0" t="n">
        <f aca="false">VLOOKUP(D1551,Rates!$A$4:$B$7,2,FALSE())</f>
        <v>0.02</v>
      </c>
      <c r="I1551" s="0" t="n">
        <f aca="false">VLOOKUP(F1551,Rates!$D$4:$E$8,2)</f>
        <v>0.02</v>
      </c>
      <c r="J1551" s="0" t="n">
        <f aca="false">ROUND(E1551*I1551,2)</f>
        <v>568.72</v>
      </c>
      <c r="K1551" s="1" t="n">
        <f aca="false">PV(H1551/12,F1551/30,0,-E1551)</f>
        <v>28426.4608237404</v>
      </c>
      <c r="L1551" s="0" t="n">
        <f aca="false">ROUND(E1551-K1551,2)</f>
        <v>9.47</v>
      </c>
      <c r="M1551" s="0" t="n">
        <f aca="false">F1551/E1551</f>
        <v>0.000211000660080398</v>
      </c>
    </row>
    <row r="1552" customFormat="false" ht="12.8" hidden="false" customHeight="false" outlineLevel="0" collapsed="false">
      <c r="A1552" s="0" t="s">
        <v>2258</v>
      </c>
      <c r="B1552" s="0" t="s">
        <v>2259</v>
      </c>
      <c r="C1552" s="0" t="s">
        <v>19</v>
      </c>
      <c r="D1552" s="0" t="s">
        <v>49</v>
      </c>
      <c r="E1552" s="0" t="n">
        <v>31630.64</v>
      </c>
      <c r="F1552" s="0" t="n">
        <v>348</v>
      </c>
      <c r="G1552" s="0" t="str">
        <f aca="false">IF(F1552&lt;=30,"Current",IF(F1552&lt;=60,"31 to 60 days",IF(F1552&lt;=90,"61 to 90 days",IF(F1552&lt;=120,"91 to 120 days","Over 120 days"))))</f>
        <v>Over 120 days</v>
      </c>
      <c r="H1552" s="0" t="n">
        <f aca="false">VLOOKUP(D1552,Rates!$A$4:$B$7,2,FALSE())</f>
        <v>0.02</v>
      </c>
      <c r="I1552" s="0" t="n">
        <f aca="false">VLOOKUP(F1552,Rates!$D$4:$E$8,2)</f>
        <v>0.85</v>
      </c>
      <c r="J1552" s="0" t="n">
        <f aca="false">ROUND(E1552*I1552,2)</f>
        <v>26886.04</v>
      </c>
      <c r="K1552" s="1" t="n">
        <f aca="false">PV(H1552/12,F1552/30,0,-E1552)</f>
        <v>31025.4870924821</v>
      </c>
      <c r="L1552" s="0" t="n">
        <f aca="false">ROUND(E1552-K1552,2)</f>
        <v>605.15</v>
      </c>
      <c r="M1552" s="0" t="n">
        <f aca="false">F1552/E1552</f>
        <v>0.0110019904750584</v>
      </c>
    </row>
    <row r="1553" customFormat="false" ht="12.8" hidden="false" customHeight="false" outlineLevel="0" collapsed="false">
      <c r="A1553" s="0" t="s">
        <v>2260</v>
      </c>
      <c r="B1553" s="0" t="s">
        <v>2261</v>
      </c>
      <c r="C1553" s="0" t="s">
        <v>42</v>
      </c>
      <c r="D1553" s="0" t="s">
        <v>16</v>
      </c>
      <c r="E1553" s="0" t="n">
        <v>0</v>
      </c>
      <c r="F1553" s="0" t="n">
        <v>261</v>
      </c>
      <c r="G1553" s="0" t="str">
        <f aca="false">IF(F1553&lt;=30,"Current",IF(F1553&lt;=60,"31 to 60 days",IF(F1553&lt;=90,"61 to 90 days",IF(F1553&lt;=120,"91 to 120 days","Over 120 days"))))</f>
        <v>Over 120 days</v>
      </c>
      <c r="H1553" s="0" t="n">
        <f aca="false">VLOOKUP(D1553,Rates!$A$4:$B$7,2,FALSE())</f>
        <v>0.085</v>
      </c>
      <c r="I1553" s="0" t="n">
        <f aca="false">VLOOKUP(F1553,Rates!$D$4:$E$8,2)</f>
        <v>0.85</v>
      </c>
      <c r="J1553" s="0" t="n">
        <f aca="false">ROUND(E1553*I1553,2)</f>
        <v>0</v>
      </c>
      <c r="K1553" s="1" t="n">
        <f aca="false">PV(H1553/12,F1553/30,0,-E1553)</f>
        <v>-0</v>
      </c>
      <c r="L1553" s="0" t="n">
        <f aca="false">ROUND(E1553-K1553,2)</f>
        <v>0</v>
      </c>
      <c r="M1553" s="0" t="e">
        <f aca="false">F1553/E1553</f>
        <v>#DIV/0!</v>
      </c>
    </row>
    <row r="1554" customFormat="false" ht="12.8" hidden="false" customHeight="false" outlineLevel="0" collapsed="false">
      <c r="A1554" s="0" t="s">
        <v>2262</v>
      </c>
      <c r="B1554" s="0" t="s">
        <v>2263</v>
      </c>
      <c r="C1554" s="0" t="s">
        <v>31</v>
      </c>
      <c r="D1554" s="0" t="s">
        <v>16</v>
      </c>
      <c r="E1554" s="0" t="n">
        <v>9371.3</v>
      </c>
      <c r="F1554" s="0" t="n">
        <v>12</v>
      </c>
      <c r="G1554" s="0" t="str">
        <f aca="false">IF(F1554&lt;=30,"Current",IF(F1554&lt;=60,"31 to 60 days",IF(F1554&lt;=90,"61 to 90 days",IF(F1554&lt;=120,"91 to 120 days","Over 120 days"))))</f>
        <v>Current</v>
      </c>
      <c r="H1554" s="0" t="n">
        <f aca="false">VLOOKUP(D1554,Rates!$A$4:$B$7,2,FALSE())</f>
        <v>0.085</v>
      </c>
      <c r="I1554" s="0" t="n">
        <f aca="false">VLOOKUP(F1554,Rates!$D$4:$E$8,2)</f>
        <v>0.02</v>
      </c>
      <c r="J1554" s="0" t="n">
        <f aca="false">ROUND(E1554*I1554,2)</f>
        <v>187.43</v>
      </c>
      <c r="K1554" s="1" t="n">
        <f aca="false">PV(H1554/12,F1554/30,0,-E1554)</f>
        <v>9344.87889550868</v>
      </c>
      <c r="L1554" s="0" t="n">
        <f aca="false">ROUND(E1554-K1554,2)</f>
        <v>26.42</v>
      </c>
      <c r="M1554" s="0" t="n">
        <f aca="false">F1554/E1554</f>
        <v>0.00128050537278713</v>
      </c>
    </row>
    <row r="1555" customFormat="false" ht="12.8" hidden="false" customHeight="false" outlineLevel="0" collapsed="false">
      <c r="A1555" s="0" t="s">
        <v>2264</v>
      </c>
      <c r="B1555" s="0" t="s">
        <v>97</v>
      </c>
      <c r="C1555" s="0" t="s">
        <v>42</v>
      </c>
      <c r="D1555" s="0" t="s">
        <v>20</v>
      </c>
      <c r="E1555" s="0" t="n">
        <v>28165.01</v>
      </c>
      <c r="F1555" s="0" t="n">
        <v>281</v>
      </c>
      <c r="G1555" s="0" t="str">
        <f aca="false">IF(F1555&lt;=30,"Current",IF(F1555&lt;=60,"31 to 60 days",IF(F1555&lt;=90,"61 to 90 days",IF(F1555&lt;=120,"91 to 120 days","Over 120 days"))))</f>
        <v>Over 120 days</v>
      </c>
      <c r="H1555" s="0" t="n">
        <f aca="false">VLOOKUP(D1555,Rates!$A$4:$B$7,2,FALSE())</f>
        <v>0.05</v>
      </c>
      <c r="I1555" s="0" t="n">
        <f aca="false">VLOOKUP(F1555,Rates!$D$4:$E$8,2)</f>
        <v>0.85</v>
      </c>
      <c r="J1555" s="0" t="n">
        <f aca="false">ROUND(E1555*I1555,2)</f>
        <v>23940.26</v>
      </c>
      <c r="K1555" s="1" t="n">
        <f aca="false">PV(H1555/12,F1555/30,0,-E1555)</f>
        <v>27089.1622883229</v>
      </c>
      <c r="L1555" s="0" t="n">
        <f aca="false">ROUND(E1555-K1555,2)</f>
        <v>1075.85</v>
      </c>
      <c r="M1555" s="0" t="n">
        <f aca="false">F1555/E1555</f>
        <v>0.00997691816903314</v>
      </c>
    </row>
    <row r="1556" customFormat="false" ht="12.8" hidden="false" customHeight="false" outlineLevel="0" collapsed="false">
      <c r="A1556" s="0" t="s">
        <v>2265</v>
      </c>
      <c r="B1556" s="0" t="s">
        <v>1682</v>
      </c>
      <c r="C1556" s="0" t="s">
        <v>42</v>
      </c>
      <c r="D1556" s="0" t="s">
        <v>49</v>
      </c>
      <c r="E1556" s="0" t="n">
        <v>17803.06</v>
      </c>
      <c r="F1556" s="0" t="n">
        <v>395</v>
      </c>
      <c r="G1556" s="0" t="str">
        <f aca="false">IF(F1556&lt;=30,"Current",IF(F1556&lt;=60,"31 to 60 days",IF(F1556&lt;=90,"61 to 90 days",IF(F1556&lt;=120,"91 to 120 days","Over 120 days"))))</f>
        <v>Over 120 days</v>
      </c>
      <c r="H1556" s="0" t="n">
        <f aca="false">VLOOKUP(D1556,Rates!$A$4:$B$7,2,FALSE())</f>
        <v>0.02</v>
      </c>
      <c r="I1556" s="0" t="n">
        <f aca="false">VLOOKUP(F1556,Rates!$D$4:$E$8,2)</f>
        <v>0.85</v>
      </c>
      <c r="J1556" s="0" t="n">
        <f aca="false">ROUND(E1556*I1556,2)</f>
        <v>15132.6</v>
      </c>
      <c r="K1556" s="1" t="n">
        <f aca="false">PV(H1556/12,F1556/30,0,-E1556)</f>
        <v>17416.9553112562</v>
      </c>
      <c r="L1556" s="0" t="n">
        <f aca="false">ROUND(E1556-K1556,2)</f>
        <v>386.1</v>
      </c>
      <c r="M1556" s="0" t="n">
        <f aca="false">F1556/E1556</f>
        <v>0.0221871970324203</v>
      </c>
    </row>
    <row r="1557" customFormat="false" ht="12.8" hidden="false" customHeight="false" outlineLevel="0" collapsed="false">
      <c r="A1557" s="0" t="s">
        <v>2266</v>
      </c>
      <c r="B1557" s="0" t="s">
        <v>2267</v>
      </c>
      <c r="C1557" s="0" t="s">
        <v>36</v>
      </c>
      <c r="D1557" s="0" t="s">
        <v>49</v>
      </c>
      <c r="E1557" s="0" t="n">
        <v>6741.34</v>
      </c>
      <c r="F1557" s="0" t="n">
        <v>382</v>
      </c>
      <c r="G1557" s="0" t="str">
        <f aca="false">IF(F1557&lt;=30,"Current",IF(F1557&lt;=60,"31 to 60 days",IF(F1557&lt;=90,"61 to 90 days",IF(F1557&lt;=120,"91 to 120 days","Over 120 days"))))</f>
        <v>Over 120 days</v>
      </c>
      <c r="H1557" s="0" t="n">
        <f aca="false">VLOOKUP(D1557,Rates!$A$4:$B$7,2,FALSE())</f>
        <v>0.02</v>
      </c>
      <c r="I1557" s="0" t="n">
        <f aca="false">VLOOKUP(F1557,Rates!$D$4:$E$8,2)</f>
        <v>0.85</v>
      </c>
      <c r="J1557" s="0" t="n">
        <f aca="false">ROUND(E1557*I1557,2)</f>
        <v>5730.14</v>
      </c>
      <c r="K1557" s="1" t="n">
        <f aca="false">PV(H1557/12,F1557/30,0,-E1557)</f>
        <v>6599.89778345526</v>
      </c>
      <c r="L1557" s="0" t="n">
        <f aca="false">ROUND(E1557-K1557,2)</f>
        <v>141.44</v>
      </c>
      <c r="M1557" s="0" t="n">
        <f aca="false">F1557/E1557</f>
        <v>0.0566652920635957</v>
      </c>
    </row>
    <row r="1558" customFormat="false" ht="12.8" hidden="false" customHeight="false" outlineLevel="0" collapsed="false">
      <c r="A1558" s="0" t="s">
        <v>2268</v>
      </c>
      <c r="B1558" s="0" t="s">
        <v>18</v>
      </c>
      <c r="C1558" s="0" t="s">
        <v>19</v>
      </c>
      <c r="D1558" s="0" t="s">
        <v>20</v>
      </c>
      <c r="E1558" s="0" t="n">
        <v>41173.99</v>
      </c>
      <c r="F1558" s="0" t="n">
        <v>253</v>
      </c>
      <c r="G1558" s="0" t="str">
        <f aca="false">IF(F1558&lt;=30,"Current",IF(F1558&lt;=60,"31 to 60 days",IF(F1558&lt;=90,"61 to 90 days",IF(F1558&lt;=120,"91 to 120 days","Over 120 days"))))</f>
        <v>Over 120 days</v>
      </c>
      <c r="H1558" s="0" t="n">
        <f aca="false">VLOOKUP(D1558,Rates!$A$4:$B$7,2,FALSE())</f>
        <v>0.05</v>
      </c>
      <c r="I1558" s="0" t="n">
        <f aca="false">VLOOKUP(F1558,Rates!$D$4:$E$8,2)</f>
        <v>0.85</v>
      </c>
      <c r="J1558" s="0" t="n">
        <f aca="false">ROUND(E1558*I1558,2)</f>
        <v>34997.89</v>
      </c>
      <c r="K1558" s="1" t="n">
        <f aca="false">PV(H1558/12,F1558/30,0,-E1558)</f>
        <v>39755.2083714037</v>
      </c>
      <c r="L1558" s="0" t="n">
        <f aca="false">ROUND(E1558-K1558,2)</f>
        <v>1418.78</v>
      </c>
      <c r="M1558" s="0" t="n">
        <f aca="false">F1558/E1558</f>
        <v>0.00614465588591244</v>
      </c>
    </row>
    <row r="1559" customFormat="false" ht="12.8" hidden="false" customHeight="false" outlineLevel="0" collapsed="false">
      <c r="A1559" s="0" t="s">
        <v>2269</v>
      </c>
      <c r="B1559" s="0" t="s">
        <v>205</v>
      </c>
      <c r="C1559" s="0" t="s">
        <v>42</v>
      </c>
      <c r="D1559" s="0" t="s">
        <v>23</v>
      </c>
      <c r="E1559" s="0" t="n">
        <v>10874.71</v>
      </c>
      <c r="F1559" s="0" t="n">
        <v>158</v>
      </c>
      <c r="G1559" s="0" t="str">
        <f aca="false">IF(F1559&lt;=30,"Current",IF(F1559&lt;=60,"31 to 60 days",IF(F1559&lt;=90,"61 to 90 days",IF(F1559&lt;=120,"91 to 120 days","Over 120 days"))))</f>
        <v>Over 120 days</v>
      </c>
      <c r="H1559" s="0" t="n">
        <f aca="false">VLOOKUP(D1559,Rates!$A$4:$B$7,2,FALSE())</f>
        <v>0.115</v>
      </c>
      <c r="I1559" s="0" t="n">
        <f aca="false">VLOOKUP(F1559,Rates!$D$4:$E$8,2)</f>
        <v>0.85</v>
      </c>
      <c r="J1559" s="0" t="n">
        <f aca="false">ROUND(E1559*I1559,2)</f>
        <v>9243.5</v>
      </c>
      <c r="K1559" s="1" t="n">
        <f aca="false">PV(H1559/12,F1559/30,0,-E1559)</f>
        <v>10341.9454534841</v>
      </c>
      <c r="L1559" s="0" t="n">
        <f aca="false">ROUND(E1559-K1559,2)</f>
        <v>532.76</v>
      </c>
      <c r="M1559" s="0" t="n">
        <f aca="false">F1559/E1559</f>
        <v>0.0145291230754659</v>
      </c>
    </row>
    <row r="1560" customFormat="false" ht="12.8" hidden="false" customHeight="false" outlineLevel="0" collapsed="false">
      <c r="A1560" s="0" t="s">
        <v>2270</v>
      </c>
      <c r="B1560" s="0" t="s">
        <v>28</v>
      </c>
      <c r="C1560" s="0" t="s">
        <v>15</v>
      </c>
      <c r="D1560" s="0" t="s">
        <v>20</v>
      </c>
      <c r="E1560" s="0" t="n">
        <v>6373.15</v>
      </c>
      <c r="F1560" s="0" t="n">
        <v>58</v>
      </c>
      <c r="G1560" s="0" t="str">
        <f aca="false">IF(F1560&lt;=30,"Current",IF(F1560&lt;=60,"31 to 60 days",IF(F1560&lt;=90,"61 to 90 days",IF(F1560&lt;=120,"91 to 120 days","Over 120 days"))))</f>
        <v>31 to 60 days</v>
      </c>
      <c r="H1560" s="0" t="n">
        <f aca="false">VLOOKUP(D1560,Rates!$A$4:$B$7,2,FALSE())</f>
        <v>0.05</v>
      </c>
      <c r="I1560" s="0" t="n">
        <f aca="false">VLOOKUP(F1560,Rates!$D$4:$E$8,2)</f>
        <v>0.1</v>
      </c>
      <c r="J1560" s="0" t="n">
        <f aca="false">ROUND(E1560*I1560,2)</f>
        <v>637.32</v>
      </c>
      <c r="K1560" s="1" t="n">
        <f aca="false">PV(H1560/12,F1560/30,0,-E1560)</f>
        <v>6322.12277087185</v>
      </c>
      <c r="L1560" s="0" t="n">
        <f aca="false">ROUND(E1560-K1560,2)</f>
        <v>51.03</v>
      </c>
      <c r="M1560" s="0" t="n">
        <f aca="false">F1560/E1560</f>
        <v>0.00910068019739062</v>
      </c>
    </row>
    <row r="1561" customFormat="false" ht="12.8" hidden="false" customHeight="false" outlineLevel="0" collapsed="false">
      <c r="A1561" s="0" t="s">
        <v>2271</v>
      </c>
      <c r="B1561" s="0" t="s">
        <v>30</v>
      </c>
      <c r="C1561" s="0" t="s">
        <v>31</v>
      </c>
      <c r="D1561" s="0" t="s">
        <v>20</v>
      </c>
      <c r="E1561" s="0" t="n">
        <v>38073.78</v>
      </c>
      <c r="F1561" s="0" t="n">
        <v>251</v>
      </c>
      <c r="G1561" s="0" t="str">
        <f aca="false">IF(F1561&lt;=30,"Current",IF(F1561&lt;=60,"31 to 60 days",IF(F1561&lt;=90,"61 to 90 days",IF(F1561&lt;=120,"91 to 120 days","Over 120 days"))))</f>
        <v>Over 120 days</v>
      </c>
      <c r="H1561" s="0" t="n">
        <f aca="false">VLOOKUP(D1561,Rates!$A$4:$B$7,2,FALSE())</f>
        <v>0.05</v>
      </c>
      <c r="I1561" s="0" t="n">
        <f aca="false">VLOOKUP(F1561,Rates!$D$4:$E$8,2)</f>
        <v>0.85</v>
      </c>
      <c r="J1561" s="0" t="n">
        <f aca="false">ROUND(E1561*I1561,2)</f>
        <v>32362.71</v>
      </c>
      <c r="K1561" s="1" t="n">
        <f aca="false">PV(H1561/12,F1561/30,0,-E1561)</f>
        <v>36772.0178466896</v>
      </c>
      <c r="L1561" s="0" t="n">
        <f aca="false">ROUND(E1561-K1561,2)</f>
        <v>1301.76</v>
      </c>
      <c r="M1561" s="0" t="n">
        <f aca="false">F1561/E1561</f>
        <v>0.00659246336980463</v>
      </c>
    </row>
    <row r="1562" customFormat="false" ht="12.8" hidden="false" customHeight="false" outlineLevel="0" collapsed="false">
      <c r="A1562" s="0" t="s">
        <v>2272</v>
      </c>
      <c r="B1562" s="0" t="s">
        <v>186</v>
      </c>
      <c r="C1562" s="0" t="s">
        <v>31</v>
      </c>
      <c r="D1562" s="0" t="s">
        <v>23</v>
      </c>
      <c r="E1562" s="0" t="n">
        <v>394.38</v>
      </c>
      <c r="F1562" s="0" t="n">
        <v>160</v>
      </c>
      <c r="G1562" s="0" t="str">
        <f aca="false">IF(F1562&lt;=30,"Current",IF(F1562&lt;=60,"31 to 60 days",IF(F1562&lt;=90,"61 to 90 days",IF(F1562&lt;=120,"91 to 120 days","Over 120 days"))))</f>
        <v>Over 120 days</v>
      </c>
      <c r="H1562" s="0" t="n">
        <f aca="false">VLOOKUP(D1562,Rates!$A$4:$B$7,2,FALSE())</f>
        <v>0.115</v>
      </c>
      <c r="I1562" s="0" t="n">
        <f aca="false">VLOOKUP(F1562,Rates!$D$4:$E$8,2)</f>
        <v>0.85</v>
      </c>
      <c r="J1562" s="0" t="n">
        <f aca="false">ROUND(E1562*I1562,2)</f>
        <v>335.22</v>
      </c>
      <c r="K1562" s="1" t="n">
        <f aca="false">PV(H1562/12,F1562/30,0,-E1562)</f>
        <v>374.820466104227</v>
      </c>
      <c r="L1562" s="0" t="n">
        <f aca="false">ROUND(E1562-K1562,2)</f>
        <v>19.56</v>
      </c>
      <c r="M1562" s="0" t="n">
        <f aca="false">F1562/E1562</f>
        <v>0.405700086211268</v>
      </c>
    </row>
    <row r="1563" customFormat="false" ht="12.8" hidden="false" customHeight="false" outlineLevel="0" collapsed="false">
      <c r="A1563" s="0" t="s">
        <v>2273</v>
      </c>
      <c r="B1563" s="0" t="s">
        <v>2274</v>
      </c>
      <c r="C1563" s="0" t="s">
        <v>36</v>
      </c>
      <c r="D1563" s="0" t="s">
        <v>16</v>
      </c>
      <c r="E1563" s="0" t="n">
        <v>38333.54</v>
      </c>
      <c r="F1563" s="0" t="n">
        <v>120</v>
      </c>
      <c r="G1563" s="0" t="str">
        <f aca="false">IF(F1563&lt;=30,"Current",IF(F1563&lt;=60,"31 to 60 days",IF(F1563&lt;=90,"61 to 90 days",IF(F1563&lt;=120,"91 to 120 days","Over 120 days"))))</f>
        <v>91 to 120 days</v>
      </c>
      <c r="H1563" s="0" t="n">
        <f aca="false">VLOOKUP(D1563,Rates!$A$4:$B$7,2,FALSE())</f>
        <v>0.085</v>
      </c>
      <c r="I1563" s="0" t="n">
        <f aca="false">VLOOKUP(F1563,Rates!$D$4:$E$8,2)</f>
        <v>0.5</v>
      </c>
      <c r="J1563" s="0" t="n">
        <f aca="false">ROUND(E1563*I1563,2)</f>
        <v>19166.77</v>
      </c>
      <c r="K1563" s="1" t="n">
        <f aca="false">PV(H1563/12,F1563/30,0,-E1563)</f>
        <v>37266.3872222088</v>
      </c>
      <c r="L1563" s="0" t="n">
        <f aca="false">ROUND(E1563-K1563,2)</f>
        <v>1067.15</v>
      </c>
      <c r="M1563" s="0" t="n">
        <f aca="false">F1563/E1563</f>
        <v>0.00313041790557303</v>
      </c>
    </row>
    <row r="1564" customFormat="false" ht="12.8" hidden="false" customHeight="false" outlineLevel="0" collapsed="false">
      <c r="A1564" s="0" t="s">
        <v>2275</v>
      </c>
      <c r="B1564" s="0" t="s">
        <v>2218</v>
      </c>
      <c r="C1564" s="0" t="s">
        <v>31</v>
      </c>
      <c r="D1564" s="0" t="s">
        <v>49</v>
      </c>
      <c r="E1564" s="0" t="n">
        <v>7320.14</v>
      </c>
      <c r="F1564" s="0" t="n">
        <v>261</v>
      </c>
      <c r="G1564" s="0" t="str">
        <f aca="false">IF(F1564&lt;=30,"Current",IF(F1564&lt;=60,"31 to 60 days",IF(F1564&lt;=90,"61 to 90 days",IF(F1564&lt;=120,"91 to 120 days","Over 120 days"))))</f>
        <v>Over 120 days</v>
      </c>
      <c r="H1564" s="0" t="n">
        <f aca="false">VLOOKUP(D1564,Rates!$A$4:$B$7,2,FALSE())</f>
        <v>0.02</v>
      </c>
      <c r="I1564" s="0" t="n">
        <f aca="false">VLOOKUP(F1564,Rates!$D$4:$E$8,2)</f>
        <v>0.85</v>
      </c>
      <c r="J1564" s="0" t="n">
        <f aca="false">ROUND(E1564*I1564,2)</f>
        <v>6222.12</v>
      </c>
      <c r="K1564" s="1" t="n">
        <f aca="false">PV(H1564/12,F1564/30,0,-E1564)</f>
        <v>7214.85087594507</v>
      </c>
      <c r="L1564" s="0" t="n">
        <f aca="false">ROUND(E1564-K1564,2)</f>
        <v>105.29</v>
      </c>
      <c r="M1564" s="0" t="n">
        <f aca="false">F1564/E1564</f>
        <v>0.0356550557776217</v>
      </c>
    </row>
    <row r="1565" customFormat="false" ht="12.8" hidden="false" customHeight="false" outlineLevel="0" collapsed="false">
      <c r="A1565" s="0" t="s">
        <v>2276</v>
      </c>
      <c r="B1565" s="0" t="s">
        <v>2277</v>
      </c>
      <c r="C1565" s="0" t="s">
        <v>31</v>
      </c>
      <c r="D1565" s="0" t="s">
        <v>49</v>
      </c>
      <c r="E1565" s="0" t="n">
        <v>14525.59</v>
      </c>
      <c r="F1565" s="0" t="n">
        <v>399</v>
      </c>
      <c r="G1565" s="0" t="str">
        <f aca="false">IF(F1565&lt;=30,"Current",IF(F1565&lt;=60,"31 to 60 days",IF(F1565&lt;=90,"61 to 90 days",IF(F1565&lt;=120,"91 to 120 days","Over 120 days"))))</f>
        <v>Over 120 days</v>
      </c>
      <c r="H1565" s="0" t="n">
        <f aca="false">VLOOKUP(D1565,Rates!$A$4:$B$7,2,FALSE())</f>
        <v>0.02</v>
      </c>
      <c r="I1565" s="0" t="n">
        <f aca="false">VLOOKUP(F1565,Rates!$D$4:$E$8,2)</f>
        <v>0.85</v>
      </c>
      <c r="J1565" s="0" t="n">
        <f aca="false">ROUND(E1565*I1565,2)</f>
        <v>12346.75</v>
      </c>
      <c r="K1565" s="1" t="n">
        <f aca="false">PV(H1565/12,F1565/30,0,-E1565)</f>
        <v>14207.4106692281</v>
      </c>
      <c r="L1565" s="0" t="n">
        <f aca="false">ROUND(E1565-K1565,2)</f>
        <v>318.18</v>
      </c>
      <c r="M1565" s="0" t="n">
        <f aca="false">F1565/E1565</f>
        <v>0.0274687637472901</v>
      </c>
    </row>
    <row r="1566" customFormat="false" ht="12.8" hidden="false" customHeight="false" outlineLevel="0" collapsed="false">
      <c r="A1566" s="0" t="s">
        <v>2278</v>
      </c>
      <c r="B1566" s="0" t="s">
        <v>2279</v>
      </c>
      <c r="C1566" s="0" t="s">
        <v>31</v>
      </c>
      <c r="D1566" s="0" t="s">
        <v>16</v>
      </c>
      <c r="E1566" s="0" t="n">
        <v>34761.49</v>
      </c>
      <c r="F1566" s="0" t="n">
        <v>200</v>
      </c>
      <c r="G1566" s="0" t="str">
        <f aca="false">IF(F1566&lt;=30,"Current",IF(F1566&lt;=60,"31 to 60 days",IF(F1566&lt;=90,"61 to 90 days",IF(F1566&lt;=120,"91 to 120 days","Over 120 days"))))</f>
        <v>Over 120 days</v>
      </c>
      <c r="H1566" s="0" t="n">
        <f aca="false">VLOOKUP(D1566,Rates!$A$4:$B$7,2,FALSE())</f>
        <v>0.085</v>
      </c>
      <c r="I1566" s="0" t="n">
        <f aca="false">VLOOKUP(F1566,Rates!$D$4:$E$8,2)</f>
        <v>0.85</v>
      </c>
      <c r="J1566" s="0" t="n">
        <f aca="false">ROUND(E1566*I1566,2)</f>
        <v>29547.27</v>
      </c>
      <c r="K1566" s="1" t="n">
        <f aca="false">PV(H1566/12,F1566/30,0,-E1566)</f>
        <v>33163.6501925286</v>
      </c>
      <c r="L1566" s="0" t="n">
        <f aca="false">ROUND(E1566-K1566,2)</f>
        <v>1597.84</v>
      </c>
      <c r="M1566" s="0" t="n">
        <f aca="false">F1566/E1566</f>
        <v>0.00575349330537903</v>
      </c>
    </row>
    <row r="1567" customFormat="false" ht="12.8" hidden="false" customHeight="false" outlineLevel="0" collapsed="false">
      <c r="A1567" s="0" t="s">
        <v>2280</v>
      </c>
      <c r="B1567" s="0" t="s">
        <v>48</v>
      </c>
      <c r="C1567" s="0" t="s">
        <v>15</v>
      </c>
      <c r="D1567" s="0" t="s">
        <v>16</v>
      </c>
      <c r="E1567" s="0" t="n">
        <v>40979.56</v>
      </c>
      <c r="F1567" s="0" t="n">
        <v>184</v>
      </c>
      <c r="G1567" s="0" t="str">
        <f aca="false">IF(F1567&lt;=30,"Current",IF(F1567&lt;=60,"31 to 60 days",IF(F1567&lt;=90,"61 to 90 days",IF(F1567&lt;=120,"91 to 120 days","Over 120 days"))))</f>
        <v>Over 120 days</v>
      </c>
      <c r="H1567" s="0" t="n">
        <f aca="false">VLOOKUP(D1567,Rates!$A$4:$B$7,2,FALSE())</f>
        <v>0.085</v>
      </c>
      <c r="I1567" s="0" t="n">
        <f aca="false">VLOOKUP(F1567,Rates!$D$4:$E$8,2)</f>
        <v>0.85</v>
      </c>
      <c r="J1567" s="0" t="n">
        <f aca="false">ROUND(E1567*I1567,2)</f>
        <v>34832.63</v>
      </c>
      <c r="K1567" s="1" t="n">
        <f aca="false">PV(H1567/12,F1567/30,0,-E1567)</f>
        <v>39243.353972687</v>
      </c>
      <c r="L1567" s="0" t="n">
        <f aca="false">ROUND(E1567-K1567,2)</f>
        <v>1736.21</v>
      </c>
      <c r="M1567" s="0" t="n">
        <f aca="false">F1567/E1567</f>
        <v>0.00449004332891812</v>
      </c>
    </row>
    <row r="1568" customFormat="false" ht="12.8" hidden="false" customHeight="false" outlineLevel="0" collapsed="false">
      <c r="A1568" s="0" t="s">
        <v>2281</v>
      </c>
      <c r="B1568" s="0" t="s">
        <v>281</v>
      </c>
      <c r="C1568" s="0" t="s">
        <v>42</v>
      </c>
      <c r="D1568" s="0" t="s">
        <v>16</v>
      </c>
      <c r="E1568" s="0" t="n">
        <v>31297.2</v>
      </c>
      <c r="F1568" s="0" t="n">
        <v>358</v>
      </c>
      <c r="G1568" s="0" t="str">
        <f aca="false">IF(F1568&lt;=30,"Current",IF(F1568&lt;=60,"31 to 60 days",IF(F1568&lt;=90,"61 to 90 days",IF(F1568&lt;=120,"91 to 120 days","Over 120 days"))))</f>
        <v>Over 120 days</v>
      </c>
      <c r="H1568" s="0" t="n">
        <f aca="false">VLOOKUP(D1568,Rates!$A$4:$B$7,2,FALSE())</f>
        <v>0.085</v>
      </c>
      <c r="I1568" s="0" t="n">
        <f aca="false">VLOOKUP(F1568,Rates!$D$4:$E$8,2)</f>
        <v>0.85</v>
      </c>
      <c r="J1568" s="0" t="n">
        <f aca="false">ROUND(E1568*I1568,2)</f>
        <v>26602.62</v>
      </c>
      <c r="K1568" s="1" t="n">
        <f aca="false">PV(H1568/12,F1568/30,0,-E1568)</f>
        <v>28769.0116042745</v>
      </c>
      <c r="L1568" s="0" t="n">
        <f aca="false">ROUND(E1568-K1568,2)</f>
        <v>2528.19</v>
      </c>
      <c r="M1568" s="0" t="n">
        <f aca="false">F1568/E1568</f>
        <v>0.011438722952852</v>
      </c>
    </row>
    <row r="1569" customFormat="false" ht="12.8" hidden="false" customHeight="false" outlineLevel="0" collapsed="false">
      <c r="A1569" s="0" t="s">
        <v>2282</v>
      </c>
      <c r="B1569" s="0" t="s">
        <v>30</v>
      </c>
      <c r="C1569" s="0" t="s">
        <v>31</v>
      </c>
      <c r="D1569" s="0" t="s">
        <v>20</v>
      </c>
      <c r="E1569" s="0" t="n">
        <v>28209.59</v>
      </c>
      <c r="F1569" s="0" t="n">
        <v>277</v>
      </c>
      <c r="G1569" s="0" t="str">
        <f aca="false">IF(F1569&lt;=30,"Current",IF(F1569&lt;=60,"31 to 60 days",IF(F1569&lt;=90,"61 to 90 days",IF(F1569&lt;=120,"91 to 120 days","Over 120 days"))))</f>
        <v>Over 120 days</v>
      </c>
      <c r="H1569" s="0" t="n">
        <f aca="false">VLOOKUP(D1569,Rates!$A$4:$B$7,2,FALSE())</f>
        <v>0.05</v>
      </c>
      <c r="I1569" s="0" t="n">
        <f aca="false">VLOOKUP(F1569,Rates!$D$4:$E$8,2)</f>
        <v>0.85</v>
      </c>
      <c r="J1569" s="0" t="n">
        <f aca="false">ROUND(E1569*I1569,2)</f>
        <v>23978.15</v>
      </c>
      <c r="K1569" s="1" t="n">
        <f aca="false">PV(H1569/12,F1569/30,0,-E1569)</f>
        <v>27147.0856302414</v>
      </c>
      <c r="L1569" s="0" t="n">
        <f aca="false">ROUND(E1569-K1569,2)</f>
        <v>1062.5</v>
      </c>
      <c r="M1569" s="0" t="n">
        <f aca="false">F1569/E1569</f>
        <v>0.00981935575809503</v>
      </c>
    </row>
    <row r="1570" customFormat="false" ht="12.8" hidden="false" customHeight="false" outlineLevel="0" collapsed="false">
      <c r="A1570" s="0" t="s">
        <v>2283</v>
      </c>
      <c r="B1570" s="0" t="s">
        <v>1777</v>
      </c>
      <c r="C1570" s="0" t="s">
        <v>26</v>
      </c>
      <c r="D1570" s="0" t="s">
        <v>49</v>
      </c>
      <c r="E1570" s="0" t="n">
        <v>22791.72</v>
      </c>
      <c r="F1570" s="0" t="n">
        <v>218</v>
      </c>
      <c r="G1570" s="0" t="str">
        <f aca="false">IF(F1570&lt;=30,"Current",IF(F1570&lt;=60,"31 to 60 days",IF(F1570&lt;=90,"61 to 90 days",IF(F1570&lt;=120,"91 to 120 days","Over 120 days"))))</f>
        <v>Over 120 days</v>
      </c>
      <c r="H1570" s="0" t="n">
        <f aca="false">VLOOKUP(D1570,Rates!$A$4:$B$7,2,FALSE())</f>
        <v>0.02</v>
      </c>
      <c r="I1570" s="0" t="n">
        <f aca="false">VLOOKUP(F1570,Rates!$D$4:$E$8,2)</f>
        <v>0.85</v>
      </c>
      <c r="J1570" s="0" t="n">
        <f aca="false">ROUND(E1570*I1570,2)</f>
        <v>19372.96</v>
      </c>
      <c r="K1570" s="1" t="n">
        <f aca="false">PV(H1570/12,F1570/30,0,-E1570)</f>
        <v>22517.5787599035</v>
      </c>
      <c r="L1570" s="0" t="n">
        <f aca="false">ROUND(E1570-K1570,2)</f>
        <v>274.14</v>
      </c>
      <c r="M1570" s="0" t="n">
        <f aca="false">F1570/E1570</f>
        <v>0.00956487706939187</v>
      </c>
    </row>
    <row r="1571" customFormat="false" ht="12.8" hidden="false" customHeight="false" outlineLevel="0" collapsed="false">
      <c r="A1571" s="0" t="s">
        <v>2284</v>
      </c>
      <c r="B1571" s="0" t="s">
        <v>2285</v>
      </c>
      <c r="C1571" s="0" t="s">
        <v>26</v>
      </c>
      <c r="D1571" s="0" t="s">
        <v>16</v>
      </c>
      <c r="E1571" s="0" t="n">
        <v>4558.24</v>
      </c>
      <c r="F1571" s="0" t="n">
        <v>19</v>
      </c>
      <c r="G1571" s="0" t="str">
        <f aca="false">IF(F1571&lt;=30,"Current",IF(F1571&lt;=60,"31 to 60 days",IF(F1571&lt;=90,"61 to 90 days",IF(F1571&lt;=120,"91 to 120 days","Over 120 days"))))</f>
        <v>Current</v>
      </c>
      <c r="H1571" s="0" t="n">
        <f aca="false">VLOOKUP(D1571,Rates!$A$4:$B$7,2,FALSE())</f>
        <v>0.085</v>
      </c>
      <c r="I1571" s="0" t="n">
        <f aca="false">VLOOKUP(F1571,Rates!$D$4:$E$8,2)</f>
        <v>0.02</v>
      </c>
      <c r="J1571" s="0" t="n">
        <f aca="false">ROUND(E1571*I1571,2)</f>
        <v>91.16</v>
      </c>
      <c r="K1571" s="1" t="n">
        <f aca="false">PV(H1571/12,F1571/30,0,-E1571)</f>
        <v>4537.90878856892</v>
      </c>
      <c r="L1571" s="0" t="n">
        <f aca="false">ROUND(E1571-K1571,2)</f>
        <v>20.33</v>
      </c>
      <c r="M1571" s="0" t="n">
        <f aca="false">F1571/E1571</f>
        <v>0.00416827547474464</v>
      </c>
    </row>
    <row r="1572" customFormat="false" ht="12.8" hidden="false" customHeight="false" outlineLevel="0" collapsed="false">
      <c r="A1572" s="0" t="s">
        <v>2286</v>
      </c>
      <c r="B1572" s="0" t="s">
        <v>30</v>
      </c>
      <c r="C1572" s="0" t="s">
        <v>31</v>
      </c>
      <c r="D1572" s="0" t="s">
        <v>20</v>
      </c>
      <c r="E1572" s="0" t="n">
        <v>26796.13</v>
      </c>
      <c r="F1572" s="0" t="n">
        <v>43</v>
      </c>
      <c r="G1572" s="0" t="str">
        <f aca="false">IF(F1572&lt;=30,"Current",IF(F1572&lt;=60,"31 to 60 days",IF(F1572&lt;=90,"61 to 90 days",IF(F1572&lt;=120,"91 to 120 days","Over 120 days"))))</f>
        <v>31 to 60 days</v>
      </c>
      <c r="H1572" s="0" t="n">
        <f aca="false">VLOOKUP(D1572,Rates!$A$4:$B$7,2,FALSE())</f>
        <v>0.05</v>
      </c>
      <c r="I1572" s="0" t="n">
        <f aca="false">VLOOKUP(F1572,Rates!$D$4:$E$8,2)</f>
        <v>0.1</v>
      </c>
      <c r="J1572" s="0" t="n">
        <f aca="false">ROUND(E1572*I1572,2)</f>
        <v>2679.61</v>
      </c>
      <c r="K1572" s="1" t="n">
        <f aca="false">PV(H1572/12,F1572/30,0,-E1572)</f>
        <v>26636.904981726</v>
      </c>
      <c r="L1572" s="0" t="n">
        <f aca="false">ROUND(E1572-K1572,2)</f>
        <v>159.23</v>
      </c>
      <c r="M1572" s="0" t="n">
        <f aca="false">F1572/E1572</f>
        <v>0.0016047093367587</v>
      </c>
    </row>
    <row r="1573" customFormat="false" ht="12.8" hidden="false" customHeight="false" outlineLevel="0" collapsed="false">
      <c r="A1573" s="0" t="s">
        <v>2287</v>
      </c>
      <c r="B1573" s="0" t="s">
        <v>111</v>
      </c>
      <c r="C1573" s="0" t="s">
        <v>19</v>
      </c>
      <c r="D1573" s="0" t="s">
        <v>23</v>
      </c>
      <c r="E1573" s="0" t="n">
        <v>26225.05</v>
      </c>
      <c r="F1573" s="0" t="n">
        <v>380</v>
      </c>
      <c r="G1573" s="0" t="str">
        <f aca="false">IF(F1573&lt;=30,"Current",IF(F1573&lt;=60,"31 to 60 days",IF(F1573&lt;=90,"61 to 90 days",IF(F1573&lt;=120,"91 to 120 days","Over 120 days"))))</f>
        <v>Over 120 days</v>
      </c>
      <c r="H1573" s="0" t="n">
        <f aca="false">VLOOKUP(D1573,Rates!$A$4:$B$7,2,FALSE())</f>
        <v>0.115</v>
      </c>
      <c r="I1573" s="0" t="n">
        <f aca="false">VLOOKUP(F1573,Rates!$D$4:$E$8,2)</f>
        <v>0.85</v>
      </c>
      <c r="J1573" s="0" t="n">
        <f aca="false">ROUND(E1573*I1573,2)</f>
        <v>22291.29</v>
      </c>
      <c r="K1573" s="1" t="n">
        <f aca="false">PV(H1573/12,F1573/30,0,-E1573)</f>
        <v>23240.6787446857</v>
      </c>
      <c r="L1573" s="0" t="n">
        <f aca="false">ROUND(E1573-K1573,2)</f>
        <v>2984.37</v>
      </c>
      <c r="M1573" s="0" t="n">
        <f aca="false">F1573/E1573</f>
        <v>0.0144899628408716</v>
      </c>
    </row>
    <row r="1574" customFormat="false" ht="12.8" hidden="false" customHeight="false" outlineLevel="0" collapsed="false">
      <c r="A1574" s="0" t="s">
        <v>2288</v>
      </c>
      <c r="B1574" s="0" t="s">
        <v>279</v>
      </c>
      <c r="C1574" s="0" t="s">
        <v>42</v>
      </c>
      <c r="D1574" s="0" t="s">
        <v>49</v>
      </c>
      <c r="E1574" s="0" t="n">
        <v>26247.21</v>
      </c>
      <c r="F1574" s="0" t="n">
        <v>320</v>
      </c>
      <c r="G1574" s="0" t="str">
        <f aca="false">IF(F1574&lt;=30,"Current",IF(F1574&lt;=60,"31 to 60 days",IF(F1574&lt;=90,"61 to 90 days",IF(F1574&lt;=120,"91 to 120 days","Over 120 days"))))</f>
        <v>Over 120 days</v>
      </c>
      <c r="H1574" s="0" t="n">
        <f aca="false">VLOOKUP(D1574,Rates!$A$4:$B$7,2,FALSE())</f>
        <v>0.02</v>
      </c>
      <c r="I1574" s="0" t="n">
        <f aca="false">VLOOKUP(F1574,Rates!$D$4:$E$8,2)</f>
        <v>0.85</v>
      </c>
      <c r="J1574" s="0" t="n">
        <f aca="false">ROUND(E1574*I1574,2)</f>
        <v>22310.13</v>
      </c>
      <c r="K1574" s="1" t="n">
        <f aca="false">PV(H1574/12,F1574/30,0,-E1574)</f>
        <v>25785.0977451479</v>
      </c>
      <c r="L1574" s="0" t="n">
        <f aca="false">ROUND(E1574-K1574,2)</f>
        <v>462.11</v>
      </c>
      <c r="M1574" s="0" t="n">
        <f aca="false">F1574/E1574</f>
        <v>0.0121917720016718</v>
      </c>
    </row>
    <row r="1575" customFormat="false" ht="12.8" hidden="false" customHeight="false" outlineLevel="0" collapsed="false">
      <c r="A1575" s="0" t="s">
        <v>2289</v>
      </c>
      <c r="B1575" s="0" t="s">
        <v>28</v>
      </c>
      <c r="C1575" s="0" t="s">
        <v>15</v>
      </c>
      <c r="D1575" s="0" t="s">
        <v>20</v>
      </c>
      <c r="E1575" s="0" t="n">
        <v>35480.26</v>
      </c>
      <c r="F1575" s="0" t="n">
        <v>195</v>
      </c>
      <c r="G1575" s="0" t="str">
        <f aca="false">IF(F1575&lt;=30,"Current",IF(F1575&lt;=60,"31 to 60 days",IF(F1575&lt;=90,"61 to 90 days",IF(F1575&lt;=120,"91 to 120 days","Over 120 days"))))</f>
        <v>Over 120 days</v>
      </c>
      <c r="H1575" s="0" t="n">
        <f aca="false">VLOOKUP(D1575,Rates!$A$4:$B$7,2,FALSE())</f>
        <v>0.05</v>
      </c>
      <c r="I1575" s="0" t="n">
        <f aca="false">VLOOKUP(F1575,Rates!$D$4:$E$8,2)</f>
        <v>0.85</v>
      </c>
      <c r="J1575" s="0" t="n">
        <f aca="false">ROUND(E1575*I1575,2)</f>
        <v>30158.22</v>
      </c>
      <c r="K1575" s="1" t="n">
        <f aca="false">PV(H1575/12,F1575/30,0,-E1575)</f>
        <v>34534.175209734</v>
      </c>
      <c r="L1575" s="0" t="n">
        <f aca="false">ROUND(E1575-K1575,2)</f>
        <v>946.08</v>
      </c>
      <c r="M1575" s="0" t="n">
        <f aca="false">F1575/E1575</f>
        <v>0.00549601383980839</v>
      </c>
    </row>
    <row r="1576" customFormat="false" ht="12.8" hidden="false" customHeight="false" outlineLevel="0" collapsed="false">
      <c r="A1576" s="0" t="s">
        <v>2290</v>
      </c>
      <c r="B1576" s="0" t="s">
        <v>2291</v>
      </c>
      <c r="C1576" s="0" t="s">
        <v>36</v>
      </c>
      <c r="D1576" s="0" t="s">
        <v>16</v>
      </c>
      <c r="E1576" s="0" t="n">
        <v>38253.63</v>
      </c>
      <c r="F1576" s="0" t="n">
        <v>45</v>
      </c>
      <c r="G1576" s="0" t="str">
        <f aca="false">IF(F1576&lt;=30,"Current",IF(F1576&lt;=60,"31 to 60 days",IF(F1576&lt;=90,"61 to 90 days",IF(F1576&lt;=120,"91 to 120 days","Over 120 days"))))</f>
        <v>31 to 60 days</v>
      </c>
      <c r="H1576" s="0" t="n">
        <f aca="false">VLOOKUP(D1576,Rates!$A$4:$B$7,2,FALSE())</f>
        <v>0.085</v>
      </c>
      <c r="I1576" s="0" t="n">
        <f aca="false">VLOOKUP(F1576,Rates!$D$4:$E$8,2)</f>
        <v>0.1</v>
      </c>
      <c r="J1576" s="0" t="n">
        <f aca="false">ROUND(E1576*I1576,2)</f>
        <v>3825.36</v>
      </c>
      <c r="K1576" s="1" t="n">
        <f aca="false">PV(H1576/12,F1576/30,0,-E1576)</f>
        <v>37850.754407064</v>
      </c>
      <c r="L1576" s="0" t="n">
        <f aca="false">ROUND(E1576-K1576,2)</f>
        <v>402.88</v>
      </c>
      <c r="M1576" s="0" t="n">
        <f aca="false">F1576/E1576</f>
        <v>0.0011763589494644</v>
      </c>
    </row>
    <row r="1577" customFormat="false" ht="12.8" hidden="false" customHeight="false" outlineLevel="0" collapsed="false">
      <c r="A1577" s="0" t="s">
        <v>2292</v>
      </c>
      <c r="B1577" s="0" t="s">
        <v>2293</v>
      </c>
      <c r="C1577" s="0" t="s">
        <v>36</v>
      </c>
      <c r="D1577" s="0" t="s">
        <v>49</v>
      </c>
      <c r="E1577" s="0" t="n">
        <v>13844.23</v>
      </c>
      <c r="F1577" s="0" t="n">
        <v>349</v>
      </c>
      <c r="G1577" s="0" t="str">
        <f aca="false">IF(F1577&lt;=30,"Current",IF(F1577&lt;=60,"31 to 60 days",IF(F1577&lt;=90,"61 to 90 days",IF(F1577&lt;=120,"91 to 120 days","Over 120 days"))))</f>
        <v>Over 120 days</v>
      </c>
      <c r="H1577" s="0" t="n">
        <f aca="false">VLOOKUP(D1577,Rates!$A$4:$B$7,2,FALSE())</f>
        <v>0.02</v>
      </c>
      <c r="I1577" s="0" t="n">
        <f aca="false">VLOOKUP(F1577,Rates!$D$4:$E$8,2)</f>
        <v>0.85</v>
      </c>
      <c r="J1577" s="0" t="n">
        <f aca="false">ROUND(E1577*I1577,2)</f>
        <v>11767.6</v>
      </c>
      <c r="K1577" s="1" t="n">
        <f aca="false">PV(H1577/12,F1577/30,0,-E1577)</f>
        <v>13578.6103996662</v>
      </c>
      <c r="L1577" s="0" t="n">
        <f aca="false">ROUND(E1577-K1577,2)</f>
        <v>265.62</v>
      </c>
      <c r="M1577" s="0" t="n">
        <f aca="false">F1577/E1577</f>
        <v>0.0252090582141441</v>
      </c>
    </row>
    <row r="1578" customFormat="false" ht="12.8" hidden="false" customHeight="false" outlineLevel="0" collapsed="false">
      <c r="A1578" s="0" t="s">
        <v>2294</v>
      </c>
      <c r="B1578" s="0" t="s">
        <v>2107</v>
      </c>
      <c r="C1578" s="0" t="s">
        <v>19</v>
      </c>
      <c r="D1578" s="0" t="s">
        <v>16</v>
      </c>
      <c r="E1578" s="0" t="n">
        <v>42966.12</v>
      </c>
      <c r="F1578" s="0" t="n">
        <v>103</v>
      </c>
      <c r="G1578" s="0" t="str">
        <f aca="false">IF(F1578&lt;=30,"Current",IF(F1578&lt;=60,"31 to 60 days",IF(F1578&lt;=90,"61 to 90 days",IF(F1578&lt;=120,"91 to 120 days","Over 120 days"))))</f>
        <v>91 to 120 days</v>
      </c>
      <c r="H1578" s="0" t="n">
        <f aca="false">VLOOKUP(D1578,Rates!$A$4:$B$7,2,FALSE())</f>
        <v>0.085</v>
      </c>
      <c r="I1578" s="0" t="n">
        <f aca="false">VLOOKUP(F1578,Rates!$D$4:$E$8,2)</f>
        <v>0.5</v>
      </c>
      <c r="J1578" s="0" t="n">
        <f aca="false">ROUND(E1578*I1578,2)</f>
        <v>21483.06</v>
      </c>
      <c r="K1578" s="1" t="n">
        <f aca="false">PV(H1578/12,F1578/30,0,-E1578)</f>
        <v>41937.4063017281</v>
      </c>
      <c r="L1578" s="0" t="n">
        <f aca="false">ROUND(E1578-K1578,2)</f>
        <v>1028.71</v>
      </c>
      <c r="M1578" s="0" t="n">
        <f aca="false">F1578/E1578</f>
        <v>0.00239723763746878</v>
      </c>
    </row>
    <row r="1579" customFormat="false" ht="12.8" hidden="false" customHeight="false" outlineLevel="0" collapsed="false">
      <c r="A1579" s="0" t="s">
        <v>2295</v>
      </c>
      <c r="B1579" s="0" t="s">
        <v>606</v>
      </c>
      <c r="C1579" s="0" t="s">
        <v>19</v>
      </c>
      <c r="D1579" s="0" t="s">
        <v>23</v>
      </c>
      <c r="E1579" s="0" t="n">
        <v>36986.92</v>
      </c>
      <c r="F1579" s="0" t="n">
        <v>245</v>
      </c>
      <c r="G1579" s="0" t="str">
        <f aca="false">IF(F1579&lt;=30,"Current",IF(F1579&lt;=60,"31 to 60 days",IF(F1579&lt;=90,"61 to 90 days",IF(F1579&lt;=120,"91 to 120 days","Over 120 days"))))</f>
        <v>Over 120 days</v>
      </c>
      <c r="H1579" s="0" t="n">
        <f aca="false">VLOOKUP(D1579,Rates!$A$4:$B$7,2,FALSE())</f>
        <v>0.115</v>
      </c>
      <c r="I1579" s="0" t="n">
        <f aca="false">VLOOKUP(F1579,Rates!$D$4:$E$8,2)</f>
        <v>0.85</v>
      </c>
      <c r="J1579" s="0" t="n">
        <f aca="false">ROUND(E1579*I1579,2)</f>
        <v>31438.88</v>
      </c>
      <c r="K1579" s="1" t="n">
        <f aca="false">PV(H1579/12,F1579/30,0,-E1579)</f>
        <v>34215.3058481671</v>
      </c>
      <c r="L1579" s="0" t="n">
        <f aca="false">ROUND(E1579-K1579,2)</f>
        <v>2771.61</v>
      </c>
      <c r="M1579" s="0" t="n">
        <f aca="false">F1579/E1579</f>
        <v>0.00662396328215488</v>
      </c>
    </row>
    <row r="1580" customFormat="false" ht="12.8" hidden="false" customHeight="false" outlineLevel="0" collapsed="false">
      <c r="A1580" s="0" t="s">
        <v>2296</v>
      </c>
      <c r="B1580" s="0" t="s">
        <v>51</v>
      </c>
      <c r="C1580" s="0" t="s">
        <v>36</v>
      </c>
      <c r="D1580" s="0" t="s">
        <v>20</v>
      </c>
      <c r="E1580" s="0" t="n">
        <v>8457.69</v>
      </c>
      <c r="F1580" s="0" t="n">
        <v>255</v>
      </c>
      <c r="G1580" s="0" t="str">
        <f aca="false">IF(F1580&lt;=30,"Current",IF(F1580&lt;=60,"31 to 60 days",IF(F1580&lt;=90,"61 to 90 days",IF(F1580&lt;=120,"91 to 120 days","Over 120 days"))))</f>
        <v>Over 120 days</v>
      </c>
      <c r="H1580" s="0" t="n">
        <f aca="false">VLOOKUP(D1580,Rates!$A$4:$B$7,2,FALSE())</f>
        <v>0.05</v>
      </c>
      <c r="I1580" s="0" t="n">
        <f aca="false">VLOOKUP(F1580,Rates!$D$4:$E$8,2)</f>
        <v>0.85</v>
      </c>
      <c r="J1580" s="0" t="n">
        <f aca="false">ROUND(E1580*I1580,2)</f>
        <v>7189.04</v>
      </c>
      <c r="K1580" s="1" t="n">
        <f aca="false">PV(H1580/12,F1580/30,0,-E1580)</f>
        <v>8163.98983971778</v>
      </c>
      <c r="L1580" s="0" t="n">
        <f aca="false">ROUND(E1580-K1580,2)</f>
        <v>293.7</v>
      </c>
      <c r="M1580" s="0" t="n">
        <f aca="false">F1580/E1580</f>
        <v>0.0301500764393114</v>
      </c>
    </row>
    <row r="1581" customFormat="false" ht="12.8" hidden="false" customHeight="false" outlineLevel="0" collapsed="false">
      <c r="A1581" s="0" t="s">
        <v>2297</v>
      </c>
      <c r="B1581" s="0" t="s">
        <v>237</v>
      </c>
      <c r="C1581" s="0" t="s">
        <v>31</v>
      </c>
      <c r="D1581" s="0" t="s">
        <v>16</v>
      </c>
      <c r="E1581" s="0" t="n">
        <v>8039.97</v>
      </c>
      <c r="F1581" s="0" t="n">
        <v>277</v>
      </c>
      <c r="G1581" s="0" t="str">
        <f aca="false">IF(F1581&lt;=30,"Current",IF(F1581&lt;=60,"31 to 60 days",IF(F1581&lt;=90,"61 to 90 days",IF(F1581&lt;=120,"91 to 120 days","Over 120 days"))))</f>
        <v>Over 120 days</v>
      </c>
      <c r="H1581" s="0" t="n">
        <f aca="false">VLOOKUP(D1581,Rates!$A$4:$B$7,2,FALSE())</f>
        <v>0.085</v>
      </c>
      <c r="I1581" s="0" t="n">
        <f aca="false">VLOOKUP(F1581,Rates!$D$4:$E$8,2)</f>
        <v>0.85</v>
      </c>
      <c r="J1581" s="0" t="n">
        <f aca="false">ROUND(E1581*I1581,2)</f>
        <v>6833.97</v>
      </c>
      <c r="K1581" s="1" t="n">
        <f aca="false">PV(H1581/12,F1581/30,0,-E1581)</f>
        <v>7532.69681794982</v>
      </c>
      <c r="L1581" s="0" t="n">
        <f aca="false">ROUND(E1581-K1581,2)</f>
        <v>507.27</v>
      </c>
      <c r="M1581" s="0" t="n">
        <f aca="false">F1581/E1581</f>
        <v>0.0344528648738739</v>
      </c>
    </row>
    <row r="1582" customFormat="false" ht="12.8" hidden="false" customHeight="false" outlineLevel="0" collapsed="false">
      <c r="A1582" s="0" t="s">
        <v>2298</v>
      </c>
      <c r="B1582" s="0" t="s">
        <v>2165</v>
      </c>
      <c r="C1582" s="0" t="s">
        <v>19</v>
      </c>
      <c r="D1582" s="0" t="s">
        <v>49</v>
      </c>
      <c r="E1582" s="0" t="n">
        <v>2483.54</v>
      </c>
      <c r="F1582" s="0" t="n">
        <v>348</v>
      </c>
      <c r="G1582" s="0" t="str">
        <f aca="false">IF(F1582&lt;=30,"Current",IF(F1582&lt;=60,"31 to 60 days",IF(F1582&lt;=90,"61 to 90 days",IF(F1582&lt;=120,"91 to 120 days","Over 120 days"))))</f>
        <v>Over 120 days</v>
      </c>
      <c r="H1582" s="0" t="n">
        <f aca="false">VLOOKUP(D1582,Rates!$A$4:$B$7,2,FALSE())</f>
        <v>0.02</v>
      </c>
      <c r="I1582" s="0" t="n">
        <f aca="false">VLOOKUP(F1582,Rates!$D$4:$E$8,2)</f>
        <v>0.85</v>
      </c>
      <c r="J1582" s="0" t="n">
        <f aca="false">ROUND(E1582*I1582,2)</f>
        <v>2111.01</v>
      </c>
      <c r="K1582" s="1" t="n">
        <f aca="false">PV(H1582/12,F1582/30,0,-E1582)</f>
        <v>2436.02526580755</v>
      </c>
      <c r="L1582" s="0" t="n">
        <f aca="false">ROUND(E1582-K1582,2)</f>
        <v>47.51</v>
      </c>
      <c r="M1582" s="0" t="n">
        <f aca="false">F1582/E1582</f>
        <v>0.140122566981003</v>
      </c>
    </row>
    <row r="1583" customFormat="false" ht="12.8" hidden="false" customHeight="false" outlineLevel="0" collapsed="false">
      <c r="A1583" s="0" t="s">
        <v>2299</v>
      </c>
      <c r="B1583" s="0" t="s">
        <v>2300</v>
      </c>
      <c r="C1583" s="0" t="s">
        <v>31</v>
      </c>
      <c r="D1583" s="0" t="s">
        <v>49</v>
      </c>
      <c r="E1583" s="0" t="n">
        <v>12767.64</v>
      </c>
      <c r="F1583" s="0" t="n">
        <v>45</v>
      </c>
      <c r="G1583" s="0" t="str">
        <f aca="false">IF(F1583&lt;=30,"Current",IF(F1583&lt;=60,"31 to 60 days",IF(F1583&lt;=90,"61 to 90 days",IF(F1583&lt;=120,"91 to 120 days","Over 120 days"))))</f>
        <v>31 to 60 days</v>
      </c>
      <c r="H1583" s="0" t="n">
        <f aca="false">VLOOKUP(D1583,Rates!$A$4:$B$7,2,FALSE())</f>
        <v>0.02</v>
      </c>
      <c r="I1583" s="0" t="n">
        <f aca="false">VLOOKUP(F1583,Rates!$D$4:$E$8,2)</f>
        <v>0.1</v>
      </c>
      <c r="J1583" s="0" t="n">
        <f aca="false">ROUND(E1583*I1583,2)</f>
        <v>1276.76</v>
      </c>
      <c r="K1583" s="1" t="n">
        <f aca="false">PV(H1583/12,F1583/30,0,-E1583)</f>
        <v>12735.7872690651</v>
      </c>
      <c r="L1583" s="0" t="n">
        <f aca="false">ROUND(E1583-K1583,2)</f>
        <v>31.85</v>
      </c>
      <c r="M1583" s="0" t="n">
        <f aca="false">F1583/E1583</f>
        <v>0.00352453546622555</v>
      </c>
    </row>
    <row r="1584" customFormat="false" ht="12.8" hidden="false" customHeight="false" outlineLevel="0" collapsed="false">
      <c r="A1584" s="0" t="s">
        <v>2301</v>
      </c>
      <c r="B1584" s="0" t="s">
        <v>2302</v>
      </c>
      <c r="C1584" s="0" t="s">
        <v>36</v>
      </c>
      <c r="D1584" s="0" t="s">
        <v>49</v>
      </c>
      <c r="E1584" s="0" t="n">
        <v>8875.84</v>
      </c>
      <c r="F1584" s="0" t="n">
        <v>182</v>
      </c>
      <c r="G1584" s="0" t="str">
        <f aca="false">IF(F1584&lt;=30,"Current",IF(F1584&lt;=60,"31 to 60 days",IF(F1584&lt;=90,"61 to 90 days",IF(F1584&lt;=120,"91 to 120 days","Over 120 days"))))</f>
        <v>Over 120 days</v>
      </c>
      <c r="H1584" s="0" t="n">
        <f aca="false">VLOOKUP(D1584,Rates!$A$4:$B$7,2,FALSE())</f>
        <v>0.02</v>
      </c>
      <c r="I1584" s="0" t="n">
        <f aca="false">VLOOKUP(F1584,Rates!$D$4:$E$8,2)</f>
        <v>0.85</v>
      </c>
      <c r="J1584" s="0" t="n">
        <f aca="false">ROUND(E1584*I1584,2)</f>
        <v>7544.46</v>
      </c>
      <c r="K1584" s="1" t="n">
        <f aca="false">PV(H1584/12,F1584/30,0,-E1584)</f>
        <v>8786.62153203198</v>
      </c>
      <c r="L1584" s="0" t="n">
        <f aca="false">ROUND(E1584-K1584,2)</f>
        <v>89.22</v>
      </c>
      <c r="M1584" s="0" t="n">
        <f aca="false">F1584/E1584</f>
        <v>0.0205051014889858</v>
      </c>
    </row>
    <row r="1585" customFormat="false" ht="12.8" hidden="false" customHeight="false" outlineLevel="0" collapsed="false">
      <c r="A1585" s="0" t="s">
        <v>2303</v>
      </c>
      <c r="B1585" s="0" t="s">
        <v>285</v>
      </c>
      <c r="C1585" s="0" t="s">
        <v>36</v>
      </c>
      <c r="D1585" s="0" t="s">
        <v>23</v>
      </c>
      <c r="E1585" s="0" t="n">
        <v>10294.41</v>
      </c>
      <c r="F1585" s="0" t="n">
        <v>287</v>
      </c>
      <c r="G1585" s="0" t="str">
        <f aca="false">IF(F1585&lt;=30,"Current",IF(F1585&lt;=60,"31 to 60 days",IF(F1585&lt;=90,"61 to 90 days",IF(F1585&lt;=120,"91 to 120 days","Over 120 days"))))</f>
        <v>Over 120 days</v>
      </c>
      <c r="H1585" s="0" t="n">
        <f aca="false">VLOOKUP(D1585,Rates!$A$4:$B$7,2,FALSE())</f>
        <v>0.115</v>
      </c>
      <c r="I1585" s="0" t="n">
        <f aca="false">VLOOKUP(F1585,Rates!$D$4:$E$8,2)</f>
        <v>0.85</v>
      </c>
      <c r="J1585" s="0" t="n">
        <f aca="false">ROUND(E1585*I1585,2)</f>
        <v>8750.25</v>
      </c>
      <c r="K1585" s="1" t="n">
        <f aca="false">PV(H1585/12,F1585/30,0,-E1585)</f>
        <v>9396.6852107821</v>
      </c>
      <c r="L1585" s="0" t="n">
        <f aca="false">ROUND(E1585-K1585,2)</f>
        <v>897.72</v>
      </c>
      <c r="M1585" s="0" t="n">
        <f aca="false">F1585/E1585</f>
        <v>0.0278792082304863</v>
      </c>
    </row>
    <row r="1586" customFormat="false" ht="12.8" hidden="false" customHeight="false" outlineLevel="0" collapsed="false">
      <c r="A1586" s="0" t="s">
        <v>2304</v>
      </c>
      <c r="B1586" s="0" t="s">
        <v>28</v>
      </c>
      <c r="C1586" s="0" t="s">
        <v>15</v>
      </c>
      <c r="D1586" s="0" t="s">
        <v>20</v>
      </c>
      <c r="E1586" s="0" t="n">
        <v>39343.67</v>
      </c>
      <c r="F1586" s="0" t="n">
        <v>212</v>
      </c>
      <c r="G1586" s="0" t="str">
        <f aca="false">IF(F1586&lt;=30,"Current",IF(F1586&lt;=60,"31 to 60 days",IF(F1586&lt;=90,"61 to 90 days",IF(F1586&lt;=120,"91 to 120 days","Over 120 days"))))</f>
        <v>Over 120 days</v>
      </c>
      <c r="H1586" s="0" t="n">
        <f aca="false">VLOOKUP(D1586,Rates!$A$4:$B$7,2,FALSE())</f>
        <v>0.05</v>
      </c>
      <c r="I1586" s="0" t="n">
        <f aca="false">VLOOKUP(F1586,Rates!$D$4:$E$8,2)</f>
        <v>0.85</v>
      </c>
      <c r="J1586" s="0" t="n">
        <f aca="false">ROUND(E1586*I1586,2)</f>
        <v>33442.12</v>
      </c>
      <c r="K1586" s="1" t="n">
        <f aca="false">PV(H1586/12,F1586/30,0,-E1586)</f>
        <v>38204.4433215218</v>
      </c>
      <c r="L1586" s="0" t="n">
        <f aca="false">ROUND(E1586-K1586,2)</f>
        <v>1139.23</v>
      </c>
      <c r="M1586" s="0" t="n">
        <f aca="false">F1586/E1586</f>
        <v>0.00538841445142255</v>
      </c>
    </row>
    <row r="1587" customFormat="false" ht="12.8" hidden="false" customHeight="false" outlineLevel="0" collapsed="false">
      <c r="A1587" s="0" t="s">
        <v>2305</v>
      </c>
      <c r="B1587" s="0" t="s">
        <v>97</v>
      </c>
      <c r="C1587" s="0" t="s">
        <v>42</v>
      </c>
      <c r="D1587" s="0" t="s">
        <v>20</v>
      </c>
      <c r="E1587" s="0" t="n">
        <v>8275.96</v>
      </c>
      <c r="F1587" s="0" t="n">
        <v>226</v>
      </c>
      <c r="G1587" s="0" t="str">
        <f aca="false">IF(F1587&lt;=30,"Current",IF(F1587&lt;=60,"31 to 60 days",IF(F1587&lt;=90,"61 to 90 days",IF(F1587&lt;=120,"91 to 120 days","Over 120 days"))))</f>
        <v>Over 120 days</v>
      </c>
      <c r="H1587" s="0" t="n">
        <f aca="false">VLOOKUP(D1587,Rates!$A$4:$B$7,2,FALSE())</f>
        <v>0.05</v>
      </c>
      <c r="I1587" s="0" t="n">
        <f aca="false">VLOOKUP(F1587,Rates!$D$4:$E$8,2)</f>
        <v>0.85</v>
      </c>
      <c r="J1587" s="0" t="n">
        <f aca="false">ROUND(E1587*I1587,2)</f>
        <v>7034.57</v>
      </c>
      <c r="K1587" s="1" t="n">
        <f aca="false">PV(H1587/12,F1587/30,0,-E1587)</f>
        <v>8020.74451741853</v>
      </c>
      <c r="L1587" s="0" t="n">
        <f aca="false">ROUND(E1587-K1587,2)</f>
        <v>255.22</v>
      </c>
      <c r="M1587" s="0" t="n">
        <f aca="false">F1587/E1587</f>
        <v>0.0273080101885461</v>
      </c>
    </row>
    <row r="1588" customFormat="false" ht="12.8" hidden="false" customHeight="false" outlineLevel="0" collapsed="false">
      <c r="A1588" s="0" t="s">
        <v>2306</v>
      </c>
      <c r="B1588" s="0" t="s">
        <v>695</v>
      </c>
      <c r="C1588" s="0" t="s">
        <v>19</v>
      </c>
      <c r="D1588" s="0" t="s">
        <v>16</v>
      </c>
      <c r="E1588" s="0" t="n">
        <v>30551.67</v>
      </c>
      <c r="F1588" s="0" t="n">
        <v>394</v>
      </c>
      <c r="G1588" s="0" t="str">
        <f aca="false">IF(F1588&lt;=30,"Current",IF(F1588&lt;=60,"31 to 60 days",IF(F1588&lt;=90,"61 to 90 days",IF(F1588&lt;=120,"91 to 120 days","Over 120 days"))))</f>
        <v>Over 120 days</v>
      </c>
      <c r="H1588" s="0" t="n">
        <f aca="false">VLOOKUP(D1588,Rates!$A$4:$B$7,2,FALSE())</f>
        <v>0.085</v>
      </c>
      <c r="I1588" s="0" t="n">
        <f aca="false">VLOOKUP(F1588,Rates!$D$4:$E$8,2)</f>
        <v>0.85</v>
      </c>
      <c r="J1588" s="0" t="n">
        <f aca="false">ROUND(E1588*I1588,2)</f>
        <v>25968.92</v>
      </c>
      <c r="K1588" s="1" t="n">
        <f aca="false">PV(H1588/12,F1588/30,0,-E1588)</f>
        <v>27846.8400456016</v>
      </c>
      <c r="L1588" s="0" t="n">
        <f aca="false">ROUND(E1588-K1588,2)</f>
        <v>2704.83</v>
      </c>
      <c r="M1588" s="0" t="n">
        <f aca="false">F1588/E1588</f>
        <v>0.0128961853803736</v>
      </c>
    </row>
    <row r="1589" customFormat="false" ht="12.8" hidden="false" customHeight="false" outlineLevel="0" collapsed="false">
      <c r="A1589" s="0" t="s">
        <v>2307</v>
      </c>
      <c r="B1589" s="0" t="s">
        <v>30</v>
      </c>
      <c r="C1589" s="0" t="s">
        <v>31</v>
      </c>
      <c r="D1589" s="0" t="s">
        <v>20</v>
      </c>
      <c r="E1589" s="0" t="n">
        <v>40114.91</v>
      </c>
      <c r="F1589" s="0" t="n">
        <v>274</v>
      </c>
      <c r="G1589" s="0" t="str">
        <f aca="false">IF(F1589&lt;=30,"Current",IF(F1589&lt;=60,"31 to 60 days",IF(F1589&lt;=90,"61 to 90 days",IF(F1589&lt;=120,"91 to 120 days","Over 120 days"))))</f>
        <v>Over 120 days</v>
      </c>
      <c r="H1589" s="0" t="n">
        <f aca="false">VLOOKUP(D1589,Rates!$A$4:$B$7,2,FALSE())</f>
        <v>0.05</v>
      </c>
      <c r="I1589" s="0" t="n">
        <f aca="false">VLOOKUP(F1589,Rates!$D$4:$E$8,2)</f>
        <v>0.85</v>
      </c>
      <c r="J1589" s="0" t="n">
        <f aca="false">ROUND(E1589*I1589,2)</f>
        <v>34097.67</v>
      </c>
      <c r="K1589" s="1" t="n">
        <f aca="false">PV(H1589/12,F1589/30,0,-E1589)</f>
        <v>38620.0508224786</v>
      </c>
      <c r="L1589" s="0" t="n">
        <f aca="false">ROUND(E1589-K1589,2)</f>
        <v>1494.86</v>
      </c>
      <c r="M1589" s="0" t="n">
        <f aca="false">F1589/E1589</f>
        <v>0.00683037803150998</v>
      </c>
    </row>
    <row r="1590" customFormat="false" ht="12.8" hidden="false" customHeight="false" outlineLevel="0" collapsed="false">
      <c r="A1590" s="0" t="s">
        <v>2308</v>
      </c>
      <c r="B1590" s="0" t="s">
        <v>2309</v>
      </c>
      <c r="C1590" s="0" t="s">
        <v>19</v>
      </c>
      <c r="D1590" s="0" t="s">
        <v>16</v>
      </c>
      <c r="E1590" s="0" t="n">
        <v>741.96</v>
      </c>
      <c r="F1590" s="0" t="n">
        <v>391</v>
      </c>
      <c r="G1590" s="0" t="str">
        <f aca="false">IF(F1590&lt;=30,"Current",IF(F1590&lt;=60,"31 to 60 days",IF(F1590&lt;=90,"61 to 90 days",IF(F1590&lt;=120,"91 to 120 days","Over 120 days"))))</f>
        <v>Over 120 days</v>
      </c>
      <c r="H1590" s="0" t="n">
        <f aca="false">VLOOKUP(D1590,Rates!$A$4:$B$7,2,FALSE())</f>
        <v>0.085</v>
      </c>
      <c r="I1590" s="0" t="n">
        <f aca="false">VLOOKUP(F1590,Rates!$D$4:$E$8,2)</f>
        <v>0.85</v>
      </c>
      <c r="J1590" s="0" t="n">
        <f aca="false">ROUND(E1590*I1590,2)</f>
        <v>630.67</v>
      </c>
      <c r="K1590" s="1" t="n">
        <f aca="false">PV(H1590/12,F1590/30,0,-E1590)</f>
        <v>676.749586691997</v>
      </c>
      <c r="L1590" s="0" t="n">
        <f aca="false">ROUND(E1590-K1590,2)</f>
        <v>65.21</v>
      </c>
      <c r="M1590" s="0" t="n">
        <f aca="false">F1590/E1590</f>
        <v>0.526982586662354</v>
      </c>
    </row>
    <row r="1591" customFormat="false" ht="12.8" hidden="false" customHeight="false" outlineLevel="0" collapsed="false">
      <c r="A1591" s="0" t="s">
        <v>2310</v>
      </c>
      <c r="B1591" s="0" t="s">
        <v>2311</v>
      </c>
      <c r="C1591" s="0" t="s">
        <v>26</v>
      </c>
      <c r="D1591" s="0" t="s">
        <v>49</v>
      </c>
      <c r="E1591" s="0" t="n">
        <v>12490.85</v>
      </c>
      <c r="F1591" s="0" t="n">
        <v>323</v>
      </c>
      <c r="G1591" s="0" t="str">
        <f aca="false">IF(F1591&lt;=30,"Current",IF(F1591&lt;=60,"31 to 60 days",IF(F1591&lt;=90,"61 to 90 days",IF(F1591&lt;=120,"91 to 120 days","Over 120 days"))))</f>
        <v>Over 120 days</v>
      </c>
      <c r="H1591" s="0" t="n">
        <f aca="false">VLOOKUP(D1591,Rates!$A$4:$B$7,2,FALSE())</f>
        <v>0.02</v>
      </c>
      <c r="I1591" s="0" t="n">
        <f aca="false">VLOOKUP(F1591,Rates!$D$4:$E$8,2)</f>
        <v>0.85</v>
      </c>
      <c r="J1591" s="0" t="n">
        <f aca="false">ROUND(E1591*I1591,2)</f>
        <v>10617.22</v>
      </c>
      <c r="K1591" s="1" t="n">
        <f aca="false">PV(H1591/12,F1591/30,0,-E1591)</f>
        <v>12268.8909673681</v>
      </c>
      <c r="L1591" s="0" t="n">
        <f aca="false">ROUND(E1591-K1591,2)</f>
        <v>221.96</v>
      </c>
      <c r="M1591" s="0" t="n">
        <f aca="false">F1591/E1591</f>
        <v>0.0258589287358346</v>
      </c>
    </row>
    <row r="1592" customFormat="false" ht="12.8" hidden="false" customHeight="false" outlineLevel="0" collapsed="false">
      <c r="A1592" s="0" t="s">
        <v>2312</v>
      </c>
      <c r="B1592" s="0" t="s">
        <v>2313</v>
      </c>
      <c r="C1592" s="0" t="s">
        <v>15</v>
      </c>
      <c r="D1592" s="0" t="s">
        <v>49</v>
      </c>
      <c r="E1592" s="0" t="n">
        <v>1497.34</v>
      </c>
      <c r="F1592" s="0" t="n">
        <v>116</v>
      </c>
      <c r="G1592" s="0" t="str">
        <f aca="false">IF(F1592&lt;=30,"Current",IF(F1592&lt;=60,"31 to 60 days",IF(F1592&lt;=90,"61 to 90 days",IF(F1592&lt;=120,"91 to 120 days","Over 120 days"))))</f>
        <v>91 to 120 days</v>
      </c>
      <c r="H1592" s="0" t="n">
        <f aca="false">VLOOKUP(D1592,Rates!$A$4:$B$7,2,FALSE())</f>
        <v>0.02</v>
      </c>
      <c r="I1592" s="0" t="n">
        <f aca="false">VLOOKUP(F1592,Rates!$D$4:$E$8,2)</f>
        <v>0.5</v>
      </c>
      <c r="J1592" s="0" t="n">
        <f aca="false">ROUND(E1592*I1592,2)</f>
        <v>748.67</v>
      </c>
      <c r="K1592" s="1" t="n">
        <f aca="false">PV(H1592/12,F1592/30,0,-E1592)</f>
        <v>1487.72948255355</v>
      </c>
      <c r="L1592" s="0" t="n">
        <f aca="false">ROUND(E1592-K1592,2)</f>
        <v>9.61</v>
      </c>
      <c r="M1592" s="0" t="n">
        <f aca="false">F1592/E1592</f>
        <v>0.0774707147341285</v>
      </c>
    </row>
    <row r="1593" customFormat="false" ht="12.8" hidden="false" customHeight="false" outlineLevel="0" collapsed="false">
      <c r="A1593" s="0" t="s">
        <v>2314</v>
      </c>
      <c r="B1593" s="0" t="s">
        <v>2315</v>
      </c>
      <c r="C1593" s="0" t="s">
        <v>31</v>
      </c>
      <c r="D1593" s="0" t="s">
        <v>16</v>
      </c>
      <c r="E1593" s="0" t="n">
        <v>17212.83</v>
      </c>
      <c r="F1593" s="0" t="n">
        <v>295</v>
      </c>
      <c r="G1593" s="0" t="str">
        <f aca="false">IF(F1593&lt;=30,"Current",IF(F1593&lt;=60,"31 to 60 days",IF(F1593&lt;=90,"61 to 90 days",IF(F1593&lt;=120,"91 to 120 days","Over 120 days"))))</f>
        <v>Over 120 days</v>
      </c>
      <c r="H1593" s="0" t="n">
        <f aca="false">VLOOKUP(D1593,Rates!$A$4:$B$7,2,FALSE())</f>
        <v>0.085</v>
      </c>
      <c r="I1593" s="0" t="n">
        <f aca="false">VLOOKUP(F1593,Rates!$D$4:$E$8,2)</f>
        <v>0.85</v>
      </c>
      <c r="J1593" s="0" t="n">
        <f aca="false">ROUND(E1593*I1593,2)</f>
        <v>14630.91</v>
      </c>
      <c r="K1593" s="1" t="n">
        <f aca="false">PV(H1593/12,F1593/30,0,-E1593)</f>
        <v>16058.6522668634</v>
      </c>
      <c r="L1593" s="0" t="n">
        <f aca="false">ROUND(E1593-K1593,2)</f>
        <v>1154.18</v>
      </c>
      <c r="M1593" s="0" t="n">
        <f aca="false">F1593/E1593</f>
        <v>0.0171383787558467</v>
      </c>
    </row>
    <row r="1594" customFormat="false" ht="12.8" hidden="false" customHeight="false" outlineLevel="0" collapsed="false">
      <c r="A1594" s="0" t="s">
        <v>2316</v>
      </c>
      <c r="B1594" s="0" t="s">
        <v>1978</v>
      </c>
      <c r="C1594" s="0" t="s">
        <v>42</v>
      </c>
      <c r="D1594" s="0" t="s">
        <v>16</v>
      </c>
      <c r="E1594" s="0" t="n">
        <v>24339.44</v>
      </c>
      <c r="F1594" s="0" t="n">
        <v>114</v>
      </c>
      <c r="G1594" s="0" t="str">
        <f aca="false">IF(F1594&lt;=30,"Current",IF(F1594&lt;=60,"31 to 60 days",IF(F1594&lt;=90,"61 to 90 days",IF(F1594&lt;=120,"91 to 120 days","Over 120 days"))))</f>
        <v>91 to 120 days</v>
      </c>
      <c r="H1594" s="0" t="n">
        <f aca="false">VLOOKUP(D1594,Rates!$A$4:$B$7,2,FALSE())</f>
        <v>0.085</v>
      </c>
      <c r="I1594" s="0" t="n">
        <f aca="false">VLOOKUP(F1594,Rates!$D$4:$E$8,2)</f>
        <v>0.5</v>
      </c>
      <c r="J1594" s="0" t="n">
        <f aca="false">ROUND(E1594*I1594,2)</f>
        <v>12169.72</v>
      </c>
      <c r="K1594" s="1" t="n">
        <f aca="false">PV(H1594/12,F1594/30,0,-E1594)</f>
        <v>23695.2900258175</v>
      </c>
      <c r="L1594" s="0" t="n">
        <f aca="false">ROUND(E1594-K1594,2)</f>
        <v>644.15</v>
      </c>
      <c r="M1594" s="0" t="n">
        <f aca="false">F1594/E1594</f>
        <v>0.00468375607655723</v>
      </c>
    </row>
    <row r="1595" customFormat="false" ht="12.8" hidden="false" customHeight="false" outlineLevel="0" collapsed="false">
      <c r="A1595" s="0" t="s">
        <v>2317</v>
      </c>
      <c r="B1595" s="0" t="s">
        <v>51</v>
      </c>
      <c r="C1595" s="0" t="s">
        <v>36</v>
      </c>
      <c r="D1595" s="0" t="s">
        <v>20</v>
      </c>
      <c r="E1595" s="0" t="n">
        <v>354.5</v>
      </c>
      <c r="F1595" s="0" t="n">
        <v>283</v>
      </c>
      <c r="G1595" s="0" t="str">
        <f aca="false">IF(F1595&lt;=30,"Current",IF(F1595&lt;=60,"31 to 60 days",IF(F1595&lt;=90,"61 to 90 days",IF(F1595&lt;=120,"91 to 120 days","Over 120 days"))))</f>
        <v>Over 120 days</v>
      </c>
      <c r="H1595" s="0" t="n">
        <f aca="false">VLOOKUP(D1595,Rates!$A$4:$B$7,2,FALSE())</f>
        <v>0.05</v>
      </c>
      <c r="I1595" s="0" t="n">
        <f aca="false">VLOOKUP(F1595,Rates!$D$4:$E$8,2)</f>
        <v>0.85</v>
      </c>
      <c r="J1595" s="0" t="n">
        <f aca="false">ROUND(E1595*I1595,2)</f>
        <v>301.33</v>
      </c>
      <c r="K1595" s="1" t="n">
        <f aca="false">PV(H1595/12,F1595/30,0,-E1595)</f>
        <v>340.864299784921</v>
      </c>
      <c r="L1595" s="0" t="n">
        <f aca="false">ROUND(E1595-K1595,2)</f>
        <v>13.64</v>
      </c>
      <c r="M1595" s="0" t="n">
        <f aca="false">F1595/E1595</f>
        <v>0.798307475317348</v>
      </c>
    </row>
    <row r="1596" customFormat="false" ht="12.8" hidden="false" customHeight="false" outlineLevel="0" collapsed="false">
      <c r="A1596" s="0" t="s">
        <v>2318</v>
      </c>
      <c r="B1596" s="0" t="s">
        <v>2319</v>
      </c>
      <c r="C1596" s="0" t="s">
        <v>26</v>
      </c>
      <c r="D1596" s="0" t="s">
        <v>16</v>
      </c>
      <c r="E1596" s="0" t="n">
        <v>44218.33</v>
      </c>
      <c r="F1596" s="0" t="n">
        <v>205</v>
      </c>
      <c r="G1596" s="0" t="str">
        <f aca="false">IF(F1596&lt;=30,"Current",IF(F1596&lt;=60,"31 to 60 days",IF(F1596&lt;=90,"61 to 90 days",IF(F1596&lt;=120,"91 to 120 days","Over 120 days"))))</f>
        <v>Over 120 days</v>
      </c>
      <c r="H1596" s="0" t="n">
        <f aca="false">VLOOKUP(D1596,Rates!$A$4:$B$7,2,FALSE())</f>
        <v>0.085</v>
      </c>
      <c r="I1596" s="0" t="n">
        <f aca="false">VLOOKUP(F1596,Rates!$D$4:$E$8,2)</f>
        <v>0.85</v>
      </c>
      <c r="J1596" s="0" t="n">
        <f aca="false">ROUND(E1596*I1596,2)</f>
        <v>37585.58</v>
      </c>
      <c r="K1596" s="1" t="n">
        <f aca="false">PV(H1596/12,F1596/30,0,-E1596)</f>
        <v>42136.2010021486</v>
      </c>
      <c r="L1596" s="0" t="n">
        <f aca="false">ROUND(E1596-K1596,2)</f>
        <v>2082.13</v>
      </c>
      <c r="M1596" s="0" t="n">
        <f aca="false">F1596/E1596</f>
        <v>0.00463608643745705</v>
      </c>
    </row>
    <row r="1597" customFormat="false" ht="12.8" hidden="false" customHeight="false" outlineLevel="0" collapsed="false">
      <c r="A1597" s="0" t="s">
        <v>2320</v>
      </c>
      <c r="B1597" s="0" t="s">
        <v>2321</v>
      </c>
      <c r="C1597" s="0" t="s">
        <v>31</v>
      </c>
      <c r="D1597" s="0" t="s">
        <v>49</v>
      </c>
      <c r="E1597" s="0" t="n">
        <v>15496.03</v>
      </c>
      <c r="F1597" s="0" t="n">
        <v>252</v>
      </c>
      <c r="G1597" s="0" t="str">
        <f aca="false">IF(F1597&lt;=30,"Current",IF(F1597&lt;=60,"31 to 60 days",IF(F1597&lt;=90,"61 to 90 days",IF(F1597&lt;=120,"91 to 120 days","Over 120 days"))))</f>
        <v>Over 120 days</v>
      </c>
      <c r="H1597" s="0" t="n">
        <f aca="false">VLOOKUP(D1597,Rates!$A$4:$B$7,2,FALSE())</f>
        <v>0.02</v>
      </c>
      <c r="I1597" s="0" t="n">
        <f aca="false">VLOOKUP(F1597,Rates!$D$4:$E$8,2)</f>
        <v>0.85</v>
      </c>
      <c r="J1597" s="0" t="n">
        <f aca="false">ROUND(E1597*I1597,2)</f>
        <v>13171.63</v>
      </c>
      <c r="K1597" s="1" t="n">
        <f aca="false">PV(H1597/12,F1597/30,0,-E1597)</f>
        <v>15280.7752056599</v>
      </c>
      <c r="L1597" s="0" t="n">
        <f aca="false">ROUND(E1597-K1597,2)</f>
        <v>215.25</v>
      </c>
      <c r="M1597" s="0" t="n">
        <f aca="false">F1597/E1597</f>
        <v>0.0162622297452961</v>
      </c>
    </row>
    <row r="1598" customFormat="false" ht="12.8" hidden="false" customHeight="false" outlineLevel="0" collapsed="false">
      <c r="A1598" s="0" t="s">
        <v>2322</v>
      </c>
      <c r="B1598" s="0" t="s">
        <v>74</v>
      </c>
      <c r="C1598" s="0" t="s">
        <v>31</v>
      </c>
      <c r="D1598" s="0" t="s">
        <v>23</v>
      </c>
      <c r="E1598" s="0" t="n">
        <v>10081.3</v>
      </c>
      <c r="F1598" s="0" t="n">
        <v>139</v>
      </c>
      <c r="G1598" s="0" t="str">
        <f aca="false">IF(F1598&lt;=30,"Current",IF(F1598&lt;=60,"31 to 60 days",IF(F1598&lt;=90,"61 to 90 days",IF(F1598&lt;=120,"91 to 120 days","Over 120 days"))))</f>
        <v>Over 120 days</v>
      </c>
      <c r="H1598" s="0" t="n">
        <f aca="false">VLOOKUP(D1598,Rates!$A$4:$B$7,2,FALSE())</f>
        <v>0.115</v>
      </c>
      <c r="I1598" s="0" t="n">
        <f aca="false">VLOOKUP(F1598,Rates!$D$4:$E$8,2)</f>
        <v>0.85</v>
      </c>
      <c r="J1598" s="0" t="n">
        <f aca="false">ROUND(E1598*I1598,2)</f>
        <v>8569.11</v>
      </c>
      <c r="K1598" s="1" t="n">
        <f aca="false">PV(H1598/12,F1598/30,0,-E1598)</f>
        <v>9645.49395365041</v>
      </c>
      <c r="L1598" s="0" t="n">
        <f aca="false">ROUND(E1598-K1598,2)</f>
        <v>435.81</v>
      </c>
      <c r="M1598" s="0" t="n">
        <f aca="false">F1598/E1598</f>
        <v>0.0137879043377342</v>
      </c>
    </row>
    <row r="1599" customFormat="false" ht="12.8" hidden="false" customHeight="false" outlineLevel="0" collapsed="false">
      <c r="A1599" s="0" t="s">
        <v>2323</v>
      </c>
      <c r="B1599" s="0" t="s">
        <v>2324</v>
      </c>
      <c r="C1599" s="0" t="s">
        <v>31</v>
      </c>
      <c r="D1599" s="0" t="s">
        <v>16</v>
      </c>
      <c r="E1599" s="0" t="n">
        <v>32330.84</v>
      </c>
      <c r="F1599" s="0" t="n">
        <v>85</v>
      </c>
      <c r="G1599" s="0" t="str">
        <f aca="false">IF(F1599&lt;=30,"Current",IF(F1599&lt;=60,"31 to 60 days",IF(F1599&lt;=90,"61 to 90 days",IF(F1599&lt;=120,"91 to 120 days","Over 120 days"))))</f>
        <v>61 to 90 days</v>
      </c>
      <c r="H1599" s="0" t="n">
        <f aca="false">VLOOKUP(D1599,Rates!$A$4:$B$7,2,FALSE())</f>
        <v>0.085</v>
      </c>
      <c r="I1599" s="0" t="n">
        <f aca="false">VLOOKUP(F1599,Rates!$D$4:$E$8,2)</f>
        <v>0.25</v>
      </c>
      <c r="J1599" s="0" t="n">
        <f aca="false">ROUND(E1599*I1599,2)</f>
        <v>8082.71</v>
      </c>
      <c r="K1599" s="1" t="n">
        <f aca="false">PV(H1599/12,F1599/30,0,-E1599)</f>
        <v>31690.6877031485</v>
      </c>
      <c r="L1599" s="0" t="n">
        <f aca="false">ROUND(E1599-K1599,2)</f>
        <v>640.15</v>
      </c>
      <c r="M1599" s="0" t="n">
        <f aca="false">F1599/E1599</f>
        <v>0.00262906871581437</v>
      </c>
    </row>
    <row r="1600" customFormat="false" ht="12.8" hidden="false" customHeight="false" outlineLevel="0" collapsed="false">
      <c r="A1600" s="0" t="s">
        <v>2325</v>
      </c>
      <c r="B1600" s="0" t="s">
        <v>2326</v>
      </c>
      <c r="C1600" s="0" t="s">
        <v>19</v>
      </c>
      <c r="D1600" s="0" t="s">
        <v>49</v>
      </c>
      <c r="E1600" s="0" t="n">
        <v>0</v>
      </c>
      <c r="F1600" s="0" t="n">
        <v>317</v>
      </c>
      <c r="G1600" s="0" t="str">
        <f aca="false">IF(F1600&lt;=30,"Current",IF(F1600&lt;=60,"31 to 60 days",IF(F1600&lt;=90,"61 to 90 days",IF(F1600&lt;=120,"91 to 120 days","Over 120 days"))))</f>
        <v>Over 120 days</v>
      </c>
      <c r="H1600" s="0" t="n">
        <f aca="false">VLOOKUP(D1600,Rates!$A$4:$B$7,2,FALSE())</f>
        <v>0.02</v>
      </c>
      <c r="I1600" s="0" t="n">
        <f aca="false">VLOOKUP(F1600,Rates!$D$4:$E$8,2)</f>
        <v>0.85</v>
      </c>
      <c r="J1600" s="0" t="n">
        <f aca="false">ROUND(E1600*I1600,2)</f>
        <v>0</v>
      </c>
      <c r="K1600" s="1" t="n">
        <f aca="false">PV(H1600/12,F1600/30,0,-E1600)</f>
        <v>-0</v>
      </c>
      <c r="L1600" s="0" t="n">
        <f aca="false">ROUND(E1600-K1600,2)</f>
        <v>0</v>
      </c>
      <c r="M1600" s="0" t="e">
        <f aca="false">F1600/E1600</f>
        <v>#DIV/0!</v>
      </c>
    </row>
    <row r="1601" customFormat="false" ht="12.8" hidden="false" customHeight="false" outlineLevel="0" collapsed="false">
      <c r="A1601" s="0" t="s">
        <v>2327</v>
      </c>
      <c r="B1601" s="0" t="s">
        <v>35</v>
      </c>
      <c r="C1601" s="0" t="s">
        <v>36</v>
      </c>
      <c r="D1601" s="0" t="s">
        <v>23</v>
      </c>
      <c r="E1601" s="0" t="n">
        <v>34747.97</v>
      </c>
      <c r="F1601" s="0" t="n">
        <v>142</v>
      </c>
      <c r="G1601" s="0" t="str">
        <f aca="false">IF(F1601&lt;=30,"Current",IF(F1601&lt;=60,"31 to 60 days",IF(F1601&lt;=90,"61 to 90 days",IF(F1601&lt;=120,"91 to 120 days","Over 120 days"))))</f>
        <v>Over 120 days</v>
      </c>
      <c r="H1601" s="0" t="n">
        <f aca="false">VLOOKUP(D1601,Rates!$A$4:$B$7,2,FALSE())</f>
        <v>0.115</v>
      </c>
      <c r="I1601" s="0" t="n">
        <f aca="false">VLOOKUP(F1601,Rates!$D$4:$E$8,2)</f>
        <v>0.85</v>
      </c>
      <c r="J1601" s="0" t="n">
        <f aca="false">ROUND(E1601*I1601,2)</f>
        <v>29535.77</v>
      </c>
      <c r="K1601" s="1" t="n">
        <f aca="false">PV(H1601/12,F1601/30,0,-E1601)</f>
        <v>33214.1509484312</v>
      </c>
      <c r="L1601" s="0" t="n">
        <f aca="false">ROUND(E1601-K1601,2)</f>
        <v>1533.82</v>
      </c>
      <c r="M1601" s="0" t="n">
        <f aca="false">F1601/E1601</f>
        <v>0.00408656966147951</v>
      </c>
    </row>
    <row r="1602" customFormat="false" ht="12.8" hidden="false" customHeight="false" outlineLevel="0" collapsed="false">
      <c r="A1602" s="0" t="s">
        <v>2328</v>
      </c>
      <c r="B1602" s="0" t="s">
        <v>33</v>
      </c>
      <c r="C1602" s="0" t="s">
        <v>26</v>
      </c>
      <c r="D1602" s="0" t="s">
        <v>20</v>
      </c>
      <c r="E1602" s="0" t="n">
        <v>28372.67</v>
      </c>
      <c r="F1602" s="0" t="n">
        <v>143</v>
      </c>
      <c r="G1602" s="0" t="str">
        <f aca="false">IF(F1602&lt;=30,"Current",IF(F1602&lt;=60,"31 to 60 days",IF(F1602&lt;=90,"61 to 90 days",IF(F1602&lt;=120,"91 to 120 days","Over 120 days"))))</f>
        <v>Over 120 days</v>
      </c>
      <c r="H1602" s="0" t="n">
        <f aca="false">VLOOKUP(D1602,Rates!$A$4:$B$7,2,FALSE())</f>
        <v>0.05</v>
      </c>
      <c r="I1602" s="0" t="n">
        <f aca="false">VLOOKUP(F1602,Rates!$D$4:$E$8,2)</f>
        <v>0.85</v>
      </c>
      <c r="J1602" s="0" t="n">
        <f aca="false">ROUND(E1602*I1602,2)</f>
        <v>24116.77</v>
      </c>
      <c r="K1602" s="1" t="n">
        <f aca="false">PV(H1602/12,F1602/30,0,-E1602)</f>
        <v>27815.8641139336</v>
      </c>
      <c r="L1602" s="0" t="n">
        <f aca="false">ROUND(E1602-K1602,2)</f>
        <v>556.81</v>
      </c>
      <c r="M1602" s="0" t="n">
        <f aca="false">F1602/E1602</f>
        <v>0.0050400614394063</v>
      </c>
    </row>
    <row r="1603" customFormat="false" ht="12.8" hidden="false" customHeight="false" outlineLevel="0" collapsed="false">
      <c r="A1603" s="0" t="s">
        <v>2329</v>
      </c>
      <c r="B1603" s="0" t="s">
        <v>2330</v>
      </c>
      <c r="C1603" s="0" t="s">
        <v>36</v>
      </c>
      <c r="D1603" s="0" t="s">
        <v>16</v>
      </c>
      <c r="E1603" s="0" t="n">
        <v>7830.64</v>
      </c>
      <c r="F1603" s="0" t="n">
        <v>370</v>
      </c>
      <c r="G1603" s="0" t="str">
        <f aca="false">IF(F1603&lt;=30,"Current",IF(F1603&lt;=60,"31 to 60 days",IF(F1603&lt;=90,"61 to 90 days",IF(F1603&lt;=120,"91 to 120 days","Over 120 days"))))</f>
        <v>Over 120 days</v>
      </c>
      <c r="H1603" s="0" t="n">
        <f aca="false">VLOOKUP(D1603,Rates!$A$4:$B$7,2,FALSE())</f>
        <v>0.085</v>
      </c>
      <c r="I1603" s="0" t="n">
        <f aca="false">VLOOKUP(F1603,Rates!$D$4:$E$8,2)</f>
        <v>0.85</v>
      </c>
      <c r="J1603" s="0" t="n">
        <f aca="false">ROUND(E1603*I1603,2)</f>
        <v>6656.04</v>
      </c>
      <c r="K1603" s="1" t="n">
        <f aca="false">PV(H1603/12,F1603/30,0,-E1603)</f>
        <v>7177.78674704538</v>
      </c>
      <c r="L1603" s="0" t="n">
        <f aca="false">ROUND(E1603-K1603,2)</f>
        <v>652.85</v>
      </c>
      <c r="M1603" s="0" t="n">
        <f aca="false">F1603/E1603</f>
        <v>0.047250288609871</v>
      </c>
    </row>
    <row r="1604" customFormat="false" ht="12.8" hidden="false" customHeight="false" outlineLevel="0" collapsed="false">
      <c r="A1604" s="0" t="s">
        <v>2331</v>
      </c>
      <c r="B1604" s="0" t="s">
        <v>2332</v>
      </c>
      <c r="C1604" s="0" t="s">
        <v>42</v>
      </c>
      <c r="D1604" s="0" t="s">
        <v>16</v>
      </c>
      <c r="E1604" s="0" t="n">
        <v>21763.04</v>
      </c>
      <c r="F1604" s="0" t="n">
        <v>281</v>
      </c>
      <c r="G1604" s="0" t="str">
        <f aca="false">IF(F1604&lt;=30,"Current",IF(F1604&lt;=60,"31 to 60 days",IF(F1604&lt;=90,"61 to 90 days",IF(F1604&lt;=120,"91 to 120 days","Over 120 days"))))</f>
        <v>Over 120 days</v>
      </c>
      <c r="H1604" s="0" t="n">
        <f aca="false">VLOOKUP(D1604,Rates!$A$4:$B$7,2,FALSE())</f>
        <v>0.085</v>
      </c>
      <c r="I1604" s="0" t="n">
        <f aca="false">VLOOKUP(F1604,Rates!$D$4:$E$8,2)</f>
        <v>0.85</v>
      </c>
      <c r="J1604" s="0" t="n">
        <f aca="false">ROUND(E1604*I1604,2)</f>
        <v>18498.58</v>
      </c>
      <c r="K1604" s="1" t="n">
        <f aca="false">PV(H1604/12,F1604/30,0,-E1604)</f>
        <v>20370.7443666374</v>
      </c>
      <c r="L1604" s="0" t="n">
        <f aca="false">ROUND(E1604-K1604,2)</f>
        <v>1392.3</v>
      </c>
      <c r="M1604" s="0" t="n">
        <f aca="false">F1604/E1604</f>
        <v>0.0129117990868923</v>
      </c>
    </row>
    <row r="1605" customFormat="false" ht="12.8" hidden="false" customHeight="false" outlineLevel="0" collapsed="false">
      <c r="A1605" s="0" t="s">
        <v>2333</v>
      </c>
      <c r="B1605" s="0" t="s">
        <v>35</v>
      </c>
      <c r="C1605" s="0" t="s">
        <v>36</v>
      </c>
      <c r="D1605" s="0" t="s">
        <v>23</v>
      </c>
      <c r="E1605" s="0" t="n">
        <v>6722.14</v>
      </c>
      <c r="F1605" s="0" t="n">
        <v>249</v>
      </c>
      <c r="G1605" s="0" t="str">
        <f aca="false">IF(F1605&lt;=30,"Current",IF(F1605&lt;=60,"31 to 60 days",IF(F1605&lt;=90,"61 to 90 days",IF(F1605&lt;=120,"91 to 120 days","Over 120 days"))))</f>
        <v>Over 120 days</v>
      </c>
      <c r="H1605" s="0" t="n">
        <f aca="false">VLOOKUP(D1605,Rates!$A$4:$B$7,2,FALSE())</f>
        <v>0.115</v>
      </c>
      <c r="I1605" s="0" t="n">
        <f aca="false">VLOOKUP(F1605,Rates!$D$4:$E$8,2)</f>
        <v>0.85</v>
      </c>
      <c r="J1605" s="0" t="n">
        <f aca="false">ROUND(E1605*I1605,2)</f>
        <v>5713.82</v>
      </c>
      <c r="K1605" s="1" t="n">
        <f aca="false">PV(H1605/12,F1605/30,0,-E1605)</f>
        <v>6210.51366951587</v>
      </c>
      <c r="L1605" s="0" t="n">
        <f aca="false">ROUND(E1605-K1605,2)</f>
        <v>511.63</v>
      </c>
      <c r="M1605" s="0" t="n">
        <f aca="false">F1605/E1605</f>
        <v>0.0370417753870047</v>
      </c>
    </row>
    <row r="1606" customFormat="false" ht="12.8" hidden="false" customHeight="false" outlineLevel="0" collapsed="false">
      <c r="A1606" s="0" t="s">
        <v>2334</v>
      </c>
      <c r="B1606" s="0" t="s">
        <v>2335</v>
      </c>
      <c r="C1606" s="0" t="s">
        <v>36</v>
      </c>
      <c r="D1606" s="0" t="s">
        <v>49</v>
      </c>
      <c r="E1606" s="0" t="n">
        <v>27943.57</v>
      </c>
      <c r="F1606" s="0" t="n">
        <v>29</v>
      </c>
      <c r="G1606" s="0" t="str">
        <f aca="false">IF(F1606&lt;=30,"Current",IF(F1606&lt;=60,"31 to 60 days",IF(F1606&lt;=90,"61 to 90 days",IF(F1606&lt;=120,"91 to 120 days","Over 120 days"))))</f>
        <v>Current</v>
      </c>
      <c r="H1606" s="0" t="n">
        <f aca="false">VLOOKUP(D1606,Rates!$A$4:$B$7,2,FALSE())</f>
        <v>0.02</v>
      </c>
      <c r="I1606" s="0" t="n">
        <f aca="false">VLOOKUP(F1606,Rates!$D$4:$E$8,2)</f>
        <v>0.02</v>
      </c>
      <c r="J1606" s="0" t="n">
        <f aca="false">ROUND(E1606*I1606,2)</f>
        <v>558.87</v>
      </c>
      <c r="K1606" s="1" t="n">
        <f aca="false">PV(H1606/12,F1606/30,0,-E1606)</f>
        <v>27898.6234655833</v>
      </c>
      <c r="L1606" s="0" t="n">
        <f aca="false">ROUND(E1606-K1606,2)</f>
        <v>44.95</v>
      </c>
      <c r="M1606" s="0" t="n">
        <f aca="false">F1606/E1606</f>
        <v>0.00103780583511699</v>
      </c>
    </row>
    <row r="1607" customFormat="false" ht="12.8" hidden="false" customHeight="false" outlineLevel="0" collapsed="false">
      <c r="A1607" s="0" t="s">
        <v>2336</v>
      </c>
      <c r="B1607" s="0" t="s">
        <v>84</v>
      </c>
      <c r="C1607" s="0" t="s">
        <v>26</v>
      </c>
      <c r="D1607" s="0" t="s">
        <v>23</v>
      </c>
      <c r="E1607" s="0" t="n">
        <v>13898.68</v>
      </c>
      <c r="F1607" s="0" t="n">
        <v>219</v>
      </c>
      <c r="G1607" s="0" t="str">
        <f aca="false">IF(F1607&lt;=30,"Current",IF(F1607&lt;=60,"31 to 60 days",IF(F1607&lt;=90,"61 to 90 days",IF(F1607&lt;=120,"91 to 120 days","Over 120 days"))))</f>
        <v>Over 120 days</v>
      </c>
      <c r="H1607" s="0" t="n">
        <f aca="false">VLOOKUP(D1607,Rates!$A$4:$B$7,2,FALSE())</f>
        <v>0.115</v>
      </c>
      <c r="I1607" s="0" t="n">
        <f aca="false">VLOOKUP(F1607,Rates!$D$4:$E$8,2)</f>
        <v>0.85</v>
      </c>
      <c r="J1607" s="0" t="n">
        <f aca="false">ROUND(E1607*I1607,2)</f>
        <v>11813.88</v>
      </c>
      <c r="K1607" s="1" t="n">
        <f aca="false">PV(H1607/12,F1607/30,0,-E1607)</f>
        <v>12963.9007429612</v>
      </c>
      <c r="L1607" s="0" t="n">
        <f aca="false">ROUND(E1607-K1607,2)</f>
        <v>934.78</v>
      </c>
      <c r="M1607" s="0" t="n">
        <f aca="false">F1607/E1607</f>
        <v>0.0157568920214006</v>
      </c>
    </row>
    <row r="1608" customFormat="false" ht="12.8" hidden="false" customHeight="false" outlineLevel="0" collapsed="false">
      <c r="A1608" s="0" t="s">
        <v>2337</v>
      </c>
      <c r="B1608" s="0" t="s">
        <v>18</v>
      </c>
      <c r="C1608" s="0" t="s">
        <v>19</v>
      </c>
      <c r="D1608" s="0" t="s">
        <v>20</v>
      </c>
      <c r="E1608" s="0" t="n">
        <v>12792.78</v>
      </c>
      <c r="F1608" s="0" t="n">
        <v>248</v>
      </c>
      <c r="G1608" s="0" t="str">
        <f aca="false">IF(F1608&lt;=30,"Current",IF(F1608&lt;=60,"31 to 60 days",IF(F1608&lt;=90,"61 to 90 days",IF(F1608&lt;=120,"91 to 120 days","Over 120 days"))))</f>
        <v>Over 120 days</v>
      </c>
      <c r="H1608" s="0" t="n">
        <f aca="false">VLOOKUP(D1608,Rates!$A$4:$B$7,2,FALSE())</f>
        <v>0.05</v>
      </c>
      <c r="I1608" s="0" t="n">
        <f aca="false">VLOOKUP(F1608,Rates!$D$4:$E$8,2)</f>
        <v>0.85</v>
      </c>
      <c r="J1608" s="0" t="n">
        <f aca="false">ROUND(E1608*I1608,2)</f>
        <v>10873.86</v>
      </c>
      <c r="K1608" s="1" t="n">
        <f aca="false">PV(H1608/12,F1608/30,0,-E1608)</f>
        <v>12360.5267123187</v>
      </c>
      <c r="L1608" s="0" t="n">
        <f aca="false">ROUND(E1608-K1608,2)</f>
        <v>432.25</v>
      </c>
      <c r="M1608" s="0" t="n">
        <f aca="false">F1608/E1608</f>
        <v>0.0193859348788926</v>
      </c>
    </row>
    <row r="1609" customFormat="false" ht="12.8" hidden="false" customHeight="false" outlineLevel="0" collapsed="false">
      <c r="A1609" s="0" t="s">
        <v>2338</v>
      </c>
      <c r="B1609" s="0" t="s">
        <v>285</v>
      </c>
      <c r="C1609" s="0" t="s">
        <v>36</v>
      </c>
      <c r="D1609" s="0" t="s">
        <v>23</v>
      </c>
      <c r="E1609" s="0" t="n">
        <v>35182.37</v>
      </c>
      <c r="F1609" s="0" t="n">
        <v>254</v>
      </c>
      <c r="G1609" s="0" t="str">
        <f aca="false">IF(F1609&lt;=30,"Current",IF(F1609&lt;=60,"31 to 60 days",IF(F1609&lt;=90,"61 to 90 days",IF(F1609&lt;=120,"91 to 120 days","Over 120 days"))))</f>
        <v>Over 120 days</v>
      </c>
      <c r="H1609" s="0" t="n">
        <f aca="false">VLOOKUP(D1609,Rates!$A$4:$B$7,2,FALSE())</f>
        <v>0.115</v>
      </c>
      <c r="I1609" s="0" t="n">
        <f aca="false">VLOOKUP(F1609,Rates!$D$4:$E$8,2)</f>
        <v>0.85</v>
      </c>
      <c r="J1609" s="0" t="n">
        <f aca="false">ROUND(E1609*I1609,2)</f>
        <v>29905.01</v>
      </c>
      <c r="K1609" s="1" t="n">
        <f aca="false">PV(H1609/12,F1609/30,0,-E1609)</f>
        <v>32452.9886888863</v>
      </c>
      <c r="L1609" s="0" t="n">
        <f aca="false">ROUND(E1609-K1609,2)</f>
        <v>2729.38</v>
      </c>
      <c r="M1609" s="0" t="n">
        <f aca="false">F1609/E1609</f>
        <v>0.00721952500641657</v>
      </c>
    </row>
    <row r="1610" customFormat="false" ht="12.8" hidden="false" customHeight="false" outlineLevel="0" collapsed="false">
      <c r="A1610" s="0" t="s">
        <v>2339</v>
      </c>
      <c r="B1610" s="0" t="s">
        <v>53</v>
      </c>
      <c r="C1610" s="0" t="s">
        <v>19</v>
      </c>
      <c r="D1610" s="0" t="s">
        <v>23</v>
      </c>
      <c r="E1610" s="0" t="n">
        <v>25521.56</v>
      </c>
      <c r="F1610" s="0" t="n">
        <v>111</v>
      </c>
      <c r="G1610" s="0" t="str">
        <f aca="false">IF(F1610&lt;=30,"Current",IF(F1610&lt;=60,"31 to 60 days",IF(F1610&lt;=90,"61 to 90 days",IF(F1610&lt;=120,"91 to 120 days","Over 120 days"))))</f>
        <v>91 to 120 days</v>
      </c>
      <c r="H1610" s="0" t="n">
        <f aca="false">VLOOKUP(D1610,Rates!$A$4:$B$7,2,FALSE())</f>
        <v>0.115</v>
      </c>
      <c r="I1610" s="0" t="n">
        <f aca="false">VLOOKUP(F1610,Rates!$D$4:$E$8,2)</f>
        <v>0.5</v>
      </c>
      <c r="J1610" s="0" t="n">
        <f aca="false">ROUND(E1610*I1610,2)</f>
        <v>12760.78</v>
      </c>
      <c r="K1610" s="1" t="n">
        <f aca="false">PV(H1610/12,F1610/30,0,-E1610)</f>
        <v>24636.6230703613</v>
      </c>
      <c r="L1610" s="0" t="n">
        <f aca="false">ROUND(E1610-K1610,2)</f>
        <v>884.94</v>
      </c>
      <c r="M1610" s="0" t="n">
        <f aca="false">F1610/E1610</f>
        <v>0.00434926391646906</v>
      </c>
    </row>
    <row r="1611" customFormat="false" ht="12.8" hidden="false" customHeight="false" outlineLevel="0" collapsed="false">
      <c r="A1611" s="0" t="s">
        <v>2340</v>
      </c>
      <c r="B1611" s="0" t="s">
        <v>418</v>
      </c>
      <c r="C1611" s="0" t="s">
        <v>15</v>
      </c>
      <c r="D1611" s="0" t="s">
        <v>16</v>
      </c>
      <c r="E1611" s="0" t="n">
        <v>39603.31</v>
      </c>
      <c r="F1611" s="0" t="n">
        <v>201</v>
      </c>
      <c r="G1611" s="0" t="str">
        <f aca="false">IF(F1611&lt;=30,"Current",IF(F1611&lt;=60,"31 to 60 days",IF(F1611&lt;=90,"61 to 90 days",IF(F1611&lt;=120,"91 to 120 days","Over 120 days"))))</f>
        <v>Over 120 days</v>
      </c>
      <c r="H1611" s="0" t="n">
        <f aca="false">VLOOKUP(D1611,Rates!$A$4:$B$7,2,FALSE())</f>
        <v>0.085</v>
      </c>
      <c r="I1611" s="0" t="n">
        <f aca="false">VLOOKUP(F1611,Rates!$D$4:$E$8,2)</f>
        <v>0.85</v>
      </c>
      <c r="J1611" s="0" t="n">
        <f aca="false">ROUND(E1611*I1611,2)</f>
        <v>33662.81</v>
      </c>
      <c r="K1611" s="1" t="n">
        <f aca="false">PV(H1611/12,F1611/30,0,-E1611)</f>
        <v>37774.0235743972</v>
      </c>
      <c r="L1611" s="0" t="n">
        <f aca="false">ROUND(E1611-K1611,2)</f>
        <v>1829.29</v>
      </c>
      <c r="M1611" s="0" t="n">
        <f aca="false">F1611/E1611</f>
        <v>0.00507533334966194</v>
      </c>
    </row>
    <row r="1612" customFormat="false" ht="12.8" hidden="false" customHeight="false" outlineLevel="0" collapsed="false">
      <c r="A1612" s="0" t="s">
        <v>2341</v>
      </c>
      <c r="B1612" s="0" t="s">
        <v>51</v>
      </c>
      <c r="C1612" s="0" t="s">
        <v>36</v>
      </c>
      <c r="D1612" s="0" t="s">
        <v>20</v>
      </c>
      <c r="E1612" s="0" t="n">
        <v>36556.74</v>
      </c>
      <c r="F1612" s="0" t="n">
        <v>399</v>
      </c>
      <c r="G1612" s="0" t="str">
        <f aca="false">IF(F1612&lt;=30,"Current",IF(F1612&lt;=60,"31 to 60 days",IF(F1612&lt;=90,"61 to 90 days",IF(F1612&lt;=120,"91 to 120 days","Over 120 days"))))</f>
        <v>Over 120 days</v>
      </c>
      <c r="H1612" s="0" t="n">
        <f aca="false">VLOOKUP(D1612,Rates!$A$4:$B$7,2,FALSE())</f>
        <v>0.05</v>
      </c>
      <c r="I1612" s="0" t="n">
        <f aca="false">VLOOKUP(F1612,Rates!$D$4:$E$8,2)</f>
        <v>0.85</v>
      </c>
      <c r="J1612" s="0" t="n">
        <f aca="false">ROUND(E1612*I1612,2)</f>
        <v>31073.23</v>
      </c>
      <c r="K1612" s="1" t="n">
        <f aca="false">PV(H1612/12,F1612/30,0,-E1612)</f>
        <v>34589.9798061476</v>
      </c>
      <c r="L1612" s="0" t="n">
        <f aca="false">ROUND(E1612-K1612,2)</f>
        <v>1966.76</v>
      </c>
      <c r="M1612" s="0" t="n">
        <f aca="false">F1612/E1612</f>
        <v>0.0109145399726562</v>
      </c>
    </row>
    <row r="1613" customFormat="false" ht="12.8" hidden="false" customHeight="false" outlineLevel="0" collapsed="false">
      <c r="A1613" s="0" t="s">
        <v>2342</v>
      </c>
      <c r="B1613" s="0" t="s">
        <v>727</v>
      </c>
      <c r="C1613" s="0" t="s">
        <v>15</v>
      </c>
      <c r="D1613" s="0" t="s">
        <v>16</v>
      </c>
      <c r="E1613" s="0" t="n">
        <v>30732.57</v>
      </c>
      <c r="F1613" s="0" t="n">
        <v>93</v>
      </c>
      <c r="G1613" s="0" t="str">
        <f aca="false">IF(F1613&lt;=30,"Current",IF(F1613&lt;=60,"31 to 60 days",IF(F1613&lt;=90,"61 to 90 days",IF(F1613&lt;=120,"91 to 120 days","Over 120 days"))))</f>
        <v>91 to 120 days</v>
      </c>
      <c r="H1613" s="0" t="n">
        <f aca="false">VLOOKUP(D1613,Rates!$A$4:$B$7,2,FALSE())</f>
        <v>0.085</v>
      </c>
      <c r="I1613" s="0" t="n">
        <f aca="false">VLOOKUP(F1613,Rates!$D$4:$E$8,2)</f>
        <v>0.5</v>
      </c>
      <c r="J1613" s="0" t="n">
        <f aca="false">ROUND(E1613*I1613,2)</f>
        <v>15366.29</v>
      </c>
      <c r="K1613" s="1" t="n">
        <f aca="false">PV(H1613/12,F1613/30,0,-E1613)</f>
        <v>30067.4164285244</v>
      </c>
      <c r="L1613" s="0" t="n">
        <f aca="false">ROUND(E1613-K1613,2)</f>
        <v>665.15</v>
      </c>
      <c r="M1613" s="0" t="n">
        <f aca="false">F1613/E1613</f>
        <v>0.00302610552908527</v>
      </c>
    </row>
    <row r="1614" customFormat="false" ht="12.8" hidden="false" customHeight="false" outlineLevel="0" collapsed="false">
      <c r="A1614" s="0" t="s">
        <v>2343</v>
      </c>
      <c r="B1614" s="0" t="s">
        <v>2344</v>
      </c>
      <c r="C1614" s="0" t="s">
        <v>15</v>
      </c>
      <c r="D1614" s="0" t="s">
        <v>49</v>
      </c>
      <c r="E1614" s="0" t="n">
        <v>33576.27</v>
      </c>
      <c r="F1614" s="0" t="n">
        <v>294</v>
      </c>
      <c r="G1614" s="0" t="str">
        <f aca="false">IF(F1614&lt;=30,"Current",IF(F1614&lt;=60,"31 to 60 days",IF(F1614&lt;=90,"61 to 90 days",IF(F1614&lt;=120,"91 to 120 days","Over 120 days"))))</f>
        <v>Over 120 days</v>
      </c>
      <c r="H1614" s="0" t="n">
        <f aca="false">VLOOKUP(D1614,Rates!$A$4:$B$7,2,FALSE())</f>
        <v>0.02</v>
      </c>
      <c r="I1614" s="0" t="n">
        <f aca="false">VLOOKUP(F1614,Rates!$D$4:$E$8,2)</f>
        <v>0.85</v>
      </c>
      <c r="J1614" s="0" t="n">
        <f aca="false">ROUND(E1614*I1614,2)</f>
        <v>28539.83</v>
      </c>
      <c r="K1614" s="1" t="n">
        <f aca="false">PV(H1614/12,F1614/30,0,-E1614)</f>
        <v>33032.7611171343</v>
      </c>
      <c r="L1614" s="0" t="n">
        <f aca="false">ROUND(E1614-K1614,2)</f>
        <v>543.51</v>
      </c>
      <c r="M1614" s="0" t="n">
        <f aca="false">F1614/E1614</f>
        <v>0.00875618405498884</v>
      </c>
    </row>
    <row r="1615" customFormat="false" ht="12.8" hidden="false" customHeight="false" outlineLevel="0" collapsed="false">
      <c r="A1615" s="0" t="s">
        <v>2345</v>
      </c>
      <c r="B1615" s="0" t="s">
        <v>51</v>
      </c>
      <c r="C1615" s="0" t="s">
        <v>36</v>
      </c>
      <c r="D1615" s="0" t="s">
        <v>20</v>
      </c>
      <c r="E1615" s="0" t="n">
        <v>10391.82</v>
      </c>
      <c r="F1615" s="0" t="n">
        <v>7</v>
      </c>
      <c r="G1615" s="0" t="str">
        <f aca="false">IF(F1615&lt;=30,"Current",IF(F1615&lt;=60,"31 to 60 days",IF(F1615&lt;=90,"61 to 90 days",IF(F1615&lt;=120,"91 to 120 days","Over 120 days"))))</f>
        <v>Current</v>
      </c>
      <c r="H1615" s="0" t="n">
        <f aca="false">VLOOKUP(D1615,Rates!$A$4:$B$7,2,FALSE())</f>
        <v>0.05</v>
      </c>
      <c r="I1615" s="0" t="n">
        <f aca="false">VLOOKUP(F1615,Rates!$D$4:$E$8,2)</f>
        <v>0.02</v>
      </c>
      <c r="J1615" s="0" t="n">
        <f aca="false">ROUND(E1615*I1615,2)</f>
        <v>207.84</v>
      </c>
      <c r="K1615" s="1" t="n">
        <f aca="false">PV(H1615/12,F1615/30,0,-E1615)</f>
        <v>10381.7427209184</v>
      </c>
      <c r="L1615" s="0" t="n">
        <f aca="false">ROUND(E1615-K1615,2)</f>
        <v>10.08</v>
      </c>
      <c r="M1615" s="0" t="n">
        <f aca="false">F1615/E1615</f>
        <v>0.000673606740686425</v>
      </c>
    </row>
    <row r="1616" customFormat="false" ht="12.8" hidden="false" customHeight="false" outlineLevel="0" collapsed="false">
      <c r="A1616" s="0" t="s">
        <v>2346</v>
      </c>
      <c r="B1616" s="0" t="s">
        <v>2347</v>
      </c>
      <c r="C1616" s="0" t="s">
        <v>42</v>
      </c>
      <c r="D1616" s="0" t="s">
        <v>16</v>
      </c>
      <c r="E1616" s="0" t="n">
        <v>19366.42</v>
      </c>
      <c r="F1616" s="0" t="n">
        <v>386</v>
      </c>
      <c r="G1616" s="0" t="str">
        <f aca="false">IF(F1616&lt;=30,"Current",IF(F1616&lt;=60,"31 to 60 days",IF(F1616&lt;=90,"61 to 90 days",IF(F1616&lt;=120,"91 to 120 days","Over 120 days"))))</f>
        <v>Over 120 days</v>
      </c>
      <c r="H1616" s="0" t="n">
        <f aca="false">VLOOKUP(D1616,Rates!$A$4:$B$7,2,FALSE())</f>
        <v>0.085</v>
      </c>
      <c r="I1616" s="0" t="n">
        <f aca="false">VLOOKUP(F1616,Rates!$D$4:$E$8,2)</f>
        <v>0.85</v>
      </c>
      <c r="J1616" s="0" t="n">
        <f aca="false">ROUND(E1616*I1616,2)</f>
        <v>16461.46</v>
      </c>
      <c r="K1616" s="1" t="n">
        <f aca="false">PV(H1616/12,F1616/30,0,-E1616)</f>
        <v>17685.109545871</v>
      </c>
      <c r="L1616" s="0" t="n">
        <f aca="false">ROUND(E1616-K1616,2)</f>
        <v>1681.31</v>
      </c>
      <c r="M1616" s="0" t="n">
        <f aca="false">F1616/E1616</f>
        <v>0.0199314070437386</v>
      </c>
    </row>
    <row r="1617" customFormat="false" ht="12.8" hidden="false" customHeight="false" outlineLevel="0" collapsed="false">
      <c r="A1617" s="0" t="s">
        <v>2348</v>
      </c>
      <c r="B1617" s="0" t="s">
        <v>2349</v>
      </c>
      <c r="C1617" s="0" t="s">
        <v>26</v>
      </c>
      <c r="D1617" s="0" t="s">
        <v>16</v>
      </c>
      <c r="E1617" s="0" t="n">
        <v>11821.89</v>
      </c>
      <c r="F1617" s="0" t="n">
        <v>185</v>
      </c>
      <c r="G1617" s="0" t="str">
        <f aca="false">IF(F1617&lt;=30,"Current",IF(F1617&lt;=60,"31 to 60 days",IF(F1617&lt;=90,"61 to 90 days",IF(F1617&lt;=120,"91 to 120 days","Over 120 days"))))</f>
        <v>Over 120 days</v>
      </c>
      <c r="H1617" s="0" t="n">
        <f aca="false">VLOOKUP(D1617,Rates!$A$4:$B$7,2,FALSE())</f>
        <v>0.085</v>
      </c>
      <c r="I1617" s="0" t="n">
        <f aca="false">VLOOKUP(F1617,Rates!$D$4:$E$8,2)</f>
        <v>0.85</v>
      </c>
      <c r="J1617" s="0" t="n">
        <f aca="false">ROUND(E1617*I1617,2)</f>
        <v>10048.61</v>
      </c>
      <c r="K1617" s="1" t="n">
        <f aca="false">PV(H1617/12,F1617/30,0,-E1617)</f>
        <v>11318.3614878261</v>
      </c>
      <c r="L1617" s="0" t="n">
        <f aca="false">ROUND(E1617-K1617,2)</f>
        <v>503.53</v>
      </c>
      <c r="M1617" s="0" t="n">
        <f aca="false">F1617/E1617</f>
        <v>0.0156489359992353</v>
      </c>
    </row>
    <row r="1618" customFormat="false" ht="12.8" hidden="false" customHeight="false" outlineLevel="0" collapsed="false">
      <c r="A1618" s="0" t="s">
        <v>2350</v>
      </c>
      <c r="B1618" s="0" t="s">
        <v>1490</v>
      </c>
      <c r="C1618" s="0" t="s">
        <v>36</v>
      </c>
      <c r="D1618" s="0" t="s">
        <v>16</v>
      </c>
      <c r="E1618" s="0" t="n">
        <v>34731.38</v>
      </c>
      <c r="F1618" s="0" t="n">
        <v>171</v>
      </c>
      <c r="G1618" s="0" t="str">
        <f aca="false">IF(F1618&lt;=30,"Current",IF(F1618&lt;=60,"31 to 60 days",IF(F1618&lt;=90,"61 to 90 days",IF(F1618&lt;=120,"91 to 120 days","Over 120 days"))))</f>
        <v>Over 120 days</v>
      </c>
      <c r="H1618" s="0" t="n">
        <f aca="false">VLOOKUP(D1618,Rates!$A$4:$B$7,2,FALSE())</f>
        <v>0.085</v>
      </c>
      <c r="I1618" s="0" t="n">
        <f aca="false">VLOOKUP(F1618,Rates!$D$4:$E$8,2)</f>
        <v>0.85</v>
      </c>
      <c r="J1618" s="0" t="n">
        <f aca="false">ROUND(E1618*I1618,2)</f>
        <v>29521.67</v>
      </c>
      <c r="K1618" s="1" t="n">
        <f aca="false">PV(H1618/12,F1618/30,0,-E1618)</f>
        <v>33361.7796927452</v>
      </c>
      <c r="L1618" s="0" t="n">
        <f aca="false">ROUND(E1618-K1618,2)</f>
        <v>1369.6</v>
      </c>
      <c r="M1618" s="0" t="n">
        <f aca="false">F1618/E1618</f>
        <v>0.00492350145603198</v>
      </c>
    </row>
    <row r="1619" customFormat="false" ht="12.8" hidden="false" customHeight="false" outlineLevel="0" collapsed="false">
      <c r="A1619" s="0" t="s">
        <v>2351</v>
      </c>
      <c r="B1619" s="0" t="s">
        <v>2352</v>
      </c>
      <c r="C1619" s="0" t="s">
        <v>36</v>
      </c>
      <c r="D1619" s="0" t="s">
        <v>49</v>
      </c>
      <c r="E1619" s="0" t="n">
        <v>2116.41</v>
      </c>
      <c r="F1619" s="0" t="n">
        <v>7</v>
      </c>
      <c r="G1619" s="0" t="str">
        <f aca="false">IF(F1619&lt;=30,"Current",IF(F1619&lt;=60,"31 to 60 days",IF(F1619&lt;=90,"61 to 90 days",IF(F1619&lt;=120,"91 to 120 days","Over 120 days"))))</f>
        <v>Current</v>
      </c>
      <c r="H1619" s="0" t="n">
        <f aca="false">VLOOKUP(D1619,Rates!$A$4:$B$7,2,FALSE())</f>
        <v>0.02</v>
      </c>
      <c r="I1619" s="0" t="n">
        <f aca="false">VLOOKUP(F1619,Rates!$D$4:$E$8,2)</f>
        <v>0.02</v>
      </c>
      <c r="J1619" s="0" t="n">
        <f aca="false">ROUND(E1619*I1619,2)</f>
        <v>42.33</v>
      </c>
      <c r="K1619" s="1" t="n">
        <f aca="false">PV(H1619/12,F1619/30,0,-E1619)</f>
        <v>2115.58779652931</v>
      </c>
      <c r="L1619" s="0" t="n">
        <f aca="false">ROUND(E1619-K1619,2)</f>
        <v>0.82</v>
      </c>
      <c r="M1619" s="0" t="n">
        <f aca="false">F1619/E1619</f>
        <v>0.00330748767960839</v>
      </c>
    </row>
    <row r="1620" customFormat="false" ht="12.8" hidden="false" customHeight="false" outlineLevel="0" collapsed="false">
      <c r="A1620" s="0" t="s">
        <v>2353</v>
      </c>
      <c r="B1620" s="0" t="s">
        <v>33</v>
      </c>
      <c r="C1620" s="0" t="s">
        <v>26</v>
      </c>
      <c r="D1620" s="0" t="s">
        <v>20</v>
      </c>
      <c r="E1620" s="0" t="n">
        <v>13170.63</v>
      </c>
      <c r="F1620" s="0" t="n">
        <v>27</v>
      </c>
      <c r="G1620" s="0" t="str">
        <f aca="false">IF(F1620&lt;=30,"Current",IF(F1620&lt;=60,"31 to 60 days",IF(F1620&lt;=90,"61 to 90 days",IF(F1620&lt;=120,"91 to 120 days","Over 120 days"))))</f>
        <v>Current</v>
      </c>
      <c r="H1620" s="0" t="n">
        <f aca="false">VLOOKUP(D1620,Rates!$A$4:$B$7,2,FALSE())</f>
        <v>0.05</v>
      </c>
      <c r="I1620" s="0" t="n">
        <f aca="false">VLOOKUP(F1620,Rates!$D$4:$E$8,2)</f>
        <v>0.02</v>
      </c>
      <c r="J1620" s="0" t="n">
        <f aca="false">ROUND(E1620*I1620,2)</f>
        <v>263.41</v>
      </c>
      <c r="K1620" s="1" t="n">
        <f aca="false">PV(H1620/12,F1620/30,0,-E1620)</f>
        <v>13121.4348547883</v>
      </c>
      <c r="L1620" s="0" t="n">
        <f aca="false">ROUND(E1620-K1620,2)</f>
        <v>49.2</v>
      </c>
      <c r="M1620" s="0" t="n">
        <f aca="false">F1620/E1620</f>
        <v>0.0020500158306778</v>
      </c>
    </row>
    <row r="1621" customFormat="false" ht="12.8" hidden="false" customHeight="false" outlineLevel="0" collapsed="false">
      <c r="A1621" s="0" t="s">
        <v>2354</v>
      </c>
      <c r="B1621" s="0" t="s">
        <v>2355</v>
      </c>
      <c r="C1621" s="0" t="s">
        <v>31</v>
      </c>
      <c r="D1621" s="0" t="s">
        <v>16</v>
      </c>
      <c r="E1621" s="0" t="n">
        <v>20660.69</v>
      </c>
      <c r="F1621" s="0" t="n">
        <v>307</v>
      </c>
      <c r="G1621" s="0" t="str">
        <f aca="false">IF(F1621&lt;=30,"Current",IF(F1621&lt;=60,"31 to 60 days",IF(F1621&lt;=90,"61 to 90 days",IF(F1621&lt;=120,"91 to 120 days","Over 120 days"))))</f>
        <v>Over 120 days</v>
      </c>
      <c r="H1621" s="0" t="n">
        <f aca="false">VLOOKUP(D1621,Rates!$A$4:$B$7,2,FALSE())</f>
        <v>0.085</v>
      </c>
      <c r="I1621" s="0" t="n">
        <f aca="false">VLOOKUP(F1621,Rates!$D$4:$E$8,2)</f>
        <v>0.85</v>
      </c>
      <c r="J1621" s="0" t="n">
        <f aca="false">ROUND(E1621*I1621,2)</f>
        <v>17561.59</v>
      </c>
      <c r="K1621" s="1" t="n">
        <f aca="false">PV(H1621/12,F1621/30,0,-E1621)</f>
        <v>19220.9775944563</v>
      </c>
      <c r="L1621" s="0" t="n">
        <f aca="false">ROUND(E1621-K1621,2)</f>
        <v>1439.71</v>
      </c>
      <c r="M1621" s="0" t="n">
        <f aca="false">F1621/E1621</f>
        <v>0.0148591358759073</v>
      </c>
    </row>
    <row r="1622" customFormat="false" ht="12.8" hidden="false" customHeight="false" outlineLevel="0" collapsed="false">
      <c r="A1622" s="0" t="s">
        <v>2356</v>
      </c>
      <c r="B1622" s="0" t="s">
        <v>78</v>
      </c>
      <c r="C1622" s="0" t="s">
        <v>19</v>
      </c>
      <c r="D1622" s="0" t="s">
        <v>23</v>
      </c>
      <c r="E1622" s="0" t="n">
        <v>22125.19</v>
      </c>
      <c r="F1622" s="0" t="n">
        <v>153</v>
      </c>
      <c r="G1622" s="0" t="str">
        <f aca="false">IF(F1622&lt;=30,"Current",IF(F1622&lt;=60,"31 to 60 days",IF(F1622&lt;=90,"61 to 90 days",IF(F1622&lt;=120,"91 to 120 days","Over 120 days"))))</f>
        <v>Over 120 days</v>
      </c>
      <c r="H1622" s="0" t="n">
        <f aca="false">VLOOKUP(D1622,Rates!$A$4:$B$7,2,FALSE())</f>
        <v>0.115</v>
      </c>
      <c r="I1622" s="0" t="n">
        <f aca="false">VLOOKUP(F1622,Rates!$D$4:$E$8,2)</f>
        <v>0.85</v>
      </c>
      <c r="J1622" s="0" t="n">
        <f aca="false">ROUND(E1622*I1622,2)</f>
        <v>18806.41</v>
      </c>
      <c r="K1622" s="1" t="n">
        <f aca="false">PV(H1622/12,F1622/30,0,-E1622)</f>
        <v>21074.7256408885</v>
      </c>
      <c r="L1622" s="0" t="n">
        <f aca="false">ROUND(E1622-K1622,2)</f>
        <v>1050.46</v>
      </c>
      <c r="M1622" s="0" t="n">
        <f aca="false">F1622/E1622</f>
        <v>0.00691519485256398</v>
      </c>
    </row>
    <row r="1623" customFormat="false" ht="12.8" hidden="false" customHeight="false" outlineLevel="0" collapsed="false">
      <c r="A1623" s="0" t="s">
        <v>2357</v>
      </c>
      <c r="B1623" s="0" t="s">
        <v>55</v>
      </c>
      <c r="C1623" s="0" t="s">
        <v>26</v>
      </c>
      <c r="D1623" s="0" t="s">
        <v>23</v>
      </c>
      <c r="E1623" s="0" t="n">
        <v>37122.23</v>
      </c>
      <c r="F1623" s="0" t="n">
        <v>277</v>
      </c>
      <c r="G1623" s="0" t="str">
        <f aca="false">IF(F1623&lt;=30,"Current",IF(F1623&lt;=60,"31 to 60 days",IF(F1623&lt;=90,"61 to 90 days",IF(F1623&lt;=120,"91 to 120 days","Over 120 days"))))</f>
        <v>Over 120 days</v>
      </c>
      <c r="H1623" s="0" t="n">
        <f aca="false">VLOOKUP(D1623,Rates!$A$4:$B$7,2,FALSE())</f>
        <v>0.115</v>
      </c>
      <c r="I1623" s="0" t="n">
        <f aca="false">VLOOKUP(F1623,Rates!$D$4:$E$8,2)</f>
        <v>0.85</v>
      </c>
      <c r="J1623" s="0" t="n">
        <f aca="false">ROUND(E1623*I1623,2)</f>
        <v>31553.9</v>
      </c>
      <c r="K1623" s="1" t="n">
        <f aca="false">PV(H1623/12,F1623/30,0,-E1623)</f>
        <v>33992.8829206564</v>
      </c>
      <c r="L1623" s="0" t="n">
        <f aca="false">ROUND(E1623-K1623,2)</f>
        <v>3129.35</v>
      </c>
      <c r="M1623" s="0" t="n">
        <f aca="false">F1623/E1623</f>
        <v>0.00746183620973201</v>
      </c>
    </row>
    <row r="1624" customFormat="false" ht="12.8" hidden="false" customHeight="false" outlineLevel="0" collapsed="false">
      <c r="A1624" s="0" t="s">
        <v>2358</v>
      </c>
      <c r="B1624" s="0" t="s">
        <v>283</v>
      </c>
      <c r="C1624" s="0" t="s">
        <v>26</v>
      </c>
      <c r="D1624" s="0" t="s">
        <v>49</v>
      </c>
      <c r="E1624" s="0" t="n">
        <v>34186.12</v>
      </c>
      <c r="F1624" s="0" t="n">
        <v>138</v>
      </c>
      <c r="G1624" s="0" t="str">
        <f aca="false">IF(F1624&lt;=30,"Current",IF(F1624&lt;=60,"31 to 60 days",IF(F1624&lt;=90,"61 to 90 days",IF(F1624&lt;=120,"91 to 120 days","Over 120 days"))))</f>
        <v>Over 120 days</v>
      </c>
      <c r="H1624" s="0" t="n">
        <f aca="false">VLOOKUP(D1624,Rates!$A$4:$B$7,2,FALSE())</f>
        <v>0.02</v>
      </c>
      <c r="I1624" s="0" t="n">
        <f aca="false">VLOOKUP(F1624,Rates!$D$4:$E$8,2)</f>
        <v>0.85</v>
      </c>
      <c r="J1624" s="0" t="n">
        <f aca="false">ROUND(E1624*I1624,2)</f>
        <v>29058.2</v>
      </c>
      <c r="K1624" s="1" t="n">
        <f aca="false">PV(H1624/12,F1624/30,0,-E1624)</f>
        <v>33925.2450461863</v>
      </c>
      <c r="L1624" s="0" t="n">
        <f aca="false">ROUND(E1624-K1624,2)</f>
        <v>260.87</v>
      </c>
      <c r="M1624" s="0" t="n">
        <f aca="false">F1624/E1624</f>
        <v>0.00403672601628965</v>
      </c>
    </row>
    <row r="1625" customFormat="false" ht="12.8" hidden="false" customHeight="false" outlineLevel="0" collapsed="false">
      <c r="A1625" s="0" t="s">
        <v>2359</v>
      </c>
      <c r="B1625" s="0" t="s">
        <v>2360</v>
      </c>
      <c r="C1625" s="0" t="s">
        <v>42</v>
      </c>
      <c r="D1625" s="0" t="s">
        <v>49</v>
      </c>
      <c r="E1625" s="0" t="n">
        <v>35055.16</v>
      </c>
      <c r="F1625" s="0" t="n">
        <v>220</v>
      </c>
      <c r="G1625" s="0" t="str">
        <f aca="false">IF(F1625&lt;=30,"Current",IF(F1625&lt;=60,"31 to 60 days",IF(F1625&lt;=90,"61 to 90 days",IF(F1625&lt;=120,"91 to 120 days","Over 120 days"))))</f>
        <v>Over 120 days</v>
      </c>
      <c r="H1625" s="0" t="n">
        <f aca="false">VLOOKUP(D1625,Rates!$A$4:$B$7,2,FALSE())</f>
        <v>0.02</v>
      </c>
      <c r="I1625" s="0" t="n">
        <f aca="false">VLOOKUP(F1625,Rates!$D$4:$E$8,2)</f>
        <v>0.85</v>
      </c>
      <c r="J1625" s="0" t="n">
        <f aca="false">ROUND(E1625*I1625,2)</f>
        <v>29796.89</v>
      </c>
      <c r="K1625" s="1" t="n">
        <f aca="false">PV(H1625/12,F1625/30,0,-E1625)</f>
        <v>34629.6680436253</v>
      </c>
      <c r="L1625" s="0" t="n">
        <f aca="false">ROUND(E1625-K1625,2)</f>
        <v>425.49</v>
      </c>
      <c r="M1625" s="0" t="n">
        <f aca="false">F1625/E1625</f>
        <v>0.00627582358774001</v>
      </c>
    </row>
    <row r="1626" customFormat="false" ht="12.8" hidden="false" customHeight="false" outlineLevel="0" collapsed="false">
      <c r="A1626" s="0" t="s">
        <v>2361</v>
      </c>
      <c r="B1626" s="0" t="s">
        <v>97</v>
      </c>
      <c r="C1626" s="0" t="s">
        <v>42</v>
      </c>
      <c r="D1626" s="0" t="s">
        <v>20</v>
      </c>
      <c r="E1626" s="0" t="n">
        <v>32387.44</v>
      </c>
      <c r="F1626" s="0" t="n">
        <v>241</v>
      </c>
      <c r="G1626" s="0" t="str">
        <f aca="false">IF(F1626&lt;=30,"Current",IF(F1626&lt;=60,"31 to 60 days",IF(F1626&lt;=90,"61 to 90 days",IF(F1626&lt;=120,"91 to 120 days","Over 120 days"))))</f>
        <v>Over 120 days</v>
      </c>
      <c r="H1626" s="0" t="n">
        <f aca="false">VLOOKUP(D1626,Rates!$A$4:$B$7,2,FALSE())</f>
        <v>0.05</v>
      </c>
      <c r="I1626" s="0" t="n">
        <f aca="false">VLOOKUP(F1626,Rates!$D$4:$E$8,2)</f>
        <v>0.85</v>
      </c>
      <c r="J1626" s="0" t="n">
        <f aca="false">ROUND(E1626*I1626,2)</f>
        <v>27529.32</v>
      </c>
      <c r="K1626" s="1" t="n">
        <f aca="false">PV(H1626/12,F1626/30,0,-E1626)</f>
        <v>31323.4811192195</v>
      </c>
      <c r="L1626" s="0" t="n">
        <f aca="false">ROUND(E1626-K1626,2)</f>
        <v>1063.96</v>
      </c>
      <c r="M1626" s="0" t="n">
        <f aca="false">F1626/E1626</f>
        <v>0.00744115620129285</v>
      </c>
    </row>
    <row r="1627" customFormat="false" ht="12.8" hidden="false" customHeight="false" outlineLevel="0" collapsed="false">
      <c r="A1627" s="0" t="s">
        <v>2362</v>
      </c>
      <c r="B1627" s="0" t="s">
        <v>1909</v>
      </c>
      <c r="C1627" s="0" t="s">
        <v>15</v>
      </c>
      <c r="D1627" s="0" t="s">
        <v>16</v>
      </c>
      <c r="E1627" s="0" t="n">
        <v>29973.68</v>
      </c>
      <c r="F1627" s="0" t="n">
        <v>284</v>
      </c>
      <c r="G1627" s="0" t="str">
        <f aca="false">IF(F1627&lt;=30,"Current",IF(F1627&lt;=60,"31 to 60 days",IF(F1627&lt;=90,"61 to 90 days",IF(F1627&lt;=120,"91 to 120 days","Over 120 days"))))</f>
        <v>Over 120 days</v>
      </c>
      <c r="H1627" s="0" t="n">
        <f aca="false">VLOOKUP(D1627,Rates!$A$4:$B$7,2,FALSE())</f>
        <v>0.085</v>
      </c>
      <c r="I1627" s="0" t="n">
        <f aca="false">VLOOKUP(F1627,Rates!$D$4:$E$8,2)</f>
        <v>0.85</v>
      </c>
      <c r="J1627" s="0" t="n">
        <f aca="false">ROUND(E1627*I1627,2)</f>
        <v>25477.63</v>
      </c>
      <c r="K1627" s="1" t="n">
        <f aca="false">PV(H1627/12,F1627/30,0,-E1627)</f>
        <v>28036.3106947144</v>
      </c>
      <c r="L1627" s="0" t="n">
        <f aca="false">ROUND(E1627-K1627,2)</f>
        <v>1937.37</v>
      </c>
      <c r="M1627" s="0" t="n">
        <f aca="false">F1627/E1627</f>
        <v>0.00947497938191106</v>
      </c>
    </row>
    <row r="1628" customFormat="false" ht="12.8" hidden="false" customHeight="false" outlineLevel="0" collapsed="false">
      <c r="A1628" s="0" t="s">
        <v>2363</v>
      </c>
      <c r="B1628" s="0" t="s">
        <v>799</v>
      </c>
      <c r="C1628" s="0" t="s">
        <v>31</v>
      </c>
      <c r="D1628" s="0" t="s">
        <v>16</v>
      </c>
      <c r="E1628" s="0" t="n">
        <v>31575.52</v>
      </c>
      <c r="F1628" s="0" t="n">
        <v>353</v>
      </c>
      <c r="G1628" s="0" t="str">
        <f aca="false">IF(F1628&lt;=30,"Current",IF(F1628&lt;=60,"31 to 60 days",IF(F1628&lt;=90,"61 to 90 days",IF(F1628&lt;=120,"91 to 120 days","Over 120 days"))))</f>
        <v>Over 120 days</v>
      </c>
      <c r="H1628" s="0" t="n">
        <f aca="false">VLOOKUP(D1628,Rates!$A$4:$B$7,2,FALSE())</f>
        <v>0.085</v>
      </c>
      <c r="I1628" s="0" t="n">
        <f aca="false">VLOOKUP(F1628,Rates!$D$4:$E$8,2)</f>
        <v>0.85</v>
      </c>
      <c r="J1628" s="0" t="n">
        <f aca="false">ROUND(E1628*I1628,2)</f>
        <v>26839.19</v>
      </c>
      <c r="K1628" s="1" t="n">
        <f aca="false">PV(H1628/12,F1628/30,0,-E1628)</f>
        <v>29059.01366107</v>
      </c>
      <c r="L1628" s="0" t="n">
        <f aca="false">ROUND(E1628-K1628,2)</f>
        <v>2516.51</v>
      </c>
      <c r="M1628" s="0" t="n">
        <f aca="false">F1628/E1628</f>
        <v>0.0111795466868004</v>
      </c>
    </row>
    <row r="1629" customFormat="false" ht="12.8" hidden="false" customHeight="false" outlineLevel="0" collapsed="false">
      <c r="A1629" s="0" t="s">
        <v>2364</v>
      </c>
      <c r="B1629" s="0" t="s">
        <v>2365</v>
      </c>
      <c r="C1629" s="0" t="s">
        <v>19</v>
      </c>
      <c r="D1629" s="0" t="s">
        <v>49</v>
      </c>
      <c r="E1629" s="0" t="n">
        <v>8063.48</v>
      </c>
      <c r="F1629" s="0" t="n">
        <v>211</v>
      </c>
      <c r="G1629" s="0" t="str">
        <f aca="false">IF(F1629&lt;=30,"Current",IF(F1629&lt;=60,"31 to 60 days",IF(F1629&lt;=90,"61 to 90 days",IF(F1629&lt;=120,"91 to 120 days","Over 120 days"))))</f>
        <v>Over 120 days</v>
      </c>
      <c r="H1629" s="0" t="n">
        <f aca="false">VLOOKUP(D1629,Rates!$A$4:$B$7,2,FALSE())</f>
        <v>0.02</v>
      </c>
      <c r="I1629" s="0" t="n">
        <f aca="false">VLOOKUP(F1629,Rates!$D$4:$E$8,2)</f>
        <v>0.85</v>
      </c>
      <c r="J1629" s="0" t="n">
        <f aca="false">ROUND(E1629*I1629,2)</f>
        <v>6853.96</v>
      </c>
      <c r="K1629" s="1" t="n">
        <f aca="false">PV(H1629/12,F1629/30,0,-E1629)</f>
        <v>7969.58770484447</v>
      </c>
      <c r="L1629" s="0" t="n">
        <f aca="false">ROUND(E1629-K1629,2)</f>
        <v>93.89</v>
      </c>
      <c r="M1629" s="0" t="n">
        <f aca="false">F1629/E1629</f>
        <v>0.0261673619826675</v>
      </c>
    </row>
    <row r="1630" customFormat="false" ht="12.8" hidden="false" customHeight="false" outlineLevel="0" collapsed="false">
      <c r="A1630" s="0" t="s">
        <v>2366</v>
      </c>
      <c r="B1630" s="0" t="s">
        <v>2367</v>
      </c>
      <c r="C1630" s="0" t="s">
        <v>19</v>
      </c>
      <c r="D1630" s="0" t="s">
        <v>49</v>
      </c>
      <c r="E1630" s="0" t="n">
        <v>37240.77</v>
      </c>
      <c r="F1630" s="0" t="n">
        <v>53</v>
      </c>
      <c r="G1630" s="0" t="str">
        <f aca="false">IF(F1630&lt;=30,"Current",IF(F1630&lt;=60,"31 to 60 days",IF(F1630&lt;=90,"61 to 90 days",IF(F1630&lt;=120,"91 to 120 days","Over 120 days"))))</f>
        <v>31 to 60 days</v>
      </c>
      <c r="H1630" s="0" t="n">
        <f aca="false">VLOOKUP(D1630,Rates!$A$4:$B$7,2,FALSE())</f>
        <v>0.02</v>
      </c>
      <c r="I1630" s="0" t="n">
        <f aca="false">VLOOKUP(F1630,Rates!$D$4:$E$8,2)</f>
        <v>0.1</v>
      </c>
      <c r="J1630" s="0" t="n">
        <f aca="false">ROUND(E1630*I1630,2)</f>
        <v>3724.08</v>
      </c>
      <c r="K1630" s="1" t="n">
        <f aca="false">PV(H1630/12,F1630/30,0,-E1630)</f>
        <v>37131.3689056385</v>
      </c>
      <c r="L1630" s="0" t="n">
        <f aca="false">ROUND(E1630-K1630,2)</f>
        <v>109.4</v>
      </c>
      <c r="M1630" s="0" t="n">
        <f aca="false">F1630/E1630</f>
        <v>0.00142317143281409</v>
      </c>
    </row>
    <row r="1631" customFormat="false" ht="12.8" hidden="false" customHeight="false" outlineLevel="0" collapsed="false">
      <c r="A1631" s="0" t="s">
        <v>2368</v>
      </c>
      <c r="B1631" s="0" t="s">
        <v>55</v>
      </c>
      <c r="C1631" s="0" t="s">
        <v>26</v>
      </c>
      <c r="D1631" s="0" t="s">
        <v>23</v>
      </c>
      <c r="E1631" s="0" t="n">
        <v>30096.13</v>
      </c>
      <c r="F1631" s="0" t="n">
        <v>84</v>
      </c>
      <c r="G1631" s="0" t="str">
        <f aca="false">IF(F1631&lt;=30,"Current",IF(F1631&lt;=60,"31 to 60 days",IF(F1631&lt;=90,"61 to 90 days",IF(F1631&lt;=120,"91 to 120 days","Over 120 days"))))</f>
        <v>61 to 90 days</v>
      </c>
      <c r="H1631" s="0" t="n">
        <f aca="false">VLOOKUP(D1631,Rates!$A$4:$B$7,2,FALSE())</f>
        <v>0.115</v>
      </c>
      <c r="I1631" s="0" t="n">
        <f aca="false">VLOOKUP(F1631,Rates!$D$4:$E$8,2)</f>
        <v>0.25</v>
      </c>
      <c r="J1631" s="0" t="n">
        <f aca="false">ROUND(E1631*I1631,2)</f>
        <v>7524.03</v>
      </c>
      <c r="K1631" s="1" t="n">
        <f aca="false">PV(H1631/12,F1631/30,0,-E1631)</f>
        <v>29303.0328092618</v>
      </c>
      <c r="L1631" s="0" t="n">
        <f aca="false">ROUND(E1631-K1631,2)</f>
        <v>793.1</v>
      </c>
      <c r="M1631" s="0" t="n">
        <f aca="false">F1631/E1631</f>
        <v>0.00279105652454319</v>
      </c>
    </row>
    <row r="1632" customFormat="false" ht="12.8" hidden="false" customHeight="false" outlineLevel="0" collapsed="false">
      <c r="A1632" s="0" t="s">
        <v>2369</v>
      </c>
      <c r="B1632" s="0" t="s">
        <v>2370</v>
      </c>
      <c r="C1632" s="0" t="s">
        <v>31</v>
      </c>
      <c r="D1632" s="0" t="s">
        <v>16</v>
      </c>
      <c r="E1632" s="0" t="n">
        <v>1504.08</v>
      </c>
      <c r="F1632" s="0" t="n">
        <v>284</v>
      </c>
      <c r="G1632" s="0" t="str">
        <f aca="false">IF(F1632&lt;=30,"Current",IF(F1632&lt;=60,"31 to 60 days",IF(F1632&lt;=90,"61 to 90 days",IF(F1632&lt;=120,"91 to 120 days","Over 120 days"))))</f>
        <v>Over 120 days</v>
      </c>
      <c r="H1632" s="0" t="n">
        <f aca="false">VLOOKUP(D1632,Rates!$A$4:$B$7,2,FALSE())</f>
        <v>0.085</v>
      </c>
      <c r="I1632" s="0" t="n">
        <f aca="false">VLOOKUP(F1632,Rates!$D$4:$E$8,2)</f>
        <v>0.85</v>
      </c>
      <c r="J1632" s="0" t="n">
        <f aca="false">ROUND(E1632*I1632,2)</f>
        <v>1278.47</v>
      </c>
      <c r="K1632" s="1" t="n">
        <f aca="false">PV(H1632/12,F1632/30,0,-E1632)</f>
        <v>1406.86276058549</v>
      </c>
      <c r="L1632" s="0" t="n">
        <f aca="false">ROUND(E1632-K1632,2)</f>
        <v>97.22</v>
      </c>
      <c r="M1632" s="0" t="n">
        <f aca="false">F1632/E1632</f>
        <v>0.188819743630658</v>
      </c>
    </row>
    <row r="1633" customFormat="false" ht="12.8" hidden="false" customHeight="false" outlineLevel="0" collapsed="false">
      <c r="A1633" s="0" t="s">
        <v>2371</v>
      </c>
      <c r="B1633" s="0" t="s">
        <v>2372</v>
      </c>
      <c r="C1633" s="0" t="s">
        <v>15</v>
      </c>
      <c r="D1633" s="0" t="s">
        <v>16</v>
      </c>
      <c r="E1633" s="0" t="n">
        <v>31672.96</v>
      </c>
      <c r="F1633" s="0" t="n">
        <v>193</v>
      </c>
      <c r="G1633" s="0" t="str">
        <f aca="false">IF(F1633&lt;=30,"Current",IF(F1633&lt;=60,"31 to 60 days",IF(F1633&lt;=90,"61 to 90 days",IF(F1633&lt;=120,"91 to 120 days","Over 120 days"))))</f>
        <v>Over 120 days</v>
      </c>
      <c r="H1633" s="0" t="n">
        <f aca="false">VLOOKUP(D1633,Rates!$A$4:$B$7,2,FALSE())</f>
        <v>0.085</v>
      </c>
      <c r="I1633" s="0" t="n">
        <f aca="false">VLOOKUP(F1633,Rates!$D$4:$E$8,2)</f>
        <v>0.85</v>
      </c>
      <c r="J1633" s="0" t="n">
        <f aca="false">ROUND(E1633*I1633,2)</f>
        <v>26922.02</v>
      </c>
      <c r="K1633" s="1" t="n">
        <f aca="false">PV(H1633/12,F1633/30,0,-E1633)</f>
        <v>30266.894040586</v>
      </c>
      <c r="L1633" s="0" t="n">
        <f aca="false">ROUND(E1633-K1633,2)</f>
        <v>1406.07</v>
      </c>
      <c r="M1633" s="0" t="n">
        <f aca="false">F1633/E1633</f>
        <v>0.00609352583402372</v>
      </c>
    </row>
    <row r="1634" customFormat="false" ht="12.8" hidden="false" customHeight="false" outlineLevel="0" collapsed="false">
      <c r="A1634" s="0" t="s">
        <v>2373</v>
      </c>
      <c r="B1634" s="0" t="s">
        <v>28</v>
      </c>
      <c r="C1634" s="0" t="s">
        <v>15</v>
      </c>
      <c r="D1634" s="0" t="s">
        <v>20</v>
      </c>
      <c r="E1634" s="0" t="n">
        <v>43027.27</v>
      </c>
      <c r="F1634" s="0" t="n">
        <v>188</v>
      </c>
      <c r="G1634" s="0" t="str">
        <f aca="false">IF(F1634&lt;=30,"Current",IF(F1634&lt;=60,"31 to 60 days",IF(F1634&lt;=90,"61 to 90 days",IF(F1634&lt;=120,"91 to 120 days","Over 120 days"))))</f>
        <v>Over 120 days</v>
      </c>
      <c r="H1634" s="0" t="n">
        <f aca="false">VLOOKUP(D1634,Rates!$A$4:$B$7,2,FALSE())</f>
        <v>0.05</v>
      </c>
      <c r="I1634" s="0" t="n">
        <f aca="false">VLOOKUP(F1634,Rates!$D$4:$E$8,2)</f>
        <v>0.85</v>
      </c>
      <c r="J1634" s="0" t="n">
        <f aca="false">ROUND(E1634*I1634,2)</f>
        <v>36573.18</v>
      </c>
      <c r="K1634" s="1" t="n">
        <f aca="false">PV(H1634/12,F1634/30,0,-E1634)</f>
        <v>41920.5951474115</v>
      </c>
      <c r="L1634" s="0" t="n">
        <f aca="false">ROUND(E1634-K1634,2)</f>
        <v>1106.67</v>
      </c>
      <c r="M1634" s="0" t="n">
        <f aca="false">F1634/E1634</f>
        <v>0.00436932206017254</v>
      </c>
    </row>
    <row r="1635" customFormat="false" ht="12.8" hidden="false" customHeight="false" outlineLevel="0" collapsed="false">
      <c r="A1635" s="0" t="s">
        <v>2374</v>
      </c>
      <c r="B1635" s="0" t="s">
        <v>2375</v>
      </c>
      <c r="C1635" s="0" t="s">
        <v>42</v>
      </c>
      <c r="D1635" s="0" t="s">
        <v>16</v>
      </c>
      <c r="E1635" s="0" t="n">
        <v>18947.67</v>
      </c>
      <c r="F1635" s="0" t="n">
        <v>85</v>
      </c>
      <c r="G1635" s="0" t="str">
        <f aca="false">IF(F1635&lt;=30,"Current",IF(F1635&lt;=60,"31 to 60 days",IF(F1635&lt;=90,"61 to 90 days",IF(F1635&lt;=120,"91 to 120 days","Over 120 days"))))</f>
        <v>61 to 90 days</v>
      </c>
      <c r="H1635" s="0" t="n">
        <f aca="false">VLOOKUP(D1635,Rates!$A$4:$B$7,2,FALSE())</f>
        <v>0.085</v>
      </c>
      <c r="I1635" s="0" t="n">
        <f aca="false">VLOOKUP(F1635,Rates!$D$4:$E$8,2)</f>
        <v>0.25</v>
      </c>
      <c r="J1635" s="0" t="n">
        <f aca="false">ROUND(E1635*I1635,2)</f>
        <v>4736.92</v>
      </c>
      <c r="K1635" s="1" t="n">
        <f aca="false">PV(H1635/12,F1635/30,0,-E1635)</f>
        <v>18572.5051583044</v>
      </c>
      <c r="L1635" s="0" t="n">
        <f aca="false">ROUND(E1635-K1635,2)</f>
        <v>375.16</v>
      </c>
      <c r="M1635" s="0" t="n">
        <f aca="false">F1635/E1635</f>
        <v>0.00448603970831242</v>
      </c>
    </row>
    <row r="1636" customFormat="false" ht="12.8" hidden="false" customHeight="false" outlineLevel="0" collapsed="false">
      <c r="A1636" s="0" t="s">
        <v>2376</v>
      </c>
      <c r="B1636" s="0" t="s">
        <v>198</v>
      </c>
      <c r="C1636" s="0" t="s">
        <v>19</v>
      </c>
      <c r="D1636" s="0" t="s">
        <v>23</v>
      </c>
      <c r="E1636" s="0" t="n">
        <v>441.14</v>
      </c>
      <c r="F1636" s="0" t="n">
        <v>131</v>
      </c>
      <c r="G1636" s="0" t="str">
        <f aca="false">IF(F1636&lt;=30,"Current",IF(F1636&lt;=60,"31 to 60 days",IF(F1636&lt;=90,"61 to 90 days",IF(F1636&lt;=120,"91 to 120 days","Over 120 days"))))</f>
        <v>Over 120 days</v>
      </c>
      <c r="H1636" s="0" t="n">
        <f aca="false">VLOOKUP(D1636,Rates!$A$4:$B$7,2,FALSE())</f>
        <v>0.115</v>
      </c>
      <c r="I1636" s="0" t="n">
        <f aca="false">VLOOKUP(F1636,Rates!$D$4:$E$8,2)</f>
        <v>0.85</v>
      </c>
      <c r="J1636" s="0" t="n">
        <f aca="false">ROUND(E1636*I1636,2)</f>
        <v>374.97</v>
      </c>
      <c r="K1636" s="1" t="n">
        <f aca="false">PV(H1636/12,F1636/30,0,-E1636)</f>
        <v>423.144745794668</v>
      </c>
      <c r="L1636" s="0" t="n">
        <f aca="false">ROUND(E1636-K1636,2)</f>
        <v>18</v>
      </c>
      <c r="M1636" s="0" t="n">
        <f aca="false">F1636/E1636</f>
        <v>0.296957881851566</v>
      </c>
    </row>
    <row r="1637" customFormat="false" ht="12.8" hidden="false" customHeight="false" outlineLevel="0" collapsed="false">
      <c r="A1637" s="0" t="s">
        <v>2377</v>
      </c>
      <c r="B1637" s="0" t="s">
        <v>198</v>
      </c>
      <c r="C1637" s="0" t="s">
        <v>19</v>
      </c>
      <c r="D1637" s="0" t="s">
        <v>23</v>
      </c>
      <c r="E1637" s="0" t="n">
        <v>18030.55</v>
      </c>
      <c r="F1637" s="0" t="n">
        <v>393</v>
      </c>
      <c r="G1637" s="0" t="str">
        <f aca="false">IF(F1637&lt;=30,"Current",IF(F1637&lt;=60,"31 to 60 days",IF(F1637&lt;=90,"61 to 90 days",IF(F1637&lt;=120,"91 to 120 days","Over 120 days"))))</f>
        <v>Over 120 days</v>
      </c>
      <c r="H1637" s="0" t="n">
        <f aca="false">VLOOKUP(D1637,Rates!$A$4:$B$7,2,FALSE())</f>
        <v>0.115</v>
      </c>
      <c r="I1637" s="0" t="n">
        <f aca="false">VLOOKUP(F1637,Rates!$D$4:$E$8,2)</f>
        <v>0.85</v>
      </c>
      <c r="J1637" s="0" t="n">
        <f aca="false">ROUND(E1637*I1637,2)</f>
        <v>15325.97</v>
      </c>
      <c r="K1637" s="1" t="n">
        <f aca="false">PV(H1637/12,F1637/30,0,-E1637)</f>
        <v>15912.796753172</v>
      </c>
      <c r="L1637" s="0" t="n">
        <f aca="false">ROUND(E1637-K1637,2)</f>
        <v>2117.75</v>
      </c>
      <c r="M1637" s="0" t="n">
        <f aca="false">F1637/E1637</f>
        <v>0.0217963401005516</v>
      </c>
    </row>
    <row r="1638" customFormat="false" ht="12.8" hidden="false" customHeight="false" outlineLevel="0" collapsed="false">
      <c r="A1638" s="0" t="s">
        <v>2378</v>
      </c>
      <c r="B1638" s="0" t="s">
        <v>1894</v>
      </c>
      <c r="C1638" s="0" t="s">
        <v>31</v>
      </c>
      <c r="D1638" s="0" t="s">
        <v>49</v>
      </c>
      <c r="E1638" s="0" t="n">
        <v>11531.17</v>
      </c>
      <c r="F1638" s="0" t="n">
        <v>276</v>
      </c>
      <c r="G1638" s="0" t="str">
        <f aca="false">IF(F1638&lt;=30,"Current",IF(F1638&lt;=60,"31 to 60 days",IF(F1638&lt;=90,"61 to 90 days",IF(F1638&lt;=120,"91 to 120 days","Over 120 days"))))</f>
        <v>Over 120 days</v>
      </c>
      <c r="H1638" s="0" t="n">
        <f aca="false">VLOOKUP(D1638,Rates!$A$4:$B$7,2,FALSE())</f>
        <v>0.02</v>
      </c>
      <c r="I1638" s="0" t="n">
        <f aca="false">VLOOKUP(F1638,Rates!$D$4:$E$8,2)</f>
        <v>0.85</v>
      </c>
      <c r="J1638" s="0" t="n">
        <f aca="false">ROUND(E1638*I1638,2)</f>
        <v>9801.49</v>
      </c>
      <c r="K1638" s="1" t="n">
        <f aca="false">PV(H1638/12,F1638/30,0,-E1638)</f>
        <v>11355.8523184659</v>
      </c>
      <c r="L1638" s="0" t="n">
        <f aca="false">ROUND(E1638-K1638,2)</f>
        <v>175.32</v>
      </c>
      <c r="M1638" s="0" t="n">
        <f aca="false">F1638/E1638</f>
        <v>0.02393512540358</v>
      </c>
    </row>
    <row r="1639" customFormat="false" ht="12.8" hidden="false" customHeight="false" outlineLevel="0" collapsed="false">
      <c r="A1639" s="0" t="s">
        <v>2379</v>
      </c>
      <c r="B1639" s="0" t="s">
        <v>2380</v>
      </c>
      <c r="C1639" s="0" t="s">
        <v>36</v>
      </c>
      <c r="D1639" s="0" t="s">
        <v>49</v>
      </c>
      <c r="E1639" s="0" t="n">
        <v>6753.21</v>
      </c>
      <c r="F1639" s="0" t="n">
        <v>26</v>
      </c>
      <c r="G1639" s="0" t="str">
        <f aca="false">IF(F1639&lt;=30,"Current",IF(F1639&lt;=60,"31 to 60 days",IF(F1639&lt;=90,"61 to 90 days",IF(F1639&lt;=120,"91 to 120 days","Over 120 days"))))</f>
        <v>Current</v>
      </c>
      <c r="H1639" s="0" t="n">
        <f aca="false">VLOOKUP(D1639,Rates!$A$4:$B$7,2,FALSE())</f>
        <v>0.02</v>
      </c>
      <c r="I1639" s="0" t="n">
        <f aca="false">VLOOKUP(F1639,Rates!$D$4:$E$8,2)</f>
        <v>0.02</v>
      </c>
      <c r="J1639" s="0" t="n">
        <f aca="false">ROUND(E1639*I1639,2)</f>
        <v>135.06</v>
      </c>
      <c r="K1639" s="1" t="n">
        <f aca="false">PV(H1639/12,F1639/30,0,-E1639)</f>
        <v>6743.47051308566</v>
      </c>
      <c r="L1639" s="0" t="n">
        <f aca="false">ROUND(E1639-K1639,2)</f>
        <v>9.74</v>
      </c>
      <c r="M1639" s="0" t="n">
        <f aca="false">F1639/E1639</f>
        <v>0.00385002095299865</v>
      </c>
    </row>
    <row r="1640" customFormat="false" ht="12.8" hidden="false" customHeight="false" outlineLevel="0" collapsed="false">
      <c r="A1640" s="0" t="s">
        <v>2381</v>
      </c>
      <c r="B1640" s="0" t="s">
        <v>2382</v>
      </c>
      <c r="C1640" s="0" t="s">
        <v>19</v>
      </c>
      <c r="D1640" s="0" t="s">
        <v>49</v>
      </c>
      <c r="E1640" s="0" t="n">
        <v>22178.71</v>
      </c>
      <c r="F1640" s="0" t="n">
        <v>265</v>
      </c>
      <c r="G1640" s="0" t="str">
        <f aca="false">IF(F1640&lt;=30,"Current",IF(F1640&lt;=60,"31 to 60 days",IF(F1640&lt;=90,"61 to 90 days",IF(F1640&lt;=120,"91 to 120 days","Over 120 days"))))</f>
        <v>Over 120 days</v>
      </c>
      <c r="H1640" s="0" t="n">
        <f aca="false">VLOOKUP(D1640,Rates!$A$4:$B$7,2,FALSE())</f>
        <v>0.02</v>
      </c>
      <c r="I1640" s="0" t="n">
        <f aca="false">VLOOKUP(F1640,Rates!$D$4:$E$8,2)</f>
        <v>0.85</v>
      </c>
      <c r="J1640" s="0" t="n">
        <f aca="false">ROUND(E1640*I1640,2)</f>
        <v>18851.9</v>
      </c>
      <c r="K1640" s="1" t="n">
        <f aca="false">PV(H1640/12,F1640/30,0,-E1640)</f>
        <v>21854.8497275521</v>
      </c>
      <c r="L1640" s="0" t="n">
        <f aca="false">ROUND(E1640-K1640,2)</f>
        <v>323.86</v>
      </c>
      <c r="M1640" s="0" t="n">
        <f aca="false">F1640/E1640</f>
        <v>0.0119483955559183</v>
      </c>
    </row>
    <row r="1641" customFormat="false" ht="12.8" hidden="false" customHeight="false" outlineLevel="0" collapsed="false">
      <c r="A1641" s="0" t="s">
        <v>2383</v>
      </c>
      <c r="B1641" s="0" t="s">
        <v>194</v>
      </c>
      <c r="C1641" s="0" t="s">
        <v>15</v>
      </c>
      <c r="D1641" s="0" t="s">
        <v>23</v>
      </c>
      <c r="E1641" s="0" t="n">
        <v>31501.57</v>
      </c>
      <c r="F1641" s="0" t="n">
        <v>313</v>
      </c>
      <c r="G1641" s="0" t="str">
        <f aca="false">IF(F1641&lt;=30,"Current",IF(F1641&lt;=60,"31 to 60 days",IF(F1641&lt;=90,"61 to 90 days",IF(F1641&lt;=120,"91 to 120 days","Over 120 days"))))</f>
        <v>Over 120 days</v>
      </c>
      <c r="H1641" s="0" t="n">
        <f aca="false">VLOOKUP(D1641,Rates!$A$4:$B$7,2,FALSE())</f>
        <v>0.115</v>
      </c>
      <c r="I1641" s="0" t="n">
        <f aca="false">VLOOKUP(F1641,Rates!$D$4:$E$8,2)</f>
        <v>0.85</v>
      </c>
      <c r="J1641" s="0" t="n">
        <f aca="false">ROUND(E1641*I1641,2)</f>
        <v>26776.33</v>
      </c>
      <c r="K1641" s="1" t="n">
        <f aca="false">PV(H1641/12,F1641/30,0,-E1641)</f>
        <v>28517.7681187948</v>
      </c>
      <c r="L1641" s="0" t="n">
        <f aca="false">ROUND(E1641-K1641,2)</f>
        <v>2983.8</v>
      </c>
      <c r="M1641" s="0" t="n">
        <f aca="false">F1641/E1641</f>
        <v>0.00993601271301716</v>
      </c>
    </row>
    <row r="1642" customFormat="false" ht="12.8" hidden="false" customHeight="false" outlineLevel="0" collapsed="false">
      <c r="A1642" s="0" t="s">
        <v>2384</v>
      </c>
      <c r="B1642" s="0" t="s">
        <v>1025</v>
      </c>
      <c r="C1642" s="0" t="s">
        <v>15</v>
      </c>
      <c r="D1642" s="0" t="s">
        <v>16</v>
      </c>
      <c r="E1642" s="0" t="n">
        <v>20180.29</v>
      </c>
      <c r="F1642" s="0" t="n">
        <v>26</v>
      </c>
      <c r="G1642" s="0" t="str">
        <f aca="false">IF(F1642&lt;=30,"Current",IF(F1642&lt;=60,"31 to 60 days",IF(F1642&lt;=90,"61 to 90 days",IF(F1642&lt;=120,"91 to 120 days","Over 120 days"))))</f>
        <v>Current</v>
      </c>
      <c r="H1642" s="0" t="n">
        <f aca="false">VLOOKUP(D1642,Rates!$A$4:$B$7,2,FALSE())</f>
        <v>0.085</v>
      </c>
      <c r="I1642" s="0" t="n">
        <f aca="false">VLOOKUP(F1642,Rates!$D$4:$E$8,2)</f>
        <v>0.02</v>
      </c>
      <c r="J1642" s="0" t="n">
        <f aca="false">ROUND(E1642*I1642,2)</f>
        <v>403.61</v>
      </c>
      <c r="K1642" s="1" t="n">
        <f aca="false">PV(H1642/12,F1642/30,0,-E1642)</f>
        <v>20057.2189507051</v>
      </c>
      <c r="L1642" s="0" t="n">
        <f aca="false">ROUND(E1642-K1642,2)</f>
        <v>123.07</v>
      </c>
      <c r="M1642" s="0" t="n">
        <f aca="false">F1642/E1642</f>
        <v>0.0012883858457931</v>
      </c>
    </row>
    <row r="1643" customFormat="false" ht="12.8" hidden="false" customHeight="false" outlineLevel="0" collapsed="false">
      <c r="A1643" s="0" t="s">
        <v>2385</v>
      </c>
      <c r="B1643" s="0" t="s">
        <v>33</v>
      </c>
      <c r="C1643" s="0" t="s">
        <v>26</v>
      </c>
      <c r="D1643" s="0" t="s">
        <v>20</v>
      </c>
      <c r="E1643" s="0" t="n">
        <v>35684.71</v>
      </c>
      <c r="F1643" s="0" t="n">
        <v>210</v>
      </c>
      <c r="G1643" s="0" t="str">
        <f aca="false">IF(F1643&lt;=30,"Current",IF(F1643&lt;=60,"31 to 60 days",IF(F1643&lt;=90,"61 to 90 days",IF(F1643&lt;=120,"91 to 120 days","Over 120 days"))))</f>
        <v>Over 120 days</v>
      </c>
      <c r="H1643" s="0" t="n">
        <f aca="false">VLOOKUP(D1643,Rates!$A$4:$B$7,2,FALSE())</f>
        <v>0.05</v>
      </c>
      <c r="I1643" s="0" t="n">
        <f aca="false">VLOOKUP(F1643,Rates!$D$4:$E$8,2)</f>
        <v>0.85</v>
      </c>
      <c r="J1643" s="0" t="n">
        <f aca="false">ROUND(E1643*I1643,2)</f>
        <v>30332</v>
      </c>
      <c r="K1643" s="1" t="n">
        <f aca="false">PV(H1643/12,F1643/30,0,-E1643)</f>
        <v>34661.0380963417</v>
      </c>
      <c r="L1643" s="0" t="n">
        <f aca="false">ROUND(E1643-K1643,2)</f>
        <v>1023.67</v>
      </c>
      <c r="M1643" s="0" t="n">
        <f aca="false">F1643/E1643</f>
        <v>0.00588487338134456</v>
      </c>
    </row>
    <row r="1644" customFormat="false" ht="12.8" hidden="false" customHeight="false" outlineLevel="0" collapsed="false">
      <c r="A1644" s="0" t="s">
        <v>2386</v>
      </c>
      <c r="B1644" s="0" t="s">
        <v>1101</v>
      </c>
      <c r="C1644" s="0" t="s">
        <v>31</v>
      </c>
      <c r="D1644" s="0" t="s">
        <v>16</v>
      </c>
      <c r="E1644" s="0" t="n">
        <v>8087.95</v>
      </c>
      <c r="F1644" s="0" t="n">
        <v>142</v>
      </c>
      <c r="G1644" s="0" t="str">
        <f aca="false">IF(F1644&lt;=30,"Current",IF(F1644&lt;=60,"31 to 60 days",IF(F1644&lt;=90,"61 to 90 days",IF(F1644&lt;=120,"91 to 120 days","Over 120 days"))))</f>
        <v>Over 120 days</v>
      </c>
      <c r="H1644" s="0" t="n">
        <f aca="false">VLOOKUP(D1644,Rates!$A$4:$B$7,2,FALSE())</f>
        <v>0.085</v>
      </c>
      <c r="I1644" s="0" t="n">
        <f aca="false">VLOOKUP(F1644,Rates!$D$4:$E$8,2)</f>
        <v>0.85</v>
      </c>
      <c r="J1644" s="0" t="n">
        <f aca="false">ROUND(E1644*I1644,2)</f>
        <v>6874.76</v>
      </c>
      <c r="K1644" s="1" t="n">
        <f aca="false">PV(H1644/12,F1644/30,0,-E1644)</f>
        <v>7822.19893185633</v>
      </c>
      <c r="L1644" s="0" t="n">
        <f aca="false">ROUND(E1644-K1644,2)</f>
        <v>265.75</v>
      </c>
      <c r="M1644" s="0" t="n">
        <f aca="false">F1644/E1644</f>
        <v>0.0175569829190339</v>
      </c>
    </row>
    <row r="1645" customFormat="false" ht="12.8" hidden="false" customHeight="false" outlineLevel="0" collapsed="false">
      <c r="A1645" s="0" t="s">
        <v>2387</v>
      </c>
      <c r="B1645" s="0" t="s">
        <v>2388</v>
      </c>
      <c r="C1645" s="0" t="s">
        <v>15</v>
      </c>
      <c r="D1645" s="0" t="s">
        <v>49</v>
      </c>
      <c r="E1645" s="0" t="n">
        <v>15750.35</v>
      </c>
      <c r="F1645" s="0" t="n">
        <v>105</v>
      </c>
      <c r="G1645" s="0" t="str">
        <f aca="false">IF(F1645&lt;=30,"Current",IF(F1645&lt;=60,"31 to 60 days",IF(F1645&lt;=90,"61 to 90 days",IF(F1645&lt;=120,"91 to 120 days","Over 120 days"))))</f>
        <v>91 to 120 days</v>
      </c>
      <c r="H1645" s="0" t="n">
        <f aca="false">VLOOKUP(D1645,Rates!$A$4:$B$7,2,FALSE())</f>
        <v>0.02</v>
      </c>
      <c r="I1645" s="0" t="n">
        <f aca="false">VLOOKUP(F1645,Rates!$D$4:$E$8,2)</f>
        <v>0.5</v>
      </c>
      <c r="J1645" s="0" t="n">
        <f aca="false">ROUND(E1645*I1645,2)</f>
        <v>7875.18</v>
      </c>
      <c r="K1645" s="1" t="n">
        <f aca="false">PV(H1645/12,F1645/30,0,-E1645)</f>
        <v>15658.8164473259</v>
      </c>
      <c r="L1645" s="0" t="n">
        <f aca="false">ROUND(E1645-K1645,2)</f>
        <v>91.53</v>
      </c>
      <c r="M1645" s="0" t="n">
        <f aca="false">F1645/E1645</f>
        <v>0.00666651852181063</v>
      </c>
    </row>
    <row r="1646" customFormat="false" ht="12.8" hidden="false" customHeight="false" outlineLevel="0" collapsed="false">
      <c r="A1646" s="0" t="s">
        <v>2389</v>
      </c>
      <c r="B1646" s="0" t="s">
        <v>480</v>
      </c>
      <c r="C1646" s="0" t="s">
        <v>36</v>
      </c>
      <c r="D1646" s="0" t="s">
        <v>23</v>
      </c>
      <c r="E1646" s="0" t="n">
        <v>19414.82</v>
      </c>
      <c r="F1646" s="0" t="n">
        <v>128</v>
      </c>
      <c r="G1646" s="0" t="str">
        <f aca="false">IF(F1646&lt;=30,"Current",IF(F1646&lt;=60,"31 to 60 days",IF(F1646&lt;=90,"61 to 90 days",IF(F1646&lt;=120,"91 to 120 days","Over 120 days"))))</f>
        <v>Over 120 days</v>
      </c>
      <c r="H1646" s="0" t="n">
        <f aca="false">VLOOKUP(D1646,Rates!$A$4:$B$7,2,FALSE())</f>
        <v>0.115</v>
      </c>
      <c r="I1646" s="0" t="n">
        <f aca="false">VLOOKUP(F1646,Rates!$D$4:$E$8,2)</f>
        <v>0.85</v>
      </c>
      <c r="J1646" s="0" t="n">
        <f aca="false">ROUND(E1646*I1646,2)</f>
        <v>16502.6</v>
      </c>
      <c r="K1646" s="1" t="n">
        <f aca="false">PV(H1646/12,F1646/30,0,-E1646)</f>
        <v>18640.609107698</v>
      </c>
      <c r="L1646" s="0" t="n">
        <f aca="false">ROUND(E1646-K1646,2)</f>
        <v>774.21</v>
      </c>
      <c r="M1646" s="0" t="n">
        <f aca="false">F1646/E1646</f>
        <v>0.00659290171116704</v>
      </c>
    </row>
    <row r="1647" customFormat="false" ht="12.8" hidden="false" customHeight="false" outlineLevel="0" collapsed="false">
      <c r="A1647" s="0" t="s">
        <v>2390</v>
      </c>
      <c r="B1647" s="0" t="s">
        <v>1545</v>
      </c>
      <c r="C1647" s="0" t="s">
        <v>26</v>
      </c>
      <c r="D1647" s="0" t="s">
        <v>49</v>
      </c>
      <c r="E1647" s="0" t="n">
        <v>0</v>
      </c>
      <c r="F1647" s="0" t="n">
        <v>137</v>
      </c>
      <c r="G1647" s="0" t="str">
        <f aca="false">IF(F1647&lt;=30,"Current",IF(F1647&lt;=60,"31 to 60 days",IF(F1647&lt;=90,"61 to 90 days",IF(F1647&lt;=120,"91 to 120 days","Over 120 days"))))</f>
        <v>Over 120 days</v>
      </c>
      <c r="H1647" s="0" t="n">
        <f aca="false">VLOOKUP(D1647,Rates!$A$4:$B$7,2,FALSE())</f>
        <v>0.02</v>
      </c>
      <c r="I1647" s="0" t="n">
        <f aca="false">VLOOKUP(F1647,Rates!$D$4:$E$8,2)</f>
        <v>0.85</v>
      </c>
      <c r="J1647" s="0" t="n">
        <f aca="false">ROUND(E1647*I1647,2)</f>
        <v>0</v>
      </c>
      <c r="K1647" s="1" t="n">
        <f aca="false">PV(H1647/12,F1647/30,0,-E1647)</f>
        <v>-0</v>
      </c>
      <c r="L1647" s="0" t="n">
        <f aca="false">ROUND(E1647-K1647,2)</f>
        <v>0</v>
      </c>
      <c r="M1647" s="0" t="e">
        <f aca="false">F1647/E1647</f>
        <v>#DIV/0!</v>
      </c>
    </row>
    <row r="1648" customFormat="false" ht="12.8" hidden="false" customHeight="false" outlineLevel="0" collapsed="false">
      <c r="A1648" s="0" t="s">
        <v>2391</v>
      </c>
      <c r="B1648" s="0" t="s">
        <v>330</v>
      </c>
      <c r="C1648" s="0" t="s">
        <v>15</v>
      </c>
      <c r="D1648" s="0" t="s">
        <v>23</v>
      </c>
      <c r="E1648" s="0" t="n">
        <v>3402.66</v>
      </c>
      <c r="F1648" s="0" t="n">
        <v>187</v>
      </c>
      <c r="G1648" s="0" t="str">
        <f aca="false">IF(F1648&lt;=30,"Current",IF(F1648&lt;=60,"31 to 60 days",IF(F1648&lt;=90,"61 to 90 days",IF(F1648&lt;=120,"91 to 120 days","Over 120 days"))))</f>
        <v>Over 120 days</v>
      </c>
      <c r="H1648" s="0" t="n">
        <f aca="false">VLOOKUP(D1648,Rates!$A$4:$B$7,2,FALSE())</f>
        <v>0.115</v>
      </c>
      <c r="I1648" s="0" t="n">
        <f aca="false">VLOOKUP(F1648,Rates!$D$4:$E$8,2)</f>
        <v>0.85</v>
      </c>
      <c r="J1648" s="0" t="n">
        <f aca="false">ROUND(E1648*I1648,2)</f>
        <v>2892.26</v>
      </c>
      <c r="K1648" s="1" t="n">
        <f aca="false">PV(H1648/12,F1648/30,0,-E1648)</f>
        <v>3206.26204746244</v>
      </c>
      <c r="L1648" s="0" t="n">
        <f aca="false">ROUND(E1648-K1648,2)</f>
        <v>196.4</v>
      </c>
      <c r="M1648" s="0" t="n">
        <f aca="false">F1648/E1648</f>
        <v>0.0549570042261055</v>
      </c>
    </row>
    <row r="1649" customFormat="false" ht="12.8" hidden="false" customHeight="false" outlineLevel="0" collapsed="false">
      <c r="A1649" s="0" t="s">
        <v>2392</v>
      </c>
      <c r="B1649" s="0" t="s">
        <v>2393</v>
      </c>
      <c r="C1649" s="0" t="s">
        <v>26</v>
      </c>
      <c r="D1649" s="0" t="s">
        <v>49</v>
      </c>
      <c r="E1649" s="0" t="n">
        <v>8826.93</v>
      </c>
      <c r="F1649" s="0" t="n">
        <v>133</v>
      </c>
      <c r="G1649" s="0" t="str">
        <f aca="false">IF(F1649&lt;=30,"Current",IF(F1649&lt;=60,"31 to 60 days",IF(F1649&lt;=90,"61 to 90 days",IF(F1649&lt;=120,"91 to 120 days","Over 120 days"))))</f>
        <v>Over 120 days</v>
      </c>
      <c r="H1649" s="0" t="n">
        <f aca="false">VLOOKUP(D1649,Rates!$A$4:$B$7,2,FALSE())</f>
        <v>0.02</v>
      </c>
      <c r="I1649" s="0" t="n">
        <f aca="false">VLOOKUP(F1649,Rates!$D$4:$E$8,2)</f>
        <v>0.85</v>
      </c>
      <c r="J1649" s="0" t="n">
        <f aca="false">ROUND(E1649*I1649,2)</f>
        <v>7502.89</v>
      </c>
      <c r="K1649" s="1" t="n">
        <f aca="false">PV(H1649/12,F1649/30,0,-E1649)</f>
        <v>8762.0030499329</v>
      </c>
      <c r="L1649" s="0" t="n">
        <f aca="false">ROUND(E1649-K1649,2)</f>
        <v>64.93</v>
      </c>
      <c r="M1649" s="0" t="n">
        <f aca="false">F1649/E1649</f>
        <v>0.015067526308694</v>
      </c>
    </row>
    <row r="1650" customFormat="false" ht="12.8" hidden="false" customHeight="false" outlineLevel="0" collapsed="false">
      <c r="A1650" s="0" t="s">
        <v>2394</v>
      </c>
      <c r="B1650" s="0" t="s">
        <v>2395</v>
      </c>
      <c r="C1650" s="0" t="s">
        <v>19</v>
      </c>
      <c r="D1650" s="0" t="s">
        <v>16</v>
      </c>
      <c r="E1650" s="0" t="n">
        <v>6553.21</v>
      </c>
      <c r="F1650" s="0" t="n">
        <v>110</v>
      </c>
      <c r="G1650" s="0" t="str">
        <f aca="false">IF(F1650&lt;=30,"Current",IF(F1650&lt;=60,"31 to 60 days",IF(F1650&lt;=90,"61 to 90 days",IF(F1650&lt;=120,"91 to 120 days","Over 120 days"))))</f>
        <v>91 to 120 days</v>
      </c>
      <c r="H1650" s="0" t="n">
        <f aca="false">VLOOKUP(D1650,Rates!$A$4:$B$7,2,FALSE())</f>
        <v>0.085</v>
      </c>
      <c r="I1650" s="0" t="n">
        <f aca="false">VLOOKUP(F1650,Rates!$D$4:$E$8,2)</f>
        <v>0.5</v>
      </c>
      <c r="J1650" s="0" t="n">
        <f aca="false">ROUND(E1650*I1650,2)</f>
        <v>3276.61</v>
      </c>
      <c r="K1650" s="1" t="n">
        <f aca="false">PV(H1650/12,F1650/30,0,-E1650)</f>
        <v>6385.78442693425</v>
      </c>
      <c r="L1650" s="0" t="n">
        <f aca="false">ROUND(E1650-K1650,2)</f>
        <v>167.43</v>
      </c>
      <c r="M1650" s="0" t="n">
        <f aca="false">F1650/E1650</f>
        <v>0.0167856668716553</v>
      </c>
    </row>
    <row r="1651" customFormat="false" ht="12.8" hidden="false" customHeight="false" outlineLevel="0" collapsed="false">
      <c r="A1651" s="0" t="s">
        <v>2396</v>
      </c>
      <c r="B1651" s="0" t="s">
        <v>2397</v>
      </c>
      <c r="C1651" s="0" t="s">
        <v>42</v>
      </c>
      <c r="D1651" s="0" t="s">
        <v>49</v>
      </c>
      <c r="E1651" s="0" t="n">
        <v>24472.83</v>
      </c>
      <c r="F1651" s="0" t="n">
        <v>271</v>
      </c>
      <c r="G1651" s="0" t="str">
        <f aca="false">IF(F1651&lt;=30,"Current",IF(F1651&lt;=60,"31 to 60 days",IF(F1651&lt;=90,"61 to 90 days",IF(F1651&lt;=120,"91 to 120 days","Over 120 days"))))</f>
        <v>Over 120 days</v>
      </c>
      <c r="H1651" s="0" t="n">
        <f aca="false">VLOOKUP(D1651,Rates!$A$4:$B$7,2,FALSE())</f>
        <v>0.02</v>
      </c>
      <c r="I1651" s="0" t="n">
        <f aca="false">VLOOKUP(F1651,Rates!$D$4:$E$8,2)</f>
        <v>0.85</v>
      </c>
      <c r="J1651" s="0" t="n">
        <f aca="false">ROUND(E1651*I1651,2)</f>
        <v>20801.91</v>
      </c>
      <c r="K1651" s="1" t="n">
        <f aca="false">PV(H1651/12,F1651/30,0,-E1651)</f>
        <v>24107.4398277886</v>
      </c>
      <c r="L1651" s="0" t="n">
        <f aca="false">ROUND(E1651-K1651,2)</f>
        <v>365.39</v>
      </c>
      <c r="M1651" s="0" t="n">
        <f aca="false">F1651/E1651</f>
        <v>0.0110735047806077</v>
      </c>
    </row>
    <row r="1652" customFormat="false" ht="12.8" hidden="false" customHeight="false" outlineLevel="0" collapsed="false">
      <c r="A1652" s="0" t="s">
        <v>2398</v>
      </c>
      <c r="B1652" s="0" t="s">
        <v>2399</v>
      </c>
      <c r="C1652" s="0" t="s">
        <v>31</v>
      </c>
      <c r="D1652" s="0" t="s">
        <v>49</v>
      </c>
      <c r="E1652" s="0" t="n">
        <v>22517.64</v>
      </c>
      <c r="F1652" s="0" t="n">
        <v>211</v>
      </c>
      <c r="G1652" s="0" t="str">
        <f aca="false">IF(F1652&lt;=30,"Current",IF(F1652&lt;=60,"31 to 60 days",IF(F1652&lt;=90,"61 to 90 days",IF(F1652&lt;=120,"91 to 120 days","Over 120 days"))))</f>
        <v>Over 120 days</v>
      </c>
      <c r="H1652" s="0" t="n">
        <f aca="false">VLOOKUP(D1652,Rates!$A$4:$B$7,2,FALSE())</f>
        <v>0.02</v>
      </c>
      <c r="I1652" s="0" t="n">
        <f aca="false">VLOOKUP(F1652,Rates!$D$4:$E$8,2)</f>
        <v>0.85</v>
      </c>
      <c r="J1652" s="0" t="n">
        <f aca="false">ROUND(E1652*I1652,2)</f>
        <v>19139.99</v>
      </c>
      <c r="K1652" s="1" t="n">
        <f aca="false">PV(H1652/12,F1652/30,0,-E1652)</f>
        <v>22255.4414329934</v>
      </c>
      <c r="L1652" s="0" t="n">
        <f aca="false">ROUND(E1652-K1652,2)</f>
        <v>262.2</v>
      </c>
      <c r="M1652" s="0" t="n">
        <f aca="false">F1652/E1652</f>
        <v>0.00937043135959186</v>
      </c>
    </row>
    <row r="1653" customFormat="false" ht="12.8" hidden="false" customHeight="false" outlineLevel="0" collapsed="false">
      <c r="A1653" s="0" t="s">
        <v>2400</v>
      </c>
      <c r="B1653" s="0" t="s">
        <v>1396</v>
      </c>
      <c r="C1653" s="0" t="s">
        <v>26</v>
      </c>
      <c r="D1653" s="0" t="s">
        <v>49</v>
      </c>
      <c r="E1653" s="0" t="n">
        <v>31260.14</v>
      </c>
      <c r="F1653" s="0" t="n">
        <v>328</v>
      </c>
      <c r="G1653" s="0" t="str">
        <f aca="false">IF(F1653&lt;=30,"Current",IF(F1653&lt;=60,"31 to 60 days",IF(F1653&lt;=90,"61 to 90 days",IF(F1653&lt;=120,"91 to 120 days","Over 120 days"))))</f>
        <v>Over 120 days</v>
      </c>
      <c r="H1653" s="0" t="n">
        <f aca="false">VLOOKUP(D1653,Rates!$A$4:$B$7,2,FALSE())</f>
        <v>0.02</v>
      </c>
      <c r="I1653" s="0" t="n">
        <f aca="false">VLOOKUP(F1653,Rates!$D$4:$E$8,2)</f>
        <v>0.85</v>
      </c>
      <c r="J1653" s="0" t="n">
        <f aca="false">ROUND(E1653*I1653,2)</f>
        <v>26571.12</v>
      </c>
      <c r="K1653" s="1" t="n">
        <f aca="false">PV(H1653/12,F1653/30,0,-E1653)</f>
        <v>30696.134961925</v>
      </c>
      <c r="L1653" s="0" t="n">
        <f aca="false">ROUND(E1653-K1653,2)</f>
        <v>564.01</v>
      </c>
      <c r="M1653" s="0" t="n">
        <f aca="false">F1653/E1653</f>
        <v>0.0104925953626567</v>
      </c>
    </row>
    <row r="1654" customFormat="false" ht="12.8" hidden="false" customHeight="false" outlineLevel="0" collapsed="false">
      <c r="A1654" s="0" t="s">
        <v>2401</v>
      </c>
      <c r="B1654" s="0" t="s">
        <v>2402</v>
      </c>
      <c r="C1654" s="0" t="s">
        <v>15</v>
      </c>
      <c r="D1654" s="0" t="s">
        <v>49</v>
      </c>
      <c r="E1654" s="0" t="n">
        <v>15464.47</v>
      </c>
      <c r="F1654" s="0" t="n">
        <v>136</v>
      </c>
      <c r="G1654" s="0" t="str">
        <f aca="false">IF(F1654&lt;=30,"Current",IF(F1654&lt;=60,"31 to 60 days",IF(F1654&lt;=90,"61 to 90 days",IF(F1654&lt;=120,"91 to 120 days","Over 120 days"))))</f>
        <v>Over 120 days</v>
      </c>
      <c r="H1654" s="0" t="n">
        <f aca="false">VLOOKUP(D1654,Rates!$A$4:$B$7,2,FALSE())</f>
        <v>0.02</v>
      </c>
      <c r="I1654" s="0" t="n">
        <f aca="false">VLOOKUP(F1654,Rates!$D$4:$E$8,2)</f>
        <v>0.85</v>
      </c>
      <c r="J1654" s="0" t="n">
        <f aca="false">ROUND(E1654*I1654,2)</f>
        <v>13144.8</v>
      </c>
      <c r="K1654" s="1" t="n">
        <f aca="false">PV(H1654/12,F1654/30,0,-E1654)</f>
        <v>15348.1641628448</v>
      </c>
      <c r="L1654" s="0" t="n">
        <f aca="false">ROUND(E1654-K1654,2)</f>
        <v>116.31</v>
      </c>
      <c r="M1654" s="0" t="n">
        <f aca="false">F1654/E1654</f>
        <v>0.00879435247376729</v>
      </c>
    </row>
    <row r="1655" customFormat="false" ht="12.8" hidden="false" customHeight="false" outlineLevel="0" collapsed="false">
      <c r="A1655" s="0" t="s">
        <v>2403</v>
      </c>
      <c r="B1655" s="0" t="s">
        <v>526</v>
      </c>
      <c r="C1655" s="0" t="s">
        <v>26</v>
      </c>
      <c r="D1655" s="0" t="s">
        <v>23</v>
      </c>
      <c r="E1655" s="0" t="n">
        <v>33199.77</v>
      </c>
      <c r="F1655" s="0" t="n">
        <v>360</v>
      </c>
      <c r="G1655" s="0" t="str">
        <f aca="false">IF(F1655&lt;=30,"Current",IF(F1655&lt;=60,"31 to 60 days",IF(F1655&lt;=90,"61 to 90 days",IF(F1655&lt;=120,"91 to 120 days","Over 120 days"))))</f>
        <v>Over 120 days</v>
      </c>
      <c r="H1655" s="0" t="n">
        <f aca="false">VLOOKUP(D1655,Rates!$A$4:$B$7,2,FALSE())</f>
        <v>0.115</v>
      </c>
      <c r="I1655" s="0" t="n">
        <f aca="false">VLOOKUP(F1655,Rates!$D$4:$E$8,2)</f>
        <v>0.85</v>
      </c>
      <c r="J1655" s="0" t="n">
        <f aca="false">ROUND(E1655*I1655,2)</f>
        <v>28219.8</v>
      </c>
      <c r="K1655" s="1" t="n">
        <f aca="false">PV(H1655/12,F1655/30,0,-E1655)</f>
        <v>29609.3590187849</v>
      </c>
      <c r="L1655" s="0" t="n">
        <f aca="false">ROUND(E1655-K1655,2)</f>
        <v>3590.41</v>
      </c>
      <c r="M1655" s="0" t="n">
        <f aca="false">F1655/E1655</f>
        <v>0.0108434486142525</v>
      </c>
    </row>
    <row r="1656" customFormat="false" ht="12.8" hidden="false" customHeight="false" outlineLevel="0" collapsed="false">
      <c r="A1656" s="0" t="s">
        <v>2404</v>
      </c>
      <c r="B1656" s="0" t="s">
        <v>30</v>
      </c>
      <c r="C1656" s="0" t="s">
        <v>31</v>
      </c>
      <c r="D1656" s="0" t="s">
        <v>20</v>
      </c>
      <c r="E1656" s="0" t="n">
        <v>2291.33</v>
      </c>
      <c r="F1656" s="0" t="n">
        <v>263</v>
      </c>
      <c r="G1656" s="0" t="str">
        <f aca="false">IF(F1656&lt;=30,"Current",IF(F1656&lt;=60,"31 to 60 days",IF(F1656&lt;=90,"61 to 90 days",IF(F1656&lt;=120,"91 to 120 days","Over 120 days"))))</f>
        <v>Over 120 days</v>
      </c>
      <c r="H1656" s="0" t="n">
        <f aca="false">VLOOKUP(D1656,Rates!$A$4:$B$7,2,FALSE())</f>
        <v>0.05</v>
      </c>
      <c r="I1656" s="0" t="n">
        <f aca="false">VLOOKUP(F1656,Rates!$D$4:$E$8,2)</f>
        <v>0.85</v>
      </c>
      <c r="J1656" s="0" t="n">
        <f aca="false">ROUND(E1656*I1656,2)</f>
        <v>1947.63</v>
      </c>
      <c r="K1656" s="1" t="n">
        <f aca="false">PV(H1656/12,F1656/30,0,-E1656)</f>
        <v>2209.3106549419</v>
      </c>
      <c r="L1656" s="0" t="n">
        <f aca="false">ROUND(E1656-K1656,2)</f>
        <v>82.02</v>
      </c>
      <c r="M1656" s="0" t="n">
        <f aca="false">F1656/E1656</f>
        <v>0.114780498662349</v>
      </c>
    </row>
    <row r="1657" customFormat="false" ht="12.8" hidden="false" customHeight="false" outlineLevel="0" collapsed="false">
      <c r="A1657" s="0" t="s">
        <v>2405</v>
      </c>
      <c r="B1657" s="0" t="s">
        <v>347</v>
      </c>
      <c r="C1657" s="0" t="s">
        <v>42</v>
      </c>
      <c r="D1657" s="0" t="s">
        <v>23</v>
      </c>
      <c r="E1657" s="0" t="n">
        <v>2286.55</v>
      </c>
      <c r="F1657" s="0" t="n">
        <v>330</v>
      </c>
      <c r="G1657" s="0" t="str">
        <f aca="false">IF(F1657&lt;=30,"Current",IF(F1657&lt;=60,"31 to 60 days",IF(F1657&lt;=90,"61 to 90 days",IF(F1657&lt;=120,"91 to 120 days","Over 120 days"))))</f>
        <v>Over 120 days</v>
      </c>
      <c r="H1657" s="0" t="n">
        <f aca="false">VLOOKUP(D1657,Rates!$A$4:$B$7,2,FALSE())</f>
        <v>0.115</v>
      </c>
      <c r="I1657" s="0" t="n">
        <f aca="false">VLOOKUP(F1657,Rates!$D$4:$E$8,2)</f>
        <v>0.85</v>
      </c>
      <c r="J1657" s="0" t="n">
        <f aca="false">ROUND(E1657*I1657,2)</f>
        <v>1943.57</v>
      </c>
      <c r="K1657" s="1" t="n">
        <f aca="false">PV(H1657/12,F1657/30,0,-E1657)</f>
        <v>2058.81254487917</v>
      </c>
      <c r="L1657" s="0" t="n">
        <f aca="false">ROUND(E1657-K1657,2)</f>
        <v>227.74</v>
      </c>
      <c r="M1657" s="0" t="n">
        <f aca="false">F1657/E1657</f>
        <v>0.144322232183858</v>
      </c>
    </row>
    <row r="1658" customFormat="false" ht="12.8" hidden="false" customHeight="false" outlineLevel="0" collapsed="false">
      <c r="A1658" s="0" t="s">
        <v>2406</v>
      </c>
      <c r="B1658" s="0" t="s">
        <v>18</v>
      </c>
      <c r="C1658" s="0" t="s">
        <v>19</v>
      </c>
      <c r="D1658" s="0" t="s">
        <v>20</v>
      </c>
      <c r="E1658" s="0" t="n">
        <v>5484.38</v>
      </c>
      <c r="F1658" s="0" t="n">
        <v>326</v>
      </c>
      <c r="G1658" s="0" t="str">
        <f aca="false">IF(F1658&lt;=30,"Current",IF(F1658&lt;=60,"31 to 60 days",IF(F1658&lt;=90,"61 to 90 days",IF(F1658&lt;=120,"91 to 120 days","Over 120 days"))))</f>
        <v>Over 120 days</v>
      </c>
      <c r="H1658" s="0" t="n">
        <f aca="false">VLOOKUP(D1658,Rates!$A$4:$B$7,2,FALSE())</f>
        <v>0.05</v>
      </c>
      <c r="I1658" s="0" t="n">
        <f aca="false">VLOOKUP(F1658,Rates!$D$4:$E$8,2)</f>
        <v>0.85</v>
      </c>
      <c r="J1658" s="0" t="n">
        <f aca="false">ROUND(E1658*I1658,2)</f>
        <v>4661.72</v>
      </c>
      <c r="K1658" s="1" t="n">
        <f aca="false">PV(H1658/12,F1658/30,0,-E1658)</f>
        <v>5242.09035505336</v>
      </c>
      <c r="L1658" s="0" t="n">
        <f aca="false">ROUND(E1658-K1658,2)</f>
        <v>242.29</v>
      </c>
      <c r="M1658" s="0" t="n">
        <f aca="false">F1658/E1658</f>
        <v>0.0594415412498769</v>
      </c>
    </row>
    <row r="1659" customFormat="false" ht="12.8" hidden="false" customHeight="false" outlineLevel="0" collapsed="false">
      <c r="A1659" s="0" t="s">
        <v>2407</v>
      </c>
      <c r="B1659" s="0" t="s">
        <v>138</v>
      </c>
      <c r="C1659" s="0" t="s">
        <v>15</v>
      </c>
      <c r="D1659" s="0" t="s">
        <v>23</v>
      </c>
      <c r="E1659" s="0" t="n">
        <v>29971.02</v>
      </c>
      <c r="F1659" s="0" t="n">
        <v>95</v>
      </c>
      <c r="G1659" s="0" t="str">
        <f aca="false">IF(F1659&lt;=30,"Current",IF(F1659&lt;=60,"31 to 60 days",IF(F1659&lt;=90,"61 to 90 days",IF(F1659&lt;=120,"91 to 120 days","Over 120 days"))))</f>
        <v>91 to 120 days</v>
      </c>
      <c r="H1659" s="0" t="n">
        <f aca="false">VLOOKUP(D1659,Rates!$A$4:$B$7,2,FALSE())</f>
        <v>0.115</v>
      </c>
      <c r="I1659" s="0" t="n">
        <f aca="false">VLOOKUP(F1659,Rates!$D$4:$E$8,2)</f>
        <v>0.5</v>
      </c>
      <c r="J1659" s="0" t="n">
        <f aca="false">ROUND(E1659*I1659,2)</f>
        <v>14985.51</v>
      </c>
      <c r="K1659" s="1" t="n">
        <f aca="false">PV(H1659/12,F1659/30,0,-E1659)</f>
        <v>29079.346616476</v>
      </c>
      <c r="L1659" s="0" t="n">
        <f aca="false">ROUND(E1659-K1659,2)</f>
        <v>891.67</v>
      </c>
      <c r="M1659" s="0" t="n">
        <f aca="false">F1659/E1659</f>
        <v>0.00316972862451795</v>
      </c>
    </row>
    <row r="1660" customFormat="false" ht="12.8" hidden="false" customHeight="false" outlineLevel="0" collapsed="false">
      <c r="A1660" s="0" t="s">
        <v>2408</v>
      </c>
      <c r="B1660" s="0" t="s">
        <v>97</v>
      </c>
      <c r="C1660" s="0" t="s">
        <v>42</v>
      </c>
      <c r="D1660" s="0" t="s">
        <v>20</v>
      </c>
      <c r="E1660" s="0" t="n">
        <v>32193.31</v>
      </c>
      <c r="F1660" s="0" t="n">
        <v>379</v>
      </c>
      <c r="G1660" s="0" t="str">
        <f aca="false">IF(F1660&lt;=30,"Current",IF(F1660&lt;=60,"31 to 60 days",IF(F1660&lt;=90,"61 to 90 days",IF(F1660&lt;=120,"91 to 120 days","Over 120 days"))))</f>
        <v>Over 120 days</v>
      </c>
      <c r="H1660" s="0" t="n">
        <f aca="false">VLOOKUP(D1660,Rates!$A$4:$B$7,2,FALSE())</f>
        <v>0.05</v>
      </c>
      <c r="I1660" s="0" t="n">
        <f aca="false">VLOOKUP(F1660,Rates!$D$4:$E$8,2)</f>
        <v>0.85</v>
      </c>
      <c r="J1660" s="0" t="n">
        <f aca="false">ROUND(E1660*I1660,2)</f>
        <v>27364.31</v>
      </c>
      <c r="K1660" s="1" t="n">
        <f aca="false">PV(H1660/12,F1660/30,0,-E1660)</f>
        <v>30545.859324679</v>
      </c>
      <c r="L1660" s="0" t="n">
        <f aca="false">ROUND(E1660-K1660,2)</f>
        <v>1647.45</v>
      </c>
      <c r="M1660" s="0" t="n">
        <f aca="false">F1660/E1660</f>
        <v>0.011772632264281</v>
      </c>
    </row>
    <row r="1661" customFormat="false" ht="12.8" hidden="false" customHeight="false" outlineLevel="0" collapsed="false">
      <c r="A1661" s="0" t="s">
        <v>2409</v>
      </c>
      <c r="B1661" s="0" t="s">
        <v>526</v>
      </c>
      <c r="C1661" s="0" t="s">
        <v>26</v>
      </c>
      <c r="D1661" s="0" t="s">
        <v>23</v>
      </c>
      <c r="E1661" s="0" t="n">
        <v>27545.37</v>
      </c>
      <c r="F1661" s="0" t="n">
        <v>187</v>
      </c>
      <c r="G1661" s="0" t="str">
        <f aca="false">IF(F1661&lt;=30,"Current",IF(F1661&lt;=60,"31 to 60 days",IF(F1661&lt;=90,"61 to 90 days",IF(F1661&lt;=120,"91 to 120 days","Over 120 days"))))</f>
        <v>Over 120 days</v>
      </c>
      <c r="H1661" s="0" t="n">
        <f aca="false">VLOOKUP(D1661,Rates!$A$4:$B$7,2,FALSE())</f>
        <v>0.115</v>
      </c>
      <c r="I1661" s="0" t="n">
        <f aca="false">VLOOKUP(F1661,Rates!$D$4:$E$8,2)</f>
        <v>0.85</v>
      </c>
      <c r="J1661" s="0" t="n">
        <f aca="false">ROUND(E1661*I1661,2)</f>
        <v>23413.56</v>
      </c>
      <c r="K1661" s="1" t="n">
        <f aca="false">PV(H1661/12,F1661/30,0,-E1661)</f>
        <v>25955.4802461341</v>
      </c>
      <c r="L1661" s="0" t="n">
        <f aca="false">ROUND(E1661-K1661,2)</f>
        <v>1589.89</v>
      </c>
      <c r="M1661" s="0" t="n">
        <f aca="false">F1661/E1661</f>
        <v>0.00678879971479781</v>
      </c>
    </row>
    <row r="1662" customFormat="false" ht="12.8" hidden="false" customHeight="false" outlineLevel="0" collapsed="false">
      <c r="A1662" s="0" t="s">
        <v>2410</v>
      </c>
      <c r="B1662" s="0" t="s">
        <v>97</v>
      </c>
      <c r="C1662" s="0" t="s">
        <v>42</v>
      </c>
      <c r="D1662" s="0" t="s">
        <v>20</v>
      </c>
      <c r="E1662" s="0" t="n">
        <v>25890.01</v>
      </c>
      <c r="F1662" s="0" t="n">
        <v>247</v>
      </c>
      <c r="G1662" s="0" t="str">
        <f aca="false">IF(F1662&lt;=30,"Current",IF(F1662&lt;=60,"31 to 60 days",IF(F1662&lt;=90,"61 to 90 days",IF(F1662&lt;=120,"91 to 120 days","Over 120 days"))))</f>
        <v>Over 120 days</v>
      </c>
      <c r="H1662" s="0" t="n">
        <f aca="false">VLOOKUP(D1662,Rates!$A$4:$B$7,2,FALSE())</f>
        <v>0.05</v>
      </c>
      <c r="I1662" s="0" t="n">
        <f aca="false">VLOOKUP(F1662,Rates!$D$4:$E$8,2)</f>
        <v>0.85</v>
      </c>
      <c r="J1662" s="0" t="n">
        <f aca="false">ROUND(E1662*I1662,2)</f>
        <v>22006.51</v>
      </c>
      <c r="K1662" s="1" t="n">
        <f aca="false">PV(H1662/12,F1662/30,0,-E1662)</f>
        <v>25018.683767871</v>
      </c>
      <c r="L1662" s="0" t="n">
        <f aca="false">ROUND(E1662-K1662,2)</f>
        <v>871.33</v>
      </c>
      <c r="M1662" s="0" t="n">
        <f aca="false">F1662/E1662</f>
        <v>0.00954035938958695</v>
      </c>
    </row>
    <row r="1663" customFormat="false" ht="12.8" hidden="false" customHeight="false" outlineLevel="0" collapsed="false">
      <c r="A1663" s="0" t="s">
        <v>2411</v>
      </c>
      <c r="B1663" s="0" t="s">
        <v>2412</v>
      </c>
      <c r="C1663" s="0" t="s">
        <v>26</v>
      </c>
      <c r="D1663" s="0" t="s">
        <v>49</v>
      </c>
      <c r="E1663" s="0" t="n">
        <v>39900.31</v>
      </c>
      <c r="F1663" s="0" t="n">
        <v>371</v>
      </c>
      <c r="G1663" s="0" t="str">
        <f aca="false">IF(F1663&lt;=30,"Current",IF(F1663&lt;=60,"31 to 60 days",IF(F1663&lt;=90,"61 to 90 days",IF(F1663&lt;=120,"91 to 120 days","Over 120 days"))))</f>
        <v>Over 120 days</v>
      </c>
      <c r="H1663" s="0" t="n">
        <f aca="false">VLOOKUP(D1663,Rates!$A$4:$B$7,2,FALSE())</f>
        <v>0.02</v>
      </c>
      <c r="I1663" s="0" t="n">
        <f aca="false">VLOOKUP(F1663,Rates!$D$4:$E$8,2)</f>
        <v>0.85</v>
      </c>
      <c r="J1663" s="0" t="n">
        <f aca="false">ROUND(E1663*I1663,2)</f>
        <v>33915.26</v>
      </c>
      <c r="K1663" s="1" t="n">
        <f aca="false">PV(H1663/12,F1663/30,0,-E1663)</f>
        <v>39087.0081361384</v>
      </c>
      <c r="L1663" s="0" t="n">
        <f aca="false">ROUND(E1663-K1663,2)</f>
        <v>813.3</v>
      </c>
      <c r="M1663" s="0" t="n">
        <f aca="false">F1663/E1663</f>
        <v>0.00929817337258783</v>
      </c>
    </row>
    <row r="1664" customFormat="false" ht="12.8" hidden="false" customHeight="false" outlineLevel="0" collapsed="false">
      <c r="A1664" s="0" t="s">
        <v>2413</v>
      </c>
      <c r="B1664" s="0" t="s">
        <v>1213</v>
      </c>
      <c r="C1664" s="0" t="s">
        <v>15</v>
      </c>
      <c r="D1664" s="0" t="s">
        <v>16</v>
      </c>
      <c r="E1664" s="0" t="n">
        <v>35570.85</v>
      </c>
      <c r="F1664" s="0" t="n">
        <v>393</v>
      </c>
      <c r="G1664" s="0" t="str">
        <f aca="false">IF(F1664&lt;=30,"Current",IF(F1664&lt;=60,"31 to 60 days",IF(F1664&lt;=90,"61 to 90 days",IF(F1664&lt;=120,"91 to 120 days","Over 120 days"))))</f>
        <v>Over 120 days</v>
      </c>
      <c r="H1664" s="0" t="n">
        <f aca="false">VLOOKUP(D1664,Rates!$A$4:$B$7,2,FALSE())</f>
        <v>0.085</v>
      </c>
      <c r="I1664" s="0" t="n">
        <f aca="false">VLOOKUP(F1664,Rates!$D$4:$E$8,2)</f>
        <v>0.85</v>
      </c>
      <c r="J1664" s="0" t="n">
        <f aca="false">ROUND(E1664*I1664,2)</f>
        <v>30235.22</v>
      </c>
      <c r="K1664" s="1" t="n">
        <f aca="false">PV(H1664/12,F1664/30,0,-E1664)</f>
        <v>32429.2861808816</v>
      </c>
      <c r="L1664" s="0" t="n">
        <f aca="false">ROUND(E1664-K1664,2)</f>
        <v>3141.56</v>
      </c>
      <c r="M1664" s="0" t="n">
        <f aca="false">F1664/E1664</f>
        <v>0.0110483724735282</v>
      </c>
    </row>
    <row r="1665" customFormat="false" ht="12.8" hidden="false" customHeight="false" outlineLevel="0" collapsed="false">
      <c r="A1665" s="0" t="s">
        <v>2414</v>
      </c>
      <c r="B1665" s="0" t="s">
        <v>2415</v>
      </c>
      <c r="C1665" s="0" t="s">
        <v>42</v>
      </c>
      <c r="D1665" s="0" t="s">
        <v>16</v>
      </c>
      <c r="E1665" s="0" t="n">
        <v>37826.67</v>
      </c>
      <c r="F1665" s="0" t="n">
        <v>223</v>
      </c>
      <c r="G1665" s="0" t="str">
        <f aca="false">IF(F1665&lt;=30,"Current",IF(F1665&lt;=60,"31 to 60 days",IF(F1665&lt;=90,"61 to 90 days",IF(F1665&lt;=120,"91 to 120 days","Over 120 days"))))</f>
        <v>Over 120 days</v>
      </c>
      <c r="H1665" s="0" t="n">
        <f aca="false">VLOOKUP(D1665,Rates!$A$4:$B$7,2,FALSE())</f>
        <v>0.085</v>
      </c>
      <c r="I1665" s="0" t="n">
        <f aca="false">VLOOKUP(F1665,Rates!$D$4:$E$8,2)</f>
        <v>0.85</v>
      </c>
      <c r="J1665" s="0" t="n">
        <f aca="false">ROUND(E1665*I1665,2)</f>
        <v>32152.67</v>
      </c>
      <c r="K1665" s="1" t="n">
        <f aca="false">PV(H1665/12,F1665/30,0,-E1665)</f>
        <v>35893.1774501504</v>
      </c>
      <c r="L1665" s="0" t="n">
        <f aca="false">ROUND(E1665-K1665,2)</f>
        <v>1933.49</v>
      </c>
      <c r="M1665" s="0" t="n">
        <f aca="false">F1665/E1665</f>
        <v>0.00589531142973992</v>
      </c>
    </row>
    <row r="1666" customFormat="false" ht="12.8" hidden="false" customHeight="false" outlineLevel="0" collapsed="false">
      <c r="A1666" s="0" t="s">
        <v>2416</v>
      </c>
      <c r="B1666" s="0" t="s">
        <v>2417</v>
      </c>
      <c r="C1666" s="0" t="s">
        <v>19</v>
      </c>
      <c r="D1666" s="0" t="s">
        <v>16</v>
      </c>
      <c r="E1666" s="0" t="n">
        <v>13872.66</v>
      </c>
      <c r="F1666" s="0" t="n">
        <v>152</v>
      </c>
      <c r="G1666" s="0" t="str">
        <f aca="false">IF(F1666&lt;=30,"Current",IF(F1666&lt;=60,"31 to 60 days",IF(F1666&lt;=90,"61 to 90 days",IF(F1666&lt;=120,"91 to 120 days","Over 120 days"))))</f>
        <v>Over 120 days</v>
      </c>
      <c r="H1666" s="0" t="n">
        <f aca="false">VLOOKUP(D1666,Rates!$A$4:$B$7,2,FALSE())</f>
        <v>0.085</v>
      </c>
      <c r="I1666" s="0" t="n">
        <f aca="false">VLOOKUP(F1666,Rates!$D$4:$E$8,2)</f>
        <v>0.85</v>
      </c>
      <c r="J1666" s="0" t="n">
        <f aca="false">ROUND(E1666*I1666,2)</f>
        <v>11791.76</v>
      </c>
      <c r="K1666" s="1" t="n">
        <f aca="false">PV(H1666/12,F1666/30,0,-E1666)</f>
        <v>13385.3070597992</v>
      </c>
      <c r="L1666" s="0" t="n">
        <f aca="false">ROUND(E1666-K1666,2)</f>
        <v>487.35</v>
      </c>
      <c r="M1666" s="0" t="n">
        <f aca="false">F1666/E1666</f>
        <v>0.0109568028049415</v>
      </c>
    </row>
    <row r="1667" customFormat="false" ht="12.8" hidden="false" customHeight="false" outlineLevel="0" collapsed="false">
      <c r="A1667" s="0" t="s">
        <v>2418</v>
      </c>
      <c r="B1667" s="0" t="s">
        <v>198</v>
      </c>
      <c r="C1667" s="0" t="s">
        <v>19</v>
      </c>
      <c r="D1667" s="0" t="s">
        <v>23</v>
      </c>
      <c r="E1667" s="0" t="n">
        <v>22684.8</v>
      </c>
      <c r="F1667" s="0" t="n">
        <v>361</v>
      </c>
      <c r="G1667" s="0" t="str">
        <f aca="false">IF(F1667&lt;=30,"Current",IF(F1667&lt;=60,"31 to 60 days",IF(F1667&lt;=90,"61 to 90 days",IF(F1667&lt;=120,"91 to 120 days","Over 120 days"))))</f>
        <v>Over 120 days</v>
      </c>
      <c r="H1667" s="0" t="n">
        <f aca="false">VLOOKUP(D1667,Rates!$A$4:$B$7,2,FALSE())</f>
        <v>0.115</v>
      </c>
      <c r="I1667" s="0" t="n">
        <f aca="false">VLOOKUP(F1667,Rates!$D$4:$E$8,2)</f>
        <v>0.85</v>
      </c>
      <c r="J1667" s="0" t="n">
        <f aca="false">ROUND(E1667*I1667,2)</f>
        <v>19282.08</v>
      </c>
      <c r="K1667" s="1" t="n">
        <f aca="false">PV(H1667/12,F1667/30,0,-E1667)</f>
        <v>20225.1063126978</v>
      </c>
      <c r="L1667" s="0" t="n">
        <f aca="false">ROUND(E1667-K1667,2)</f>
        <v>2459.69</v>
      </c>
      <c r="M1667" s="0" t="n">
        <f aca="false">F1667/E1667</f>
        <v>0.0159137395965581</v>
      </c>
    </row>
    <row r="1668" customFormat="false" ht="12.8" hidden="false" customHeight="false" outlineLevel="0" collapsed="false">
      <c r="A1668" s="0" t="s">
        <v>2419</v>
      </c>
      <c r="B1668" s="0" t="s">
        <v>2420</v>
      </c>
      <c r="C1668" s="0" t="s">
        <v>36</v>
      </c>
      <c r="D1668" s="0" t="s">
        <v>16</v>
      </c>
      <c r="E1668" s="0" t="n">
        <v>43458.47</v>
      </c>
      <c r="F1668" s="0" t="n">
        <v>362</v>
      </c>
      <c r="G1668" s="0" t="str">
        <f aca="false">IF(F1668&lt;=30,"Current",IF(F1668&lt;=60,"31 to 60 days",IF(F1668&lt;=90,"61 to 90 days",IF(F1668&lt;=120,"91 to 120 days","Over 120 days"))))</f>
        <v>Over 120 days</v>
      </c>
      <c r="H1668" s="0" t="n">
        <f aca="false">VLOOKUP(D1668,Rates!$A$4:$B$7,2,FALSE())</f>
        <v>0.085</v>
      </c>
      <c r="I1668" s="0" t="n">
        <f aca="false">VLOOKUP(F1668,Rates!$D$4:$E$8,2)</f>
        <v>0.85</v>
      </c>
      <c r="J1668" s="0" t="n">
        <f aca="false">ROUND(E1668*I1668,2)</f>
        <v>36939.7</v>
      </c>
      <c r="K1668" s="1" t="n">
        <f aca="false">PV(H1668/12,F1668/30,0,-E1668)</f>
        <v>39910.3161015455</v>
      </c>
      <c r="L1668" s="0" t="n">
        <f aca="false">ROUND(E1668-K1668,2)</f>
        <v>3548.15</v>
      </c>
      <c r="M1668" s="0" t="n">
        <f aca="false">F1668/E1668</f>
        <v>0.00832979163785564</v>
      </c>
    </row>
    <row r="1669" customFormat="false" ht="12.8" hidden="false" customHeight="false" outlineLevel="0" collapsed="false">
      <c r="A1669" s="0" t="s">
        <v>2421</v>
      </c>
      <c r="B1669" s="0" t="s">
        <v>234</v>
      </c>
      <c r="C1669" s="0" t="s">
        <v>42</v>
      </c>
      <c r="D1669" s="0" t="s">
        <v>16</v>
      </c>
      <c r="E1669" s="0" t="n">
        <v>11675.4</v>
      </c>
      <c r="F1669" s="0" t="n">
        <v>11</v>
      </c>
      <c r="G1669" s="0" t="str">
        <f aca="false">IF(F1669&lt;=30,"Current",IF(F1669&lt;=60,"31 to 60 days",IF(F1669&lt;=90,"61 to 90 days",IF(F1669&lt;=120,"91 to 120 days","Over 120 days"))))</f>
        <v>Current</v>
      </c>
      <c r="H1669" s="0" t="n">
        <f aca="false">VLOOKUP(D1669,Rates!$A$4:$B$7,2,FALSE())</f>
        <v>0.085</v>
      </c>
      <c r="I1669" s="0" t="n">
        <f aca="false">VLOOKUP(F1669,Rates!$D$4:$E$8,2)</f>
        <v>0.02</v>
      </c>
      <c r="J1669" s="0" t="n">
        <f aca="false">ROUND(E1669*I1669,2)</f>
        <v>233.51</v>
      </c>
      <c r="K1669" s="1" t="n">
        <f aca="false">PV(H1669/12,F1669/30,0,-E1669)</f>
        <v>11645.2223510424</v>
      </c>
      <c r="L1669" s="0" t="n">
        <f aca="false">ROUND(E1669-K1669,2)</f>
        <v>30.18</v>
      </c>
      <c r="M1669" s="0" t="n">
        <f aca="false">F1669/E1669</f>
        <v>0.000942151874882231</v>
      </c>
    </row>
    <row r="1670" customFormat="false" ht="12.8" hidden="false" customHeight="false" outlineLevel="0" collapsed="false">
      <c r="A1670" s="0" t="s">
        <v>2422</v>
      </c>
      <c r="B1670" s="0" t="s">
        <v>2423</v>
      </c>
      <c r="C1670" s="0" t="s">
        <v>31</v>
      </c>
      <c r="D1670" s="0" t="s">
        <v>16</v>
      </c>
      <c r="E1670" s="0" t="n">
        <v>10534.98</v>
      </c>
      <c r="F1670" s="0" t="n">
        <v>206</v>
      </c>
      <c r="G1670" s="0" t="str">
        <f aca="false">IF(F1670&lt;=30,"Current",IF(F1670&lt;=60,"31 to 60 days",IF(F1670&lt;=90,"61 to 90 days",IF(F1670&lt;=120,"91 to 120 days","Over 120 days"))))</f>
        <v>Over 120 days</v>
      </c>
      <c r="H1670" s="0" t="n">
        <f aca="false">VLOOKUP(D1670,Rates!$A$4:$B$7,2,FALSE())</f>
        <v>0.085</v>
      </c>
      <c r="I1670" s="0" t="n">
        <f aca="false">VLOOKUP(F1670,Rates!$D$4:$E$8,2)</f>
        <v>0.85</v>
      </c>
      <c r="J1670" s="0" t="n">
        <f aca="false">ROUND(E1670*I1670,2)</f>
        <v>8954.73</v>
      </c>
      <c r="K1670" s="1" t="n">
        <f aca="false">PV(H1670/12,F1670/30,0,-E1670)</f>
        <v>10036.552848219</v>
      </c>
      <c r="L1670" s="0" t="n">
        <f aca="false">ROUND(E1670-K1670,2)</f>
        <v>498.43</v>
      </c>
      <c r="M1670" s="0" t="n">
        <f aca="false">F1670/E1670</f>
        <v>0.0195539051806458</v>
      </c>
    </row>
    <row r="1671" customFormat="false" ht="12.8" hidden="false" customHeight="false" outlineLevel="0" collapsed="false">
      <c r="A1671" s="0" t="s">
        <v>2424</v>
      </c>
      <c r="B1671" s="0" t="s">
        <v>78</v>
      </c>
      <c r="C1671" s="0" t="s">
        <v>19</v>
      </c>
      <c r="D1671" s="0" t="s">
        <v>23</v>
      </c>
      <c r="E1671" s="0" t="n">
        <v>15533.31</v>
      </c>
      <c r="F1671" s="0" t="n">
        <v>36</v>
      </c>
      <c r="G1671" s="0" t="str">
        <f aca="false">IF(F1671&lt;=30,"Current",IF(F1671&lt;=60,"31 to 60 days",IF(F1671&lt;=90,"61 to 90 days",IF(F1671&lt;=120,"91 to 120 days","Over 120 days"))))</f>
        <v>31 to 60 days</v>
      </c>
      <c r="H1671" s="0" t="n">
        <f aca="false">VLOOKUP(D1671,Rates!$A$4:$B$7,2,FALSE())</f>
        <v>0.115</v>
      </c>
      <c r="I1671" s="0" t="n">
        <f aca="false">VLOOKUP(F1671,Rates!$D$4:$E$8,2)</f>
        <v>0.1</v>
      </c>
      <c r="J1671" s="0" t="n">
        <f aca="false">ROUND(E1671*I1671,2)</f>
        <v>1553.33</v>
      </c>
      <c r="K1671" s="1" t="n">
        <f aca="false">PV(H1671/12,F1671/30,0,-E1671)</f>
        <v>15356.5409676453</v>
      </c>
      <c r="L1671" s="0" t="n">
        <f aca="false">ROUND(E1671-K1671,2)</f>
        <v>176.77</v>
      </c>
      <c r="M1671" s="0" t="n">
        <f aca="false">F1671/E1671</f>
        <v>0.00231760004789707</v>
      </c>
    </row>
    <row r="1672" customFormat="false" ht="12.8" hidden="false" customHeight="false" outlineLevel="0" collapsed="false">
      <c r="A1672" s="0" t="s">
        <v>2425</v>
      </c>
      <c r="B1672" s="0" t="s">
        <v>490</v>
      </c>
      <c r="C1672" s="0" t="s">
        <v>42</v>
      </c>
      <c r="D1672" s="0" t="s">
        <v>23</v>
      </c>
      <c r="E1672" s="0" t="n">
        <v>20653.13</v>
      </c>
      <c r="F1672" s="0" t="n">
        <v>43</v>
      </c>
      <c r="G1672" s="0" t="str">
        <f aca="false">IF(F1672&lt;=30,"Current",IF(F1672&lt;=60,"31 to 60 days",IF(F1672&lt;=90,"61 to 90 days",IF(F1672&lt;=120,"91 to 120 days","Over 120 days"))))</f>
        <v>31 to 60 days</v>
      </c>
      <c r="H1672" s="0" t="n">
        <f aca="false">VLOOKUP(D1672,Rates!$A$4:$B$7,2,FALSE())</f>
        <v>0.115</v>
      </c>
      <c r="I1672" s="0" t="n">
        <f aca="false">VLOOKUP(F1672,Rates!$D$4:$E$8,2)</f>
        <v>0.1</v>
      </c>
      <c r="J1672" s="0" t="n">
        <f aca="false">ROUND(E1672*I1672,2)</f>
        <v>2065.31</v>
      </c>
      <c r="K1672" s="1" t="n">
        <f aca="false">PV(H1672/12,F1672/30,0,-E1672)</f>
        <v>20372.7082040038</v>
      </c>
      <c r="L1672" s="0" t="n">
        <f aca="false">ROUND(E1672-K1672,2)</f>
        <v>280.42</v>
      </c>
      <c r="M1672" s="0" t="n">
        <f aca="false">F1672/E1672</f>
        <v>0.00208200887710483</v>
      </c>
    </row>
    <row r="1673" customFormat="false" ht="12.8" hidden="false" customHeight="false" outlineLevel="0" collapsed="false">
      <c r="A1673" s="0" t="s">
        <v>2426</v>
      </c>
      <c r="B1673" s="0" t="s">
        <v>682</v>
      </c>
      <c r="C1673" s="0" t="s">
        <v>19</v>
      </c>
      <c r="D1673" s="0" t="s">
        <v>23</v>
      </c>
      <c r="E1673" s="0" t="n">
        <v>1016.31</v>
      </c>
      <c r="F1673" s="0" t="n">
        <v>352</v>
      </c>
      <c r="G1673" s="0" t="str">
        <f aca="false">IF(F1673&lt;=30,"Current",IF(F1673&lt;=60,"31 to 60 days",IF(F1673&lt;=90,"61 to 90 days",IF(F1673&lt;=120,"91 to 120 days","Over 120 days"))))</f>
        <v>Over 120 days</v>
      </c>
      <c r="H1673" s="0" t="n">
        <f aca="false">VLOOKUP(D1673,Rates!$A$4:$B$7,2,FALSE())</f>
        <v>0.115</v>
      </c>
      <c r="I1673" s="0" t="n">
        <f aca="false">VLOOKUP(F1673,Rates!$D$4:$E$8,2)</f>
        <v>0.85</v>
      </c>
      <c r="J1673" s="0" t="n">
        <f aca="false">ROUND(E1673*I1673,2)</f>
        <v>863.86</v>
      </c>
      <c r="K1673" s="1" t="n">
        <f aca="false">PV(H1673/12,F1673/30,0,-E1673)</f>
        <v>908.708748191421</v>
      </c>
      <c r="L1673" s="0" t="n">
        <f aca="false">ROUND(E1673-K1673,2)</f>
        <v>107.6</v>
      </c>
      <c r="M1673" s="0" t="n">
        <f aca="false">F1673/E1673</f>
        <v>0.346351014946227</v>
      </c>
    </row>
    <row r="1674" customFormat="false" ht="12.8" hidden="false" customHeight="false" outlineLevel="0" collapsed="false">
      <c r="A1674" s="0" t="s">
        <v>2427</v>
      </c>
      <c r="B1674" s="0" t="s">
        <v>2428</v>
      </c>
      <c r="C1674" s="0" t="s">
        <v>31</v>
      </c>
      <c r="D1674" s="0" t="s">
        <v>49</v>
      </c>
      <c r="E1674" s="0" t="n">
        <v>12073.08</v>
      </c>
      <c r="F1674" s="0" t="n">
        <v>344</v>
      </c>
      <c r="G1674" s="0" t="str">
        <f aca="false">IF(F1674&lt;=30,"Current",IF(F1674&lt;=60,"31 to 60 days",IF(F1674&lt;=90,"61 to 90 days",IF(F1674&lt;=120,"91 to 120 days","Over 120 days"))))</f>
        <v>Over 120 days</v>
      </c>
      <c r="H1674" s="0" t="n">
        <f aca="false">VLOOKUP(D1674,Rates!$A$4:$B$7,2,FALSE())</f>
        <v>0.02</v>
      </c>
      <c r="I1674" s="0" t="n">
        <f aca="false">VLOOKUP(F1674,Rates!$D$4:$E$8,2)</f>
        <v>0.85</v>
      </c>
      <c r="J1674" s="0" t="n">
        <f aca="false">ROUND(E1674*I1674,2)</f>
        <v>10262.12</v>
      </c>
      <c r="K1674" s="1" t="n">
        <f aca="false">PV(H1674/12,F1674/30,0,-E1674)</f>
        <v>11844.7292289453</v>
      </c>
      <c r="L1674" s="0" t="n">
        <f aca="false">ROUND(E1674-K1674,2)</f>
        <v>228.35</v>
      </c>
      <c r="M1674" s="0" t="n">
        <f aca="false">F1674/E1674</f>
        <v>0.0284931434232193</v>
      </c>
    </row>
    <row r="1675" customFormat="false" ht="12.8" hidden="false" customHeight="false" outlineLevel="0" collapsed="false">
      <c r="A1675" s="0" t="s">
        <v>2429</v>
      </c>
      <c r="B1675" s="0" t="s">
        <v>2430</v>
      </c>
      <c r="C1675" s="0" t="s">
        <v>19</v>
      </c>
      <c r="D1675" s="0" t="s">
        <v>16</v>
      </c>
      <c r="E1675" s="0" t="n">
        <v>30022.17</v>
      </c>
      <c r="F1675" s="0" t="n">
        <v>143</v>
      </c>
      <c r="G1675" s="0" t="str">
        <f aca="false">IF(F1675&lt;=30,"Current",IF(F1675&lt;=60,"31 to 60 days",IF(F1675&lt;=90,"61 to 90 days",IF(F1675&lt;=120,"91 to 120 days","Over 120 days"))))</f>
        <v>Over 120 days</v>
      </c>
      <c r="H1675" s="0" t="n">
        <f aca="false">VLOOKUP(D1675,Rates!$A$4:$B$7,2,FALSE())</f>
        <v>0.085</v>
      </c>
      <c r="I1675" s="0" t="n">
        <f aca="false">VLOOKUP(F1675,Rates!$D$4:$E$8,2)</f>
        <v>0.85</v>
      </c>
      <c r="J1675" s="0" t="n">
        <f aca="false">ROUND(E1675*I1675,2)</f>
        <v>25518.84</v>
      </c>
      <c r="K1675" s="1" t="n">
        <f aca="false">PV(H1675/12,F1675/30,0,-E1675)</f>
        <v>29028.8812212694</v>
      </c>
      <c r="L1675" s="0" t="n">
        <f aca="false">ROUND(E1675-K1675,2)</f>
        <v>993.29</v>
      </c>
      <c r="M1675" s="0" t="n">
        <f aca="false">F1675/E1675</f>
        <v>0.00476314670125444</v>
      </c>
    </row>
    <row r="1676" customFormat="false" ht="12.8" hidden="false" customHeight="false" outlineLevel="0" collapsed="false">
      <c r="A1676" s="0" t="s">
        <v>2431</v>
      </c>
      <c r="B1676" s="0" t="s">
        <v>1406</v>
      </c>
      <c r="C1676" s="0" t="s">
        <v>19</v>
      </c>
      <c r="D1676" s="0" t="s">
        <v>16</v>
      </c>
      <c r="E1676" s="0" t="n">
        <v>41153.24</v>
      </c>
      <c r="F1676" s="0" t="n">
        <v>369</v>
      </c>
      <c r="G1676" s="0" t="str">
        <f aca="false">IF(F1676&lt;=30,"Current",IF(F1676&lt;=60,"31 to 60 days",IF(F1676&lt;=90,"61 to 90 days",IF(F1676&lt;=120,"91 to 120 days","Over 120 days"))))</f>
        <v>Over 120 days</v>
      </c>
      <c r="H1676" s="0" t="n">
        <f aca="false">VLOOKUP(D1676,Rates!$A$4:$B$7,2,FALSE())</f>
        <v>0.085</v>
      </c>
      <c r="I1676" s="0" t="n">
        <f aca="false">VLOOKUP(F1676,Rates!$D$4:$E$8,2)</f>
        <v>0.85</v>
      </c>
      <c r="J1676" s="0" t="n">
        <f aca="false">ROUND(E1676*I1676,2)</f>
        <v>34980.25</v>
      </c>
      <c r="K1676" s="1" t="n">
        <f aca="false">PV(H1676/12,F1676/30,0,-E1676)</f>
        <v>37731.1034170895</v>
      </c>
      <c r="L1676" s="0" t="n">
        <f aca="false">ROUND(E1676-K1676,2)</f>
        <v>3422.14</v>
      </c>
      <c r="M1676" s="0" t="n">
        <f aca="false">F1676/E1676</f>
        <v>0.0089664872073256</v>
      </c>
    </row>
    <row r="1677" customFormat="false" ht="12.8" hidden="false" customHeight="false" outlineLevel="0" collapsed="false">
      <c r="A1677" s="0" t="s">
        <v>2432</v>
      </c>
      <c r="B1677" s="0" t="s">
        <v>2433</v>
      </c>
      <c r="C1677" s="0" t="s">
        <v>26</v>
      </c>
      <c r="D1677" s="0" t="s">
        <v>49</v>
      </c>
      <c r="E1677" s="0" t="n">
        <v>6516.36</v>
      </c>
      <c r="F1677" s="0" t="n">
        <v>228</v>
      </c>
      <c r="G1677" s="0" t="str">
        <f aca="false">IF(F1677&lt;=30,"Current",IF(F1677&lt;=60,"31 to 60 days",IF(F1677&lt;=90,"61 to 90 days",IF(F1677&lt;=120,"91 to 120 days","Over 120 days"))))</f>
        <v>Over 120 days</v>
      </c>
      <c r="H1677" s="0" t="n">
        <f aca="false">VLOOKUP(D1677,Rates!$A$4:$B$7,2,FALSE())</f>
        <v>0.02</v>
      </c>
      <c r="I1677" s="0" t="n">
        <f aca="false">VLOOKUP(F1677,Rates!$D$4:$E$8,2)</f>
        <v>0.85</v>
      </c>
      <c r="J1677" s="0" t="n">
        <f aca="false">ROUND(E1677*I1677,2)</f>
        <v>5538.91</v>
      </c>
      <c r="K1677" s="1" t="n">
        <f aca="false">PV(H1677/12,F1677/30,0,-E1677)</f>
        <v>6434.40783967675</v>
      </c>
      <c r="L1677" s="0" t="n">
        <f aca="false">ROUND(E1677-K1677,2)</f>
        <v>81.95</v>
      </c>
      <c r="M1677" s="0" t="n">
        <f aca="false">F1677/E1677</f>
        <v>0.0349888588107471</v>
      </c>
    </row>
    <row r="1678" customFormat="false" ht="12.8" hidden="false" customHeight="false" outlineLevel="0" collapsed="false">
      <c r="A1678" s="0" t="s">
        <v>2434</v>
      </c>
      <c r="B1678" s="0" t="s">
        <v>51</v>
      </c>
      <c r="C1678" s="0" t="s">
        <v>36</v>
      </c>
      <c r="D1678" s="0" t="s">
        <v>20</v>
      </c>
      <c r="E1678" s="0" t="n">
        <v>44159.31</v>
      </c>
      <c r="F1678" s="0" t="n">
        <v>20</v>
      </c>
      <c r="G1678" s="0" t="str">
        <f aca="false">IF(F1678&lt;=30,"Current",IF(F1678&lt;=60,"31 to 60 days",IF(F1678&lt;=90,"61 to 90 days",IF(F1678&lt;=120,"91 to 120 days","Over 120 days"))))</f>
        <v>Current</v>
      </c>
      <c r="H1678" s="0" t="n">
        <f aca="false">VLOOKUP(D1678,Rates!$A$4:$B$7,2,FALSE())</f>
        <v>0.05</v>
      </c>
      <c r="I1678" s="0" t="n">
        <f aca="false">VLOOKUP(F1678,Rates!$D$4:$E$8,2)</f>
        <v>0.02</v>
      </c>
      <c r="J1678" s="0" t="n">
        <f aca="false">ROUND(E1678*I1678,2)</f>
        <v>883.19</v>
      </c>
      <c r="K1678" s="1" t="n">
        <f aca="false">PV(H1678/12,F1678/30,0,-E1678)</f>
        <v>44037.0695977938</v>
      </c>
      <c r="L1678" s="0" t="n">
        <f aca="false">ROUND(E1678-K1678,2)</f>
        <v>122.24</v>
      </c>
      <c r="M1678" s="0" t="n">
        <f aca="false">F1678/E1678</f>
        <v>0.000452905627375065</v>
      </c>
    </row>
    <row r="1679" customFormat="false" ht="12.8" hidden="false" customHeight="false" outlineLevel="0" collapsed="false">
      <c r="A1679" s="0" t="s">
        <v>2435</v>
      </c>
      <c r="B1679" s="0" t="s">
        <v>2436</v>
      </c>
      <c r="C1679" s="0" t="s">
        <v>36</v>
      </c>
      <c r="D1679" s="0" t="s">
        <v>49</v>
      </c>
      <c r="E1679" s="0" t="n">
        <v>36169.13</v>
      </c>
      <c r="F1679" s="0" t="n">
        <v>271</v>
      </c>
      <c r="G1679" s="0" t="str">
        <f aca="false">IF(F1679&lt;=30,"Current",IF(F1679&lt;=60,"31 to 60 days",IF(F1679&lt;=90,"61 to 90 days",IF(F1679&lt;=120,"91 to 120 days","Over 120 days"))))</f>
        <v>Over 120 days</v>
      </c>
      <c r="H1679" s="0" t="n">
        <f aca="false">VLOOKUP(D1679,Rates!$A$4:$B$7,2,FALSE())</f>
        <v>0.02</v>
      </c>
      <c r="I1679" s="0" t="n">
        <f aca="false">VLOOKUP(F1679,Rates!$D$4:$E$8,2)</f>
        <v>0.85</v>
      </c>
      <c r="J1679" s="0" t="n">
        <f aca="false">ROUND(E1679*I1679,2)</f>
        <v>30743.76</v>
      </c>
      <c r="K1679" s="1" t="n">
        <f aca="false">PV(H1679/12,F1679/30,0,-E1679)</f>
        <v>35629.108897437</v>
      </c>
      <c r="L1679" s="0" t="n">
        <f aca="false">ROUND(E1679-K1679,2)</f>
        <v>540.02</v>
      </c>
      <c r="M1679" s="0" t="n">
        <f aca="false">F1679/E1679</f>
        <v>0.00749257723367966</v>
      </c>
    </row>
    <row r="1680" customFormat="false" ht="12.8" hidden="false" customHeight="false" outlineLevel="0" collapsed="false">
      <c r="A1680" s="0" t="s">
        <v>2437</v>
      </c>
      <c r="B1680" s="0" t="s">
        <v>2067</v>
      </c>
      <c r="C1680" s="0" t="s">
        <v>15</v>
      </c>
      <c r="D1680" s="0" t="s">
        <v>49</v>
      </c>
      <c r="E1680" s="0" t="n">
        <v>25093.06</v>
      </c>
      <c r="F1680" s="0" t="n">
        <v>64</v>
      </c>
      <c r="G1680" s="0" t="str">
        <f aca="false">IF(F1680&lt;=30,"Current",IF(F1680&lt;=60,"31 to 60 days",IF(F1680&lt;=90,"61 to 90 days",IF(F1680&lt;=120,"91 to 120 days","Over 120 days"))))</f>
        <v>61 to 90 days</v>
      </c>
      <c r="H1680" s="0" t="n">
        <f aca="false">VLOOKUP(D1680,Rates!$A$4:$B$7,2,FALSE())</f>
        <v>0.02</v>
      </c>
      <c r="I1680" s="0" t="n">
        <f aca="false">VLOOKUP(F1680,Rates!$D$4:$E$8,2)</f>
        <v>0.25</v>
      </c>
      <c r="J1680" s="0" t="n">
        <f aca="false">ROUND(E1680*I1680,2)</f>
        <v>6273.27</v>
      </c>
      <c r="K1680" s="1" t="n">
        <f aca="false">PV(H1680/12,F1680/30,0,-E1680)</f>
        <v>25004.0726600314</v>
      </c>
      <c r="L1680" s="0" t="n">
        <f aca="false">ROUND(E1680-K1680,2)</f>
        <v>88.99</v>
      </c>
      <c r="M1680" s="0" t="n">
        <f aca="false">F1680/E1680</f>
        <v>0.00255050599647871</v>
      </c>
    </row>
    <row r="1681" customFormat="false" ht="12.8" hidden="false" customHeight="false" outlineLevel="0" collapsed="false">
      <c r="A1681" s="0" t="s">
        <v>2438</v>
      </c>
      <c r="B1681" s="0" t="s">
        <v>30</v>
      </c>
      <c r="C1681" s="0" t="s">
        <v>31</v>
      </c>
      <c r="D1681" s="0" t="s">
        <v>20</v>
      </c>
      <c r="E1681" s="0" t="n">
        <v>5748.49</v>
      </c>
      <c r="F1681" s="0" t="n">
        <v>372</v>
      </c>
      <c r="G1681" s="0" t="str">
        <f aca="false">IF(F1681&lt;=30,"Current",IF(F1681&lt;=60,"31 to 60 days",IF(F1681&lt;=90,"61 to 90 days",IF(F1681&lt;=120,"91 to 120 days","Over 120 days"))))</f>
        <v>Over 120 days</v>
      </c>
      <c r="H1681" s="0" t="n">
        <f aca="false">VLOOKUP(D1681,Rates!$A$4:$B$7,2,FALSE())</f>
        <v>0.05</v>
      </c>
      <c r="I1681" s="0" t="n">
        <f aca="false">VLOOKUP(F1681,Rates!$D$4:$E$8,2)</f>
        <v>0.85</v>
      </c>
      <c r="J1681" s="0" t="n">
        <f aca="false">ROUND(E1681*I1681,2)</f>
        <v>4886.22</v>
      </c>
      <c r="K1681" s="1" t="n">
        <f aca="false">PV(H1681/12,F1681/30,0,-E1681)</f>
        <v>5459.61287802452</v>
      </c>
      <c r="L1681" s="0" t="n">
        <f aca="false">ROUND(E1681-K1681,2)</f>
        <v>288.88</v>
      </c>
      <c r="M1681" s="0" t="n">
        <f aca="false">F1681/E1681</f>
        <v>0.0647126462775442</v>
      </c>
    </row>
    <row r="1682" customFormat="false" ht="12.8" hidden="false" customHeight="false" outlineLevel="0" collapsed="false">
      <c r="A1682" s="0" t="s">
        <v>2439</v>
      </c>
      <c r="B1682" s="0" t="s">
        <v>2440</v>
      </c>
      <c r="C1682" s="0" t="s">
        <v>31</v>
      </c>
      <c r="D1682" s="0" t="s">
        <v>49</v>
      </c>
      <c r="E1682" s="0" t="n">
        <v>13812.24</v>
      </c>
      <c r="F1682" s="0" t="n">
        <v>278</v>
      </c>
      <c r="G1682" s="0" t="str">
        <f aca="false">IF(F1682&lt;=30,"Current",IF(F1682&lt;=60,"31 to 60 days",IF(F1682&lt;=90,"61 to 90 days",IF(F1682&lt;=120,"91 to 120 days","Over 120 days"))))</f>
        <v>Over 120 days</v>
      </c>
      <c r="H1682" s="0" t="n">
        <f aca="false">VLOOKUP(D1682,Rates!$A$4:$B$7,2,FALSE())</f>
        <v>0.02</v>
      </c>
      <c r="I1682" s="0" t="n">
        <f aca="false">VLOOKUP(F1682,Rates!$D$4:$E$8,2)</f>
        <v>0.85</v>
      </c>
      <c r="J1682" s="0" t="n">
        <f aca="false">ROUND(E1682*I1682,2)</f>
        <v>11740.4</v>
      </c>
      <c r="K1682" s="1" t="n">
        <f aca="false">PV(H1682/12,F1682/30,0,-E1682)</f>
        <v>13600.7313524933</v>
      </c>
      <c r="L1682" s="0" t="n">
        <f aca="false">ROUND(E1682-K1682,2)</f>
        <v>211.51</v>
      </c>
      <c r="M1682" s="0" t="n">
        <f aca="false">F1682/E1682</f>
        <v>0.0201270756951805</v>
      </c>
    </row>
    <row r="1683" customFormat="false" ht="12.8" hidden="false" customHeight="false" outlineLevel="0" collapsed="false">
      <c r="A1683" s="0" t="s">
        <v>2441</v>
      </c>
      <c r="B1683" s="0" t="s">
        <v>186</v>
      </c>
      <c r="C1683" s="0" t="s">
        <v>31</v>
      </c>
      <c r="D1683" s="0" t="s">
        <v>23</v>
      </c>
      <c r="E1683" s="0" t="n">
        <v>11662.48</v>
      </c>
      <c r="F1683" s="0" t="n">
        <v>82</v>
      </c>
      <c r="G1683" s="0" t="str">
        <f aca="false">IF(F1683&lt;=30,"Current",IF(F1683&lt;=60,"31 to 60 days",IF(F1683&lt;=90,"61 to 90 days",IF(F1683&lt;=120,"91 to 120 days","Over 120 days"))))</f>
        <v>61 to 90 days</v>
      </c>
      <c r="H1683" s="0" t="n">
        <f aca="false">VLOOKUP(D1683,Rates!$A$4:$B$7,2,FALSE())</f>
        <v>0.115</v>
      </c>
      <c r="I1683" s="0" t="n">
        <f aca="false">VLOOKUP(F1683,Rates!$D$4:$E$8,2)</f>
        <v>0.25</v>
      </c>
      <c r="J1683" s="0" t="n">
        <f aca="false">ROUND(E1683*I1683,2)</f>
        <v>2915.62</v>
      </c>
      <c r="K1683" s="1" t="n">
        <f aca="false">PV(H1683/12,F1683/30,0,-E1683)</f>
        <v>11362.3712203161</v>
      </c>
      <c r="L1683" s="0" t="n">
        <f aca="false">ROUND(E1683-K1683,2)</f>
        <v>300.11</v>
      </c>
      <c r="M1683" s="0" t="n">
        <f aca="false">F1683/E1683</f>
        <v>0.00703109458708611</v>
      </c>
    </row>
    <row r="1684" customFormat="false" ht="12.8" hidden="false" customHeight="false" outlineLevel="0" collapsed="false">
      <c r="A1684" s="0" t="s">
        <v>2442</v>
      </c>
      <c r="B1684" s="0" t="s">
        <v>138</v>
      </c>
      <c r="C1684" s="0" t="s">
        <v>15</v>
      </c>
      <c r="D1684" s="0" t="s">
        <v>23</v>
      </c>
      <c r="E1684" s="0" t="n">
        <v>24061.19</v>
      </c>
      <c r="F1684" s="0" t="n">
        <v>377</v>
      </c>
      <c r="G1684" s="0" t="str">
        <f aca="false">IF(F1684&lt;=30,"Current",IF(F1684&lt;=60,"31 to 60 days",IF(F1684&lt;=90,"61 to 90 days",IF(F1684&lt;=120,"91 to 120 days","Over 120 days"))))</f>
        <v>Over 120 days</v>
      </c>
      <c r="H1684" s="0" t="n">
        <f aca="false">VLOOKUP(D1684,Rates!$A$4:$B$7,2,FALSE())</f>
        <v>0.115</v>
      </c>
      <c r="I1684" s="0" t="n">
        <f aca="false">VLOOKUP(F1684,Rates!$D$4:$E$8,2)</f>
        <v>0.85</v>
      </c>
      <c r="J1684" s="0" t="n">
        <f aca="false">ROUND(E1684*I1684,2)</f>
        <v>20452.01</v>
      </c>
      <c r="K1684" s="1" t="n">
        <f aca="false">PV(H1684/12,F1684/30,0,-E1684)</f>
        <v>21343.4097676497</v>
      </c>
      <c r="L1684" s="0" t="n">
        <f aca="false">ROUND(E1684-K1684,2)</f>
        <v>2717.78</v>
      </c>
      <c r="M1684" s="0" t="n">
        <f aca="false">F1684/E1684</f>
        <v>0.0156683854788562</v>
      </c>
    </row>
    <row r="1685" customFormat="false" ht="12.8" hidden="false" customHeight="false" outlineLevel="0" collapsed="false">
      <c r="A1685" s="0" t="s">
        <v>2443</v>
      </c>
      <c r="B1685" s="0" t="s">
        <v>35</v>
      </c>
      <c r="C1685" s="0" t="s">
        <v>36</v>
      </c>
      <c r="D1685" s="0" t="s">
        <v>23</v>
      </c>
      <c r="E1685" s="0" t="n">
        <v>18156.35</v>
      </c>
      <c r="F1685" s="0" t="n">
        <v>293</v>
      </c>
      <c r="G1685" s="0" t="str">
        <f aca="false">IF(F1685&lt;=30,"Current",IF(F1685&lt;=60,"31 to 60 days",IF(F1685&lt;=90,"61 to 90 days",IF(F1685&lt;=120,"91 to 120 days","Over 120 days"))))</f>
        <v>Over 120 days</v>
      </c>
      <c r="H1685" s="0" t="n">
        <f aca="false">VLOOKUP(D1685,Rates!$A$4:$B$7,2,FALSE())</f>
        <v>0.115</v>
      </c>
      <c r="I1685" s="0" t="n">
        <f aca="false">VLOOKUP(F1685,Rates!$D$4:$E$8,2)</f>
        <v>0.85</v>
      </c>
      <c r="J1685" s="0" t="n">
        <f aca="false">ROUND(E1685*I1685,2)</f>
        <v>15432.9</v>
      </c>
      <c r="K1685" s="1" t="n">
        <f aca="false">PV(H1685/12,F1685/30,0,-E1685)</f>
        <v>16541.4405604504</v>
      </c>
      <c r="L1685" s="0" t="n">
        <f aca="false">ROUND(E1685-K1685,2)</f>
        <v>1614.91</v>
      </c>
      <c r="M1685" s="0" t="n">
        <f aca="false">F1685/E1685</f>
        <v>0.0161376047498534</v>
      </c>
    </row>
    <row r="1686" customFormat="false" ht="12.8" hidden="false" customHeight="false" outlineLevel="0" collapsed="false">
      <c r="A1686" s="0" t="s">
        <v>2444</v>
      </c>
      <c r="B1686" s="0" t="s">
        <v>120</v>
      </c>
      <c r="C1686" s="0" t="s">
        <v>31</v>
      </c>
      <c r="D1686" s="0" t="s">
        <v>23</v>
      </c>
      <c r="E1686" s="0" t="n">
        <v>8832.13</v>
      </c>
      <c r="F1686" s="0" t="n">
        <v>206</v>
      </c>
      <c r="G1686" s="0" t="str">
        <f aca="false">IF(F1686&lt;=30,"Current",IF(F1686&lt;=60,"31 to 60 days",IF(F1686&lt;=90,"61 to 90 days",IF(F1686&lt;=120,"91 to 120 days","Over 120 days"))))</f>
        <v>Over 120 days</v>
      </c>
      <c r="H1686" s="0" t="n">
        <f aca="false">VLOOKUP(D1686,Rates!$A$4:$B$7,2,FALSE())</f>
        <v>0.115</v>
      </c>
      <c r="I1686" s="0" t="n">
        <f aca="false">VLOOKUP(F1686,Rates!$D$4:$E$8,2)</f>
        <v>0.85</v>
      </c>
      <c r="J1686" s="0" t="n">
        <f aca="false">ROUND(E1686*I1686,2)</f>
        <v>7507.31</v>
      </c>
      <c r="K1686" s="1" t="n">
        <f aca="false">PV(H1686/12,F1686/30,0,-E1686)</f>
        <v>8272.22875234038</v>
      </c>
      <c r="L1686" s="0" t="n">
        <f aca="false">ROUND(E1686-K1686,2)</f>
        <v>559.9</v>
      </c>
      <c r="M1686" s="0" t="n">
        <f aca="false">F1686/E1686</f>
        <v>0.0233239320526306</v>
      </c>
    </row>
    <row r="1687" customFormat="false" ht="12.8" hidden="false" customHeight="false" outlineLevel="0" collapsed="false">
      <c r="A1687" s="0" t="s">
        <v>2445</v>
      </c>
      <c r="B1687" s="0" t="s">
        <v>51</v>
      </c>
      <c r="C1687" s="0" t="s">
        <v>36</v>
      </c>
      <c r="D1687" s="0" t="s">
        <v>20</v>
      </c>
      <c r="E1687" s="0" t="n">
        <v>1179.96</v>
      </c>
      <c r="F1687" s="0" t="n">
        <v>66</v>
      </c>
      <c r="G1687" s="0" t="str">
        <f aca="false">IF(F1687&lt;=30,"Current",IF(F1687&lt;=60,"31 to 60 days",IF(F1687&lt;=90,"61 to 90 days",IF(F1687&lt;=120,"91 to 120 days","Over 120 days"))))</f>
        <v>61 to 90 days</v>
      </c>
      <c r="H1687" s="0" t="n">
        <f aca="false">VLOOKUP(D1687,Rates!$A$4:$B$7,2,FALSE())</f>
        <v>0.05</v>
      </c>
      <c r="I1687" s="0" t="n">
        <f aca="false">VLOOKUP(F1687,Rates!$D$4:$E$8,2)</f>
        <v>0.25</v>
      </c>
      <c r="J1687" s="0" t="n">
        <f aca="false">ROUND(E1687*I1687,2)</f>
        <v>294.99</v>
      </c>
      <c r="K1687" s="1" t="n">
        <f aca="false">PV(H1687/12,F1687/30,0,-E1687)</f>
        <v>1169.2153902995</v>
      </c>
      <c r="L1687" s="0" t="n">
        <f aca="false">ROUND(E1687-K1687,2)</f>
        <v>10.74</v>
      </c>
      <c r="M1687" s="0" t="n">
        <f aca="false">F1687/E1687</f>
        <v>0.0559340994609987</v>
      </c>
    </row>
    <row r="1688" customFormat="false" ht="12.8" hidden="false" customHeight="false" outlineLevel="0" collapsed="false">
      <c r="A1688" s="0" t="s">
        <v>2446</v>
      </c>
      <c r="B1688" s="0" t="s">
        <v>1740</v>
      </c>
      <c r="C1688" s="0" t="s">
        <v>42</v>
      </c>
      <c r="D1688" s="0" t="s">
        <v>16</v>
      </c>
      <c r="E1688" s="0" t="n">
        <v>25352.88</v>
      </c>
      <c r="F1688" s="0" t="n">
        <v>353</v>
      </c>
      <c r="G1688" s="0" t="str">
        <f aca="false">IF(F1688&lt;=30,"Current",IF(F1688&lt;=60,"31 to 60 days",IF(F1688&lt;=90,"61 to 90 days",IF(F1688&lt;=120,"91 to 120 days","Over 120 days"))))</f>
        <v>Over 120 days</v>
      </c>
      <c r="H1688" s="0" t="n">
        <f aca="false">VLOOKUP(D1688,Rates!$A$4:$B$7,2,FALSE())</f>
        <v>0.085</v>
      </c>
      <c r="I1688" s="0" t="n">
        <f aca="false">VLOOKUP(F1688,Rates!$D$4:$E$8,2)</f>
        <v>0.85</v>
      </c>
      <c r="J1688" s="0" t="n">
        <f aca="false">ROUND(E1688*I1688,2)</f>
        <v>21549.95</v>
      </c>
      <c r="K1688" s="1" t="n">
        <f aca="false">PV(H1688/12,F1688/30,0,-E1688)</f>
        <v>23332.3057313852</v>
      </c>
      <c r="L1688" s="0" t="n">
        <f aca="false">ROUND(E1688-K1688,2)</f>
        <v>2020.57</v>
      </c>
      <c r="M1688" s="0" t="n">
        <f aca="false">F1688/E1688</f>
        <v>0.0139234674719401</v>
      </c>
    </row>
    <row r="1689" customFormat="false" ht="12.8" hidden="false" customHeight="false" outlineLevel="0" collapsed="false">
      <c r="A1689" s="0" t="s">
        <v>2447</v>
      </c>
      <c r="B1689" s="0" t="s">
        <v>2448</v>
      </c>
      <c r="C1689" s="0" t="s">
        <v>19</v>
      </c>
      <c r="D1689" s="0" t="s">
        <v>49</v>
      </c>
      <c r="E1689" s="0" t="n">
        <v>8040.98</v>
      </c>
      <c r="F1689" s="0" t="n">
        <v>167</v>
      </c>
      <c r="G1689" s="0" t="str">
        <f aca="false">IF(F1689&lt;=30,"Current",IF(F1689&lt;=60,"31 to 60 days",IF(F1689&lt;=90,"61 to 90 days",IF(F1689&lt;=120,"91 to 120 days","Over 120 days"))))</f>
        <v>Over 120 days</v>
      </c>
      <c r="H1689" s="0" t="n">
        <f aca="false">VLOOKUP(D1689,Rates!$A$4:$B$7,2,FALSE())</f>
        <v>0.02</v>
      </c>
      <c r="I1689" s="0" t="n">
        <f aca="false">VLOOKUP(F1689,Rates!$D$4:$E$8,2)</f>
        <v>0.85</v>
      </c>
      <c r="J1689" s="0" t="n">
        <f aca="false">ROUND(E1689*I1689,2)</f>
        <v>6834.83</v>
      </c>
      <c r="K1689" s="1" t="n">
        <f aca="false">PV(H1689/12,F1689/30,0,-E1689)</f>
        <v>7966.78410547712</v>
      </c>
      <c r="L1689" s="0" t="n">
        <f aca="false">ROUND(E1689-K1689,2)</f>
        <v>74.2</v>
      </c>
      <c r="M1689" s="0" t="n">
        <f aca="false">F1689/E1689</f>
        <v>0.0207686127810292</v>
      </c>
    </row>
    <row r="1690" customFormat="false" ht="12.8" hidden="false" customHeight="false" outlineLevel="0" collapsed="false">
      <c r="A1690" s="0" t="s">
        <v>2449</v>
      </c>
      <c r="B1690" s="0" t="s">
        <v>887</v>
      </c>
      <c r="C1690" s="0" t="s">
        <v>15</v>
      </c>
      <c r="D1690" s="0" t="s">
        <v>16</v>
      </c>
      <c r="E1690" s="0" t="n">
        <v>20935.77</v>
      </c>
      <c r="F1690" s="0" t="n">
        <v>359</v>
      </c>
      <c r="G1690" s="0" t="str">
        <f aca="false">IF(F1690&lt;=30,"Current",IF(F1690&lt;=60,"31 to 60 days",IF(F1690&lt;=90,"61 to 90 days",IF(F1690&lt;=120,"91 to 120 days","Over 120 days"))))</f>
        <v>Over 120 days</v>
      </c>
      <c r="H1690" s="0" t="n">
        <f aca="false">VLOOKUP(D1690,Rates!$A$4:$B$7,2,FALSE())</f>
        <v>0.085</v>
      </c>
      <c r="I1690" s="0" t="n">
        <f aca="false">VLOOKUP(F1690,Rates!$D$4:$E$8,2)</f>
        <v>0.85</v>
      </c>
      <c r="J1690" s="0" t="n">
        <f aca="false">ROUND(E1690*I1690,2)</f>
        <v>17795.4</v>
      </c>
      <c r="K1690" s="1" t="n">
        <f aca="false">PV(H1690/12,F1690/30,0,-E1690)</f>
        <v>19240.0508027322</v>
      </c>
      <c r="L1690" s="0" t="n">
        <f aca="false">ROUND(E1690-K1690,2)</f>
        <v>1695.72</v>
      </c>
      <c r="M1690" s="0" t="n">
        <f aca="false">F1690/E1690</f>
        <v>0.0171476855162241</v>
      </c>
    </row>
    <row r="1691" customFormat="false" ht="12.8" hidden="false" customHeight="false" outlineLevel="0" collapsed="false">
      <c r="A1691" s="0" t="s">
        <v>2450</v>
      </c>
      <c r="B1691" s="0" t="s">
        <v>2451</v>
      </c>
      <c r="C1691" s="0" t="s">
        <v>31</v>
      </c>
      <c r="D1691" s="0" t="s">
        <v>49</v>
      </c>
      <c r="E1691" s="0" t="n">
        <v>23090.58</v>
      </c>
      <c r="F1691" s="0" t="n">
        <v>341</v>
      </c>
      <c r="G1691" s="0" t="str">
        <f aca="false">IF(F1691&lt;=30,"Current",IF(F1691&lt;=60,"31 to 60 days",IF(F1691&lt;=90,"61 to 90 days",IF(F1691&lt;=120,"91 to 120 days","Over 120 days"))))</f>
        <v>Over 120 days</v>
      </c>
      <c r="H1691" s="0" t="n">
        <f aca="false">VLOOKUP(D1691,Rates!$A$4:$B$7,2,FALSE())</f>
        <v>0.02</v>
      </c>
      <c r="I1691" s="0" t="n">
        <f aca="false">VLOOKUP(F1691,Rates!$D$4:$E$8,2)</f>
        <v>0.85</v>
      </c>
      <c r="J1691" s="0" t="n">
        <f aca="false">ROUND(E1691*I1691,2)</f>
        <v>19626.99</v>
      </c>
      <c r="K1691" s="1" t="n">
        <f aca="false">PV(H1691/12,F1691/30,0,-E1691)</f>
        <v>22657.6165567478</v>
      </c>
      <c r="L1691" s="0" t="n">
        <f aca="false">ROUND(E1691-K1691,2)</f>
        <v>432.96</v>
      </c>
      <c r="M1691" s="0" t="n">
        <f aca="false">F1691/E1691</f>
        <v>0.0147679270074636</v>
      </c>
    </row>
    <row r="1692" customFormat="false" ht="12.8" hidden="false" customHeight="false" outlineLevel="0" collapsed="false">
      <c r="A1692" s="0" t="s">
        <v>2452</v>
      </c>
      <c r="B1692" s="0" t="s">
        <v>682</v>
      </c>
      <c r="C1692" s="0" t="s">
        <v>19</v>
      </c>
      <c r="D1692" s="0" t="s">
        <v>23</v>
      </c>
      <c r="E1692" s="0" t="n">
        <v>43622.78</v>
      </c>
      <c r="F1692" s="0" t="n">
        <v>341</v>
      </c>
      <c r="G1692" s="0" t="str">
        <f aca="false">IF(F1692&lt;=30,"Current",IF(F1692&lt;=60,"31 to 60 days",IF(F1692&lt;=90,"61 to 90 days",IF(F1692&lt;=120,"91 to 120 days","Over 120 days"))))</f>
        <v>Over 120 days</v>
      </c>
      <c r="H1692" s="0" t="n">
        <f aca="false">VLOOKUP(D1692,Rates!$A$4:$B$7,2,FALSE())</f>
        <v>0.115</v>
      </c>
      <c r="I1692" s="0" t="n">
        <f aca="false">VLOOKUP(F1692,Rates!$D$4:$E$8,2)</f>
        <v>0.85</v>
      </c>
      <c r="J1692" s="0" t="n">
        <f aca="false">ROUND(E1692*I1692,2)</f>
        <v>37079.36</v>
      </c>
      <c r="K1692" s="1" t="n">
        <f aca="false">PV(H1692/12,F1692/30,0,-E1692)</f>
        <v>39140.8854121105</v>
      </c>
      <c r="L1692" s="0" t="n">
        <f aca="false">ROUND(E1692-K1692,2)</f>
        <v>4481.89</v>
      </c>
      <c r="M1692" s="0" t="n">
        <f aca="false">F1692/E1692</f>
        <v>0.00781701670549195</v>
      </c>
    </row>
    <row r="1693" customFormat="false" ht="12.8" hidden="false" customHeight="false" outlineLevel="0" collapsed="false">
      <c r="A1693" s="0" t="s">
        <v>2453</v>
      </c>
      <c r="B1693" s="0" t="s">
        <v>120</v>
      </c>
      <c r="C1693" s="0" t="s">
        <v>31</v>
      </c>
      <c r="D1693" s="0" t="s">
        <v>23</v>
      </c>
      <c r="E1693" s="0" t="n">
        <v>2381.89</v>
      </c>
      <c r="F1693" s="0" t="n">
        <v>277</v>
      </c>
      <c r="G1693" s="0" t="str">
        <f aca="false">IF(F1693&lt;=30,"Current",IF(F1693&lt;=60,"31 to 60 days",IF(F1693&lt;=90,"61 to 90 days",IF(F1693&lt;=120,"91 to 120 days","Over 120 days"))))</f>
        <v>Over 120 days</v>
      </c>
      <c r="H1693" s="0" t="n">
        <f aca="false">VLOOKUP(D1693,Rates!$A$4:$B$7,2,FALSE())</f>
        <v>0.115</v>
      </c>
      <c r="I1693" s="0" t="n">
        <f aca="false">VLOOKUP(F1693,Rates!$D$4:$E$8,2)</f>
        <v>0.85</v>
      </c>
      <c r="J1693" s="0" t="n">
        <f aca="false">ROUND(E1693*I1693,2)</f>
        <v>2024.61</v>
      </c>
      <c r="K1693" s="1" t="n">
        <f aca="false">PV(H1693/12,F1693/30,0,-E1693)</f>
        <v>2181.10032451936</v>
      </c>
      <c r="L1693" s="0" t="n">
        <f aca="false">ROUND(E1693-K1693,2)</f>
        <v>200.79</v>
      </c>
      <c r="M1693" s="0" t="n">
        <f aca="false">F1693/E1693</f>
        <v>0.116294203342724</v>
      </c>
    </row>
    <row r="1694" customFormat="false" ht="12.8" hidden="false" customHeight="false" outlineLevel="0" collapsed="false">
      <c r="A1694" s="0" t="s">
        <v>2454</v>
      </c>
      <c r="B1694" s="0" t="s">
        <v>18</v>
      </c>
      <c r="C1694" s="0" t="s">
        <v>19</v>
      </c>
      <c r="D1694" s="0" t="s">
        <v>20</v>
      </c>
      <c r="E1694" s="0" t="n">
        <v>0</v>
      </c>
      <c r="F1694" s="0" t="n">
        <v>367</v>
      </c>
      <c r="G1694" s="0" t="str">
        <f aca="false">IF(F1694&lt;=30,"Current",IF(F1694&lt;=60,"31 to 60 days",IF(F1694&lt;=90,"61 to 90 days",IF(F1694&lt;=120,"91 to 120 days","Over 120 days"))))</f>
        <v>Over 120 days</v>
      </c>
      <c r="H1694" s="0" t="n">
        <f aca="false">VLOOKUP(D1694,Rates!$A$4:$B$7,2,FALSE())</f>
        <v>0.05</v>
      </c>
      <c r="I1694" s="0" t="n">
        <f aca="false">VLOOKUP(F1694,Rates!$D$4:$E$8,2)</f>
        <v>0.85</v>
      </c>
      <c r="J1694" s="0" t="n">
        <f aca="false">ROUND(E1694*I1694,2)</f>
        <v>0</v>
      </c>
      <c r="K1694" s="1" t="n">
        <f aca="false">PV(H1694/12,F1694/30,0,-E1694)</f>
        <v>-0</v>
      </c>
      <c r="L1694" s="0" t="n">
        <f aca="false">ROUND(E1694-K1694,2)</f>
        <v>0</v>
      </c>
      <c r="M1694" s="0" t="e">
        <f aca="false">F1694/E1694</f>
        <v>#DIV/0!</v>
      </c>
    </row>
    <row r="1695" customFormat="false" ht="12.8" hidden="false" customHeight="false" outlineLevel="0" collapsed="false">
      <c r="A1695" s="0" t="s">
        <v>2455</v>
      </c>
      <c r="B1695" s="0" t="s">
        <v>2456</v>
      </c>
      <c r="C1695" s="0" t="s">
        <v>19</v>
      </c>
      <c r="D1695" s="0" t="s">
        <v>49</v>
      </c>
      <c r="E1695" s="0" t="n">
        <v>31698.76</v>
      </c>
      <c r="F1695" s="0" t="n">
        <v>308</v>
      </c>
      <c r="G1695" s="0" t="str">
        <f aca="false">IF(F1695&lt;=30,"Current",IF(F1695&lt;=60,"31 to 60 days",IF(F1695&lt;=90,"61 to 90 days",IF(F1695&lt;=120,"91 to 120 days","Over 120 days"))))</f>
        <v>Over 120 days</v>
      </c>
      <c r="H1695" s="0" t="n">
        <f aca="false">VLOOKUP(D1695,Rates!$A$4:$B$7,2,FALSE())</f>
        <v>0.02</v>
      </c>
      <c r="I1695" s="0" t="n">
        <f aca="false">VLOOKUP(F1695,Rates!$D$4:$E$8,2)</f>
        <v>0.85</v>
      </c>
      <c r="J1695" s="0" t="n">
        <f aca="false">ROUND(E1695*I1695,2)</f>
        <v>26943.95</v>
      </c>
      <c r="K1695" s="1" t="n">
        <f aca="false">PV(H1695/12,F1695/30,0,-E1695)</f>
        <v>31161.4170245152</v>
      </c>
      <c r="L1695" s="0" t="n">
        <f aca="false">ROUND(E1695-K1695,2)</f>
        <v>537.34</v>
      </c>
      <c r="M1695" s="0" t="n">
        <f aca="false">F1695/E1695</f>
        <v>0.00971646840444232</v>
      </c>
    </row>
    <row r="1696" customFormat="false" ht="12.8" hidden="false" customHeight="false" outlineLevel="0" collapsed="false">
      <c r="A1696" s="0" t="s">
        <v>2457</v>
      </c>
      <c r="B1696" s="0" t="s">
        <v>51</v>
      </c>
      <c r="C1696" s="0" t="s">
        <v>36</v>
      </c>
      <c r="D1696" s="0" t="s">
        <v>20</v>
      </c>
      <c r="E1696" s="0" t="n">
        <v>42677.97</v>
      </c>
      <c r="F1696" s="0" t="n">
        <v>372</v>
      </c>
      <c r="G1696" s="0" t="str">
        <f aca="false">IF(F1696&lt;=30,"Current",IF(F1696&lt;=60,"31 to 60 days",IF(F1696&lt;=90,"61 to 90 days",IF(F1696&lt;=120,"91 to 120 days","Over 120 days"))))</f>
        <v>Over 120 days</v>
      </c>
      <c r="H1696" s="0" t="n">
        <f aca="false">VLOOKUP(D1696,Rates!$A$4:$B$7,2,FALSE())</f>
        <v>0.05</v>
      </c>
      <c r="I1696" s="0" t="n">
        <f aca="false">VLOOKUP(F1696,Rates!$D$4:$E$8,2)</f>
        <v>0.85</v>
      </c>
      <c r="J1696" s="0" t="n">
        <f aca="false">ROUND(E1696*I1696,2)</f>
        <v>36276.27</v>
      </c>
      <c r="K1696" s="1" t="n">
        <f aca="false">PV(H1696/12,F1696/30,0,-E1696)</f>
        <v>40533.2869362118</v>
      </c>
      <c r="L1696" s="0" t="n">
        <f aca="false">ROUND(E1696-K1696,2)</f>
        <v>2144.68</v>
      </c>
      <c r="M1696" s="0" t="n">
        <f aca="false">F1696/E1696</f>
        <v>0.00871644082415354</v>
      </c>
    </row>
    <row r="1697" customFormat="false" ht="12.8" hidden="false" customHeight="false" outlineLevel="0" collapsed="false">
      <c r="A1697" s="0" t="s">
        <v>2458</v>
      </c>
      <c r="B1697" s="0" t="s">
        <v>2459</v>
      </c>
      <c r="C1697" s="0" t="s">
        <v>36</v>
      </c>
      <c r="D1697" s="0" t="s">
        <v>16</v>
      </c>
      <c r="E1697" s="0" t="n">
        <v>26193.64</v>
      </c>
      <c r="F1697" s="0" t="n">
        <v>201</v>
      </c>
      <c r="G1697" s="0" t="str">
        <f aca="false">IF(F1697&lt;=30,"Current",IF(F1697&lt;=60,"31 to 60 days",IF(F1697&lt;=90,"61 to 90 days",IF(F1697&lt;=120,"91 to 120 days","Over 120 days"))))</f>
        <v>Over 120 days</v>
      </c>
      <c r="H1697" s="0" t="n">
        <f aca="false">VLOOKUP(D1697,Rates!$A$4:$B$7,2,FALSE())</f>
        <v>0.085</v>
      </c>
      <c r="I1697" s="0" t="n">
        <f aca="false">VLOOKUP(F1697,Rates!$D$4:$E$8,2)</f>
        <v>0.85</v>
      </c>
      <c r="J1697" s="0" t="n">
        <f aca="false">ROUND(E1697*I1697,2)</f>
        <v>22264.59</v>
      </c>
      <c r="K1697" s="1" t="n">
        <f aca="false">PV(H1697/12,F1697/30,0,-E1697)</f>
        <v>24983.7494608222</v>
      </c>
      <c r="L1697" s="0" t="n">
        <f aca="false">ROUND(E1697-K1697,2)</f>
        <v>1209.89</v>
      </c>
      <c r="M1697" s="0" t="n">
        <f aca="false">F1697/E1697</f>
        <v>0.0076736184814329</v>
      </c>
    </row>
    <row r="1698" customFormat="false" ht="12.8" hidden="false" customHeight="false" outlineLevel="0" collapsed="false">
      <c r="A1698" s="0" t="s">
        <v>2460</v>
      </c>
      <c r="B1698" s="0" t="s">
        <v>28</v>
      </c>
      <c r="C1698" s="0" t="s">
        <v>15</v>
      </c>
      <c r="D1698" s="0" t="s">
        <v>20</v>
      </c>
      <c r="E1698" s="0" t="n">
        <v>23096.58</v>
      </c>
      <c r="F1698" s="0" t="n">
        <v>342</v>
      </c>
      <c r="G1698" s="0" t="str">
        <f aca="false">IF(F1698&lt;=30,"Current",IF(F1698&lt;=60,"31 to 60 days",IF(F1698&lt;=90,"61 to 90 days",IF(F1698&lt;=120,"91 to 120 days","Over 120 days"))))</f>
        <v>Over 120 days</v>
      </c>
      <c r="H1698" s="0" t="n">
        <f aca="false">VLOOKUP(D1698,Rates!$A$4:$B$7,2,FALSE())</f>
        <v>0.05</v>
      </c>
      <c r="I1698" s="0" t="n">
        <f aca="false">VLOOKUP(F1698,Rates!$D$4:$E$8,2)</f>
        <v>0.85</v>
      </c>
      <c r="J1698" s="0" t="n">
        <f aca="false">ROUND(E1698*I1698,2)</f>
        <v>19632.09</v>
      </c>
      <c r="K1698" s="1" t="n">
        <f aca="false">PV(H1698/12,F1698/30,0,-E1698)</f>
        <v>22027.314224492</v>
      </c>
      <c r="L1698" s="0" t="n">
        <f aca="false">ROUND(E1698-K1698,2)</f>
        <v>1069.27</v>
      </c>
      <c r="M1698" s="0" t="n">
        <f aca="false">F1698/E1698</f>
        <v>0.0148073870676957</v>
      </c>
    </row>
    <row r="1699" customFormat="false" ht="12.8" hidden="false" customHeight="false" outlineLevel="0" collapsed="false">
      <c r="A1699" s="0" t="s">
        <v>2461</v>
      </c>
      <c r="B1699" s="0" t="s">
        <v>30</v>
      </c>
      <c r="C1699" s="0" t="s">
        <v>31</v>
      </c>
      <c r="D1699" s="0" t="s">
        <v>20</v>
      </c>
      <c r="E1699" s="0" t="n">
        <v>1570.55</v>
      </c>
      <c r="F1699" s="0" t="n">
        <v>59</v>
      </c>
      <c r="G1699" s="0" t="str">
        <f aca="false">IF(F1699&lt;=30,"Current",IF(F1699&lt;=60,"31 to 60 days",IF(F1699&lt;=90,"61 to 90 days",IF(F1699&lt;=120,"91 to 120 days","Over 120 days"))))</f>
        <v>31 to 60 days</v>
      </c>
      <c r="H1699" s="0" t="n">
        <f aca="false">VLOOKUP(D1699,Rates!$A$4:$B$7,2,FALSE())</f>
        <v>0.05</v>
      </c>
      <c r="I1699" s="0" t="n">
        <f aca="false">VLOOKUP(F1699,Rates!$D$4:$E$8,2)</f>
        <v>0.1</v>
      </c>
      <c r="J1699" s="0" t="n">
        <f aca="false">ROUND(E1699*I1699,2)</f>
        <v>157.06</v>
      </c>
      <c r="K1699" s="1" t="n">
        <f aca="false">PV(H1699/12,F1699/30,0,-E1699)</f>
        <v>1557.75932173339</v>
      </c>
      <c r="L1699" s="0" t="n">
        <f aca="false">ROUND(E1699-K1699,2)</f>
        <v>12.79</v>
      </c>
      <c r="M1699" s="0" t="n">
        <f aca="false">F1699/E1699</f>
        <v>0.0375664576103913</v>
      </c>
    </row>
    <row r="1700" customFormat="false" ht="12.8" hidden="false" customHeight="false" outlineLevel="0" collapsed="false">
      <c r="A1700" s="0" t="s">
        <v>2462</v>
      </c>
      <c r="B1700" s="0" t="s">
        <v>33</v>
      </c>
      <c r="C1700" s="0" t="s">
        <v>26</v>
      </c>
      <c r="D1700" s="0" t="s">
        <v>20</v>
      </c>
      <c r="E1700" s="0" t="n">
        <v>3474.76</v>
      </c>
      <c r="F1700" s="0" t="n">
        <v>215</v>
      </c>
      <c r="G1700" s="0" t="str">
        <f aca="false">IF(F1700&lt;=30,"Current",IF(F1700&lt;=60,"31 to 60 days",IF(F1700&lt;=90,"61 to 90 days",IF(F1700&lt;=120,"91 to 120 days","Over 120 days"))))</f>
        <v>Over 120 days</v>
      </c>
      <c r="H1700" s="0" t="n">
        <f aca="false">VLOOKUP(D1700,Rates!$A$4:$B$7,2,FALSE())</f>
        <v>0.05</v>
      </c>
      <c r="I1700" s="0" t="n">
        <f aca="false">VLOOKUP(F1700,Rates!$D$4:$E$8,2)</f>
        <v>0.85</v>
      </c>
      <c r="J1700" s="0" t="n">
        <f aca="false">ROUND(E1700*I1700,2)</f>
        <v>2953.55</v>
      </c>
      <c r="K1700" s="1" t="n">
        <f aca="false">PV(H1700/12,F1700/30,0,-E1700)</f>
        <v>3372.74293009809</v>
      </c>
      <c r="L1700" s="0" t="n">
        <f aca="false">ROUND(E1700-K1700,2)</f>
        <v>102.02</v>
      </c>
      <c r="M1700" s="0" t="n">
        <f aca="false">F1700/E1700</f>
        <v>0.0618747769630133</v>
      </c>
    </row>
    <row r="1701" customFormat="false" ht="12.8" hidden="false" customHeight="false" outlineLevel="0" collapsed="false">
      <c r="A1701" s="0" t="s">
        <v>2463</v>
      </c>
      <c r="B1701" s="0" t="s">
        <v>51</v>
      </c>
      <c r="C1701" s="0" t="s">
        <v>36</v>
      </c>
      <c r="D1701" s="0" t="s">
        <v>20</v>
      </c>
      <c r="E1701" s="0" t="n">
        <v>12517.95</v>
      </c>
      <c r="F1701" s="0" t="n">
        <v>36</v>
      </c>
      <c r="G1701" s="0" t="str">
        <f aca="false">IF(F1701&lt;=30,"Current",IF(F1701&lt;=60,"31 to 60 days",IF(F1701&lt;=90,"61 to 90 days",IF(F1701&lt;=120,"91 to 120 days","Over 120 days"))))</f>
        <v>31 to 60 days</v>
      </c>
      <c r="H1701" s="0" t="n">
        <f aca="false">VLOOKUP(D1701,Rates!$A$4:$B$7,2,FALSE())</f>
        <v>0.05</v>
      </c>
      <c r="I1701" s="0" t="n">
        <f aca="false">VLOOKUP(F1701,Rates!$D$4:$E$8,2)</f>
        <v>0.1</v>
      </c>
      <c r="J1701" s="0" t="n">
        <f aca="false">ROUND(E1701*I1701,2)</f>
        <v>1251.8</v>
      </c>
      <c r="K1701" s="1" t="n">
        <f aca="false">PV(H1701/12,F1701/30,0,-E1701)</f>
        <v>12455.6458502651</v>
      </c>
      <c r="L1701" s="0" t="n">
        <f aca="false">ROUND(E1701-K1701,2)</f>
        <v>62.3</v>
      </c>
      <c r="M1701" s="0" t="n">
        <f aca="false">F1701/E1701</f>
        <v>0.00287587025032054</v>
      </c>
    </row>
    <row r="1702" customFormat="false" ht="12.8" hidden="false" customHeight="false" outlineLevel="0" collapsed="false">
      <c r="A1702" s="0" t="s">
        <v>2464</v>
      </c>
      <c r="B1702" s="0" t="s">
        <v>2465</v>
      </c>
      <c r="C1702" s="0" t="s">
        <v>19</v>
      </c>
      <c r="D1702" s="0" t="s">
        <v>49</v>
      </c>
      <c r="E1702" s="0" t="n">
        <v>31357.46</v>
      </c>
      <c r="F1702" s="0" t="n">
        <v>192</v>
      </c>
      <c r="G1702" s="0" t="str">
        <f aca="false">IF(F1702&lt;=30,"Current",IF(F1702&lt;=60,"31 to 60 days",IF(F1702&lt;=90,"61 to 90 days",IF(F1702&lt;=120,"91 to 120 days","Over 120 days"))))</f>
        <v>Over 120 days</v>
      </c>
      <c r="H1702" s="0" t="n">
        <f aca="false">VLOOKUP(D1702,Rates!$A$4:$B$7,2,FALSE())</f>
        <v>0.02</v>
      </c>
      <c r="I1702" s="0" t="n">
        <f aca="false">VLOOKUP(F1702,Rates!$D$4:$E$8,2)</f>
        <v>0.85</v>
      </c>
      <c r="J1702" s="0" t="n">
        <f aca="false">ROUND(E1702*I1702,2)</f>
        <v>26653.84</v>
      </c>
      <c r="K1702" s="1" t="n">
        <f aca="false">PV(H1702/12,F1702/30,0,-E1702)</f>
        <v>31025.0334626933</v>
      </c>
      <c r="L1702" s="0" t="n">
        <f aca="false">ROUND(E1702-K1702,2)</f>
        <v>332.43</v>
      </c>
      <c r="M1702" s="0" t="n">
        <f aca="false">F1702/E1702</f>
        <v>0.00612294490688978</v>
      </c>
    </row>
    <row r="1703" customFormat="false" ht="12.8" hidden="false" customHeight="false" outlineLevel="0" collapsed="false">
      <c r="A1703" s="0" t="s">
        <v>2466</v>
      </c>
      <c r="B1703" s="0" t="s">
        <v>2467</v>
      </c>
      <c r="C1703" s="0" t="s">
        <v>19</v>
      </c>
      <c r="D1703" s="0" t="s">
        <v>16</v>
      </c>
      <c r="E1703" s="0" t="n">
        <v>12124.97</v>
      </c>
      <c r="F1703" s="0" t="n">
        <v>318</v>
      </c>
      <c r="G1703" s="0" t="str">
        <f aca="false">IF(F1703&lt;=30,"Current",IF(F1703&lt;=60,"31 to 60 days",IF(F1703&lt;=90,"61 to 90 days",IF(F1703&lt;=120,"91 to 120 days","Over 120 days"))))</f>
        <v>Over 120 days</v>
      </c>
      <c r="H1703" s="0" t="n">
        <f aca="false">VLOOKUP(D1703,Rates!$A$4:$B$7,2,FALSE())</f>
        <v>0.085</v>
      </c>
      <c r="I1703" s="0" t="n">
        <f aca="false">VLOOKUP(F1703,Rates!$D$4:$E$8,2)</f>
        <v>0.85</v>
      </c>
      <c r="J1703" s="0" t="n">
        <f aca="false">ROUND(E1703*I1703,2)</f>
        <v>10306.22</v>
      </c>
      <c r="K1703" s="1" t="n">
        <f aca="false">PV(H1703/12,F1703/30,0,-E1703)</f>
        <v>11250.9019671993</v>
      </c>
      <c r="L1703" s="0" t="n">
        <f aca="false">ROUND(E1703-K1703,2)</f>
        <v>874.07</v>
      </c>
      <c r="M1703" s="0" t="n">
        <f aca="false">F1703/E1703</f>
        <v>0.0262268690149336</v>
      </c>
    </row>
    <row r="1704" customFormat="false" ht="12.8" hidden="false" customHeight="false" outlineLevel="0" collapsed="false">
      <c r="A1704" s="0" t="s">
        <v>2468</v>
      </c>
      <c r="B1704" s="0" t="s">
        <v>1385</v>
      </c>
      <c r="C1704" s="0" t="s">
        <v>42</v>
      </c>
      <c r="D1704" s="0" t="s">
        <v>16</v>
      </c>
      <c r="E1704" s="0" t="n">
        <v>6829.35</v>
      </c>
      <c r="F1704" s="0" t="n">
        <v>124</v>
      </c>
      <c r="G1704" s="0" t="str">
        <f aca="false">IF(F1704&lt;=30,"Current",IF(F1704&lt;=60,"31 to 60 days",IF(F1704&lt;=90,"61 to 90 days",IF(F1704&lt;=120,"91 to 120 days","Over 120 days"))))</f>
        <v>Over 120 days</v>
      </c>
      <c r="H1704" s="0" t="n">
        <f aca="false">VLOOKUP(D1704,Rates!$A$4:$B$7,2,FALSE())</f>
        <v>0.085</v>
      </c>
      <c r="I1704" s="0" t="n">
        <f aca="false">VLOOKUP(F1704,Rates!$D$4:$E$8,2)</f>
        <v>0.85</v>
      </c>
      <c r="J1704" s="0" t="n">
        <f aca="false">ROUND(E1704*I1704,2)</f>
        <v>5804.95</v>
      </c>
      <c r="K1704" s="1" t="n">
        <f aca="false">PV(H1704/12,F1704/30,0,-E1704)</f>
        <v>6632.9849923032</v>
      </c>
      <c r="L1704" s="0" t="n">
        <f aca="false">ROUND(E1704-K1704,2)</f>
        <v>196.37</v>
      </c>
      <c r="M1704" s="0" t="n">
        <f aca="false">F1704/E1704</f>
        <v>0.018156925622497</v>
      </c>
    </row>
    <row r="1705" customFormat="false" ht="12.8" hidden="false" customHeight="false" outlineLevel="0" collapsed="false">
      <c r="A1705" s="0" t="s">
        <v>2469</v>
      </c>
      <c r="B1705" s="0" t="s">
        <v>2470</v>
      </c>
      <c r="C1705" s="0" t="s">
        <v>15</v>
      </c>
      <c r="D1705" s="0" t="s">
        <v>49</v>
      </c>
      <c r="E1705" s="0" t="n">
        <v>28690.74</v>
      </c>
      <c r="F1705" s="0" t="n">
        <v>210</v>
      </c>
      <c r="G1705" s="0" t="str">
        <f aca="false">IF(F1705&lt;=30,"Current",IF(F1705&lt;=60,"31 to 60 days",IF(F1705&lt;=90,"61 to 90 days",IF(F1705&lt;=120,"91 to 120 days","Over 120 days"))))</f>
        <v>Over 120 days</v>
      </c>
      <c r="H1705" s="0" t="n">
        <f aca="false">VLOOKUP(D1705,Rates!$A$4:$B$7,2,FALSE())</f>
        <v>0.02</v>
      </c>
      <c r="I1705" s="0" t="n">
        <f aca="false">VLOOKUP(F1705,Rates!$D$4:$E$8,2)</f>
        <v>0.85</v>
      </c>
      <c r="J1705" s="0" t="n">
        <f aca="false">ROUND(E1705*I1705,2)</f>
        <v>24387.13</v>
      </c>
      <c r="K1705" s="1" t="n">
        <f aca="false">PV(H1705/12,F1705/30,0,-E1705)</f>
        <v>28358.2350908097</v>
      </c>
      <c r="L1705" s="0" t="n">
        <f aca="false">ROUND(E1705-K1705,2)</f>
        <v>332.5</v>
      </c>
      <c r="M1705" s="0" t="n">
        <f aca="false">F1705/E1705</f>
        <v>0.00731943477233421</v>
      </c>
    </row>
    <row r="1706" customFormat="false" ht="12.8" hidden="false" customHeight="false" outlineLevel="0" collapsed="false">
      <c r="A1706" s="0" t="s">
        <v>2471</v>
      </c>
      <c r="B1706" s="0" t="s">
        <v>28</v>
      </c>
      <c r="C1706" s="0" t="s">
        <v>15</v>
      </c>
      <c r="D1706" s="0" t="s">
        <v>20</v>
      </c>
      <c r="E1706" s="0" t="n">
        <v>31003.78</v>
      </c>
      <c r="F1706" s="0" t="n">
        <v>114</v>
      </c>
      <c r="G1706" s="0" t="str">
        <f aca="false">IF(F1706&lt;=30,"Current",IF(F1706&lt;=60,"31 to 60 days",IF(F1706&lt;=90,"61 to 90 days",IF(F1706&lt;=120,"91 to 120 days","Over 120 days"))))</f>
        <v>91 to 120 days</v>
      </c>
      <c r="H1706" s="0" t="n">
        <f aca="false">VLOOKUP(D1706,Rates!$A$4:$B$7,2,FALSE())</f>
        <v>0.05</v>
      </c>
      <c r="I1706" s="0" t="n">
        <f aca="false">VLOOKUP(F1706,Rates!$D$4:$E$8,2)</f>
        <v>0.5</v>
      </c>
      <c r="J1706" s="0" t="n">
        <f aca="false">ROUND(E1706*I1706,2)</f>
        <v>15501.89</v>
      </c>
      <c r="K1706" s="1" t="n">
        <f aca="false">PV(H1706/12,F1706/30,0,-E1706)</f>
        <v>30517.7564826218</v>
      </c>
      <c r="L1706" s="0" t="n">
        <f aca="false">ROUND(E1706-K1706,2)</f>
        <v>486.02</v>
      </c>
      <c r="M1706" s="0" t="n">
        <f aca="false">F1706/E1706</f>
        <v>0.00367697100160045</v>
      </c>
    </row>
    <row r="1707" customFormat="false" ht="12.8" hidden="false" customHeight="false" outlineLevel="0" collapsed="false">
      <c r="A1707" s="0" t="s">
        <v>2472</v>
      </c>
      <c r="B1707" s="0" t="s">
        <v>490</v>
      </c>
      <c r="C1707" s="0" t="s">
        <v>42</v>
      </c>
      <c r="D1707" s="0" t="s">
        <v>23</v>
      </c>
      <c r="E1707" s="0" t="n">
        <v>37946.17</v>
      </c>
      <c r="F1707" s="0" t="n">
        <v>261</v>
      </c>
      <c r="G1707" s="0" t="str">
        <f aca="false">IF(F1707&lt;=30,"Current",IF(F1707&lt;=60,"31 to 60 days",IF(F1707&lt;=90,"61 to 90 days",IF(F1707&lt;=120,"91 to 120 days","Over 120 days"))))</f>
        <v>Over 120 days</v>
      </c>
      <c r="H1707" s="0" t="n">
        <f aca="false">VLOOKUP(D1707,Rates!$A$4:$B$7,2,FALSE())</f>
        <v>0.115</v>
      </c>
      <c r="I1707" s="0" t="n">
        <f aca="false">VLOOKUP(F1707,Rates!$D$4:$E$8,2)</f>
        <v>0.85</v>
      </c>
      <c r="J1707" s="0" t="n">
        <f aca="false">ROUND(E1707*I1707,2)</f>
        <v>32254.24</v>
      </c>
      <c r="K1707" s="1" t="n">
        <f aca="false">PV(H1707/12,F1707/30,0,-E1707)</f>
        <v>34924.5684120627</v>
      </c>
      <c r="L1707" s="0" t="n">
        <f aca="false">ROUND(E1707-K1707,2)</f>
        <v>3021.6</v>
      </c>
      <c r="M1707" s="0" t="n">
        <f aca="false">F1707/E1707</f>
        <v>0.00687816451568103</v>
      </c>
    </row>
    <row r="1708" customFormat="false" ht="12.8" hidden="false" customHeight="false" outlineLevel="0" collapsed="false">
      <c r="A1708" s="0" t="s">
        <v>2473</v>
      </c>
      <c r="B1708" s="0" t="s">
        <v>2474</v>
      </c>
      <c r="C1708" s="0" t="s">
        <v>36</v>
      </c>
      <c r="D1708" s="0" t="s">
        <v>16</v>
      </c>
      <c r="E1708" s="0" t="n">
        <v>2266.97</v>
      </c>
      <c r="F1708" s="0" t="n">
        <v>197</v>
      </c>
      <c r="G1708" s="0" t="str">
        <f aca="false">IF(F1708&lt;=30,"Current",IF(F1708&lt;=60,"31 to 60 days",IF(F1708&lt;=90,"61 to 90 days",IF(F1708&lt;=120,"91 to 120 days","Over 120 days"))))</f>
        <v>Over 120 days</v>
      </c>
      <c r="H1708" s="0" t="n">
        <f aca="false">VLOOKUP(D1708,Rates!$A$4:$B$7,2,FALSE())</f>
        <v>0.085</v>
      </c>
      <c r="I1708" s="0" t="n">
        <f aca="false">VLOOKUP(F1708,Rates!$D$4:$E$8,2)</f>
        <v>0.85</v>
      </c>
      <c r="J1708" s="0" t="n">
        <f aca="false">ROUND(E1708*I1708,2)</f>
        <v>1926.92</v>
      </c>
      <c r="K1708" s="1" t="n">
        <f aca="false">PV(H1708/12,F1708/30,0,-E1708)</f>
        <v>2164.2940017343</v>
      </c>
      <c r="L1708" s="0" t="n">
        <f aca="false">ROUND(E1708-K1708,2)</f>
        <v>102.68</v>
      </c>
      <c r="M1708" s="0" t="n">
        <f aca="false">F1708/E1708</f>
        <v>0.0869001354230537</v>
      </c>
    </row>
    <row r="1709" customFormat="false" ht="12.8" hidden="false" customHeight="false" outlineLevel="0" collapsed="false">
      <c r="A1709" s="0" t="s">
        <v>2475</v>
      </c>
      <c r="B1709" s="0" t="s">
        <v>2476</v>
      </c>
      <c r="C1709" s="0" t="s">
        <v>15</v>
      </c>
      <c r="D1709" s="0" t="s">
        <v>49</v>
      </c>
      <c r="E1709" s="0" t="n">
        <v>7520.88</v>
      </c>
      <c r="F1709" s="0" t="n">
        <v>65</v>
      </c>
      <c r="G1709" s="0" t="str">
        <f aca="false">IF(F1709&lt;=30,"Current",IF(F1709&lt;=60,"31 to 60 days",IF(F1709&lt;=90,"61 to 90 days",IF(F1709&lt;=120,"91 to 120 days","Over 120 days"))))</f>
        <v>61 to 90 days</v>
      </c>
      <c r="H1709" s="0" t="n">
        <f aca="false">VLOOKUP(D1709,Rates!$A$4:$B$7,2,FALSE())</f>
        <v>0.02</v>
      </c>
      <c r="I1709" s="0" t="n">
        <f aca="false">VLOOKUP(F1709,Rates!$D$4:$E$8,2)</f>
        <v>0.25</v>
      </c>
      <c r="J1709" s="0" t="n">
        <f aca="false">ROUND(E1709*I1709,2)</f>
        <v>1880.22</v>
      </c>
      <c r="K1709" s="1" t="n">
        <f aca="false">PV(H1709/12,F1709/30,0,-E1709)</f>
        <v>7493.79277000253</v>
      </c>
      <c r="L1709" s="0" t="n">
        <f aca="false">ROUND(E1709-K1709,2)</f>
        <v>27.09</v>
      </c>
      <c r="M1709" s="0" t="n">
        <f aca="false">F1709/E1709</f>
        <v>0.00864260565253002</v>
      </c>
    </row>
    <row r="1710" customFormat="false" ht="12.8" hidden="false" customHeight="false" outlineLevel="0" collapsed="false">
      <c r="A1710" s="0" t="s">
        <v>2477</v>
      </c>
      <c r="B1710" s="0" t="s">
        <v>2478</v>
      </c>
      <c r="C1710" s="0" t="s">
        <v>26</v>
      </c>
      <c r="D1710" s="0" t="s">
        <v>16</v>
      </c>
      <c r="E1710" s="0" t="n">
        <v>9586.12</v>
      </c>
      <c r="F1710" s="0" t="n">
        <v>203</v>
      </c>
      <c r="G1710" s="0" t="str">
        <f aca="false">IF(F1710&lt;=30,"Current",IF(F1710&lt;=60,"31 to 60 days",IF(F1710&lt;=90,"61 to 90 days",IF(F1710&lt;=120,"91 to 120 days","Over 120 days"))))</f>
        <v>Over 120 days</v>
      </c>
      <c r="H1710" s="0" t="n">
        <f aca="false">VLOOKUP(D1710,Rates!$A$4:$B$7,2,FALSE())</f>
        <v>0.085</v>
      </c>
      <c r="I1710" s="0" t="n">
        <f aca="false">VLOOKUP(F1710,Rates!$D$4:$E$8,2)</f>
        <v>0.85</v>
      </c>
      <c r="J1710" s="0" t="n">
        <f aca="false">ROUND(E1710*I1710,2)</f>
        <v>8148.2</v>
      </c>
      <c r="K1710" s="1" t="n">
        <f aca="false">PV(H1710/12,F1710/30,0,-E1710)</f>
        <v>9139.03335502036</v>
      </c>
      <c r="L1710" s="0" t="n">
        <f aca="false">ROUND(E1710-K1710,2)</f>
        <v>447.09</v>
      </c>
      <c r="M1710" s="0" t="n">
        <f aca="false">F1710/E1710</f>
        <v>0.0211764509520014</v>
      </c>
    </row>
    <row r="1711" customFormat="false" ht="12.8" hidden="false" customHeight="false" outlineLevel="0" collapsed="false">
      <c r="A1711" s="0" t="s">
        <v>2479</v>
      </c>
      <c r="B1711" s="0" t="s">
        <v>84</v>
      </c>
      <c r="C1711" s="0" t="s">
        <v>26</v>
      </c>
      <c r="D1711" s="0" t="s">
        <v>23</v>
      </c>
      <c r="E1711" s="0" t="n">
        <v>41037.02</v>
      </c>
      <c r="F1711" s="0" t="n">
        <v>228</v>
      </c>
      <c r="G1711" s="0" t="str">
        <f aca="false">IF(F1711&lt;=30,"Current",IF(F1711&lt;=60,"31 to 60 days",IF(F1711&lt;=90,"61 to 90 days",IF(F1711&lt;=120,"91 to 120 days","Over 120 days"))))</f>
        <v>Over 120 days</v>
      </c>
      <c r="H1711" s="0" t="n">
        <f aca="false">VLOOKUP(D1711,Rates!$A$4:$B$7,2,FALSE())</f>
        <v>0.115</v>
      </c>
      <c r="I1711" s="0" t="n">
        <f aca="false">VLOOKUP(F1711,Rates!$D$4:$E$8,2)</f>
        <v>0.85</v>
      </c>
      <c r="J1711" s="0" t="n">
        <f aca="false">ROUND(E1711*I1711,2)</f>
        <v>34881.47</v>
      </c>
      <c r="K1711" s="1" t="n">
        <f aca="false">PV(H1711/12,F1711/30,0,-E1711)</f>
        <v>38167.6398436741</v>
      </c>
      <c r="L1711" s="0" t="n">
        <f aca="false">ROUND(E1711-K1711,2)</f>
        <v>2869.38</v>
      </c>
      <c r="M1711" s="0" t="n">
        <f aca="false">F1711/E1711</f>
        <v>0.00555595898532593</v>
      </c>
    </row>
    <row r="1712" customFormat="false" ht="12.8" hidden="false" customHeight="false" outlineLevel="0" collapsed="false">
      <c r="A1712" s="0" t="s">
        <v>2480</v>
      </c>
      <c r="B1712" s="0" t="s">
        <v>18</v>
      </c>
      <c r="C1712" s="0" t="s">
        <v>19</v>
      </c>
      <c r="D1712" s="0" t="s">
        <v>20</v>
      </c>
      <c r="E1712" s="0" t="n">
        <v>26204.43</v>
      </c>
      <c r="F1712" s="0" t="n">
        <v>173</v>
      </c>
      <c r="G1712" s="0" t="str">
        <f aca="false">IF(F1712&lt;=30,"Current",IF(F1712&lt;=60,"31 to 60 days",IF(F1712&lt;=90,"61 to 90 days",IF(F1712&lt;=120,"91 to 120 days","Over 120 days"))))</f>
        <v>Over 120 days</v>
      </c>
      <c r="H1712" s="0" t="n">
        <f aca="false">VLOOKUP(D1712,Rates!$A$4:$B$7,2,FALSE())</f>
        <v>0.05</v>
      </c>
      <c r="I1712" s="0" t="n">
        <f aca="false">VLOOKUP(F1712,Rates!$D$4:$E$8,2)</f>
        <v>0.85</v>
      </c>
      <c r="J1712" s="0" t="n">
        <f aca="false">ROUND(E1712*I1712,2)</f>
        <v>22273.77</v>
      </c>
      <c r="K1712" s="1" t="n">
        <f aca="false">PV(H1712/12,F1712/30,0,-E1712)</f>
        <v>25583.5769932374</v>
      </c>
      <c r="L1712" s="0" t="n">
        <f aca="false">ROUND(E1712-K1712,2)</f>
        <v>620.85</v>
      </c>
      <c r="M1712" s="0" t="n">
        <f aca="false">F1712/E1712</f>
        <v>0.00660193715337445</v>
      </c>
    </row>
    <row r="1713" customFormat="false" ht="12.8" hidden="false" customHeight="false" outlineLevel="0" collapsed="false">
      <c r="A1713" s="0" t="s">
        <v>2481</v>
      </c>
      <c r="B1713" s="0" t="s">
        <v>2482</v>
      </c>
      <c r="C1713" s="0" t="s">
        <v>36</v>
      </c>
      <c r="D1713" s="0" t="s">
        <v>49</v>
      </c>
      <c r="E1713" s="0" t="n">
        <v>9423.68</v>
      </c>
      <c r="F1713" s="0" t="n">
        <v>354</v>
      </c>
      <c r="G1713" s="0" t="str">
        <f aca="false">IF(F1713&lt;=30,"Current",IF(F1713&lt;=60,"31 to 60 days",IF(F1713&lt;=90,"61 to 90 days",IF(F1713&lt;=120,"91 to 120 days","Over 120 days"))))</f>
        <v>Over 120 days</v>
      </c>
      <c r="H1713" s="0" t="n">
        <f aca="false">VLOOKUP(D1713,Rates!$A$4:$B$7,2,FALSE())</f>
        <v>0.02</v>
      </c>
      <c r="I1713" s="0" t="n">
        <f aca="false">VLOOKUP(F1713,Rates!$D$4:$E$8,2)</f>
        <v>0.85</v>
      </c>
      <c r="J1713" s="0" t="n">
        <f aca="false">ROUND(E1713*I1713,2)</f>
        <v>8010.13</v>
      </c>
      <c r="K1713" s="1" t="n">
        <f aca="false">PV(H1713/12,F1713/30,0,-E1713)</f>
        <v>9240.30944221839</v>
      </c>
      <c r="L1713" s="0" t="n">
        <f aca="false">ROUND(E1713-K1713,2)</f>
        <v>183.37</v>
      </c>
      <c r="M1713" s="0" t="n">
        <f aca="false">F1713/E1713</f>
        <v>0.0375649427824374</v>
      </c>
    </row>
    <row r="1714" customFormat="false" ht="12.8" hidden="false" customHeight="false" outlineLevel="0" collapsed="false">
      <c r="A1714" s="0" t="s">
        <v>2483</v>
      </c>
      <c r="B1714" s="0" t="s">
        <v>30</v>
      </c>
      <c r="C1714" s="0" t="s">
        <v>31</v>
      </c>
      <c r="D1714" s="0" t="s">
        <v>20</v>
      </c>
      <c r="E1714" s="0" t="n">
        <v>13864.2</v>
      </c>
      <c r="F1714" s="0" t="n">
        <v>305</v>
      </c>
      <c r="G1714" s="0" t="str">
        <f aca="false">IF(F1714&lt;=30,"Current",IF(F1714&lt;=60,"31 to 60 days",IF(F1714&lt;=90,"61 to 90 days",IF(F1714&lt;=120,"91 to 120 days","Over 120 days"))))</f>
        <v>Over 120 days</v>
      </c>
      <c r="H1714" s="0" t="n">
        <f aca="false">VLOOKUP(D1714,Rates!$A$4:$B$7,2,FALSE())</f>
        <v>0.05</v>
      </c>
      <c r="I1714" s="0" t="n">
        <f aca="false">VLOOKUP(F1714,Rates!$D$4:$E$8,2)</f>
        <v>0.85</v>
      </c>
      <c r="J1714" s="0" t="n">
        <f aca="false">ROUND(E1714*I1714,2)</f>
        <v>11784.57</v>
      </c>
      <c r="K1714" s="1" t="n">
        <f aca="false">PV(H1714/12,F1714/30,0,-E1714)</f>
        <v>13290.3322841514</v>
      </c>
      <c r="L1714" s="0" t="n">
        <f aca="false">ROUND(E1714-K1714,2)</f>
        <v>573.87</v>
      </c>
      <c r="M1714" s="0" t="n">
        <f aca="false">F1714/E1714</f>
        <v>0.0219991056101326</v>
      </c>
    </row>
    <row r="1715" customFormat="false" ht="12.8" hidden="false" customHeight="false" outlineLevel="0" collapsed="false">
      <c r="A1715" s="0" t="s">
        <v>2484</v>
      </c>
      <c r="B1715" s="0" t="s">
        <v>2485</v>
      </c>
      <c r="C1715" s="0" t="s">
        <v>19</v>
      </c>
      <c r="D1715" s="0" t="s">
        <v>16</v>
      </c>
      <c r="E1715" s="0" t="n">
        <v>19669.57</v>
      </c>
      <c r="F1715" s="0" t="n">
        <v>36</v>
      </c>
      <c r="G1715" s="0" t="str">
        <f aca="false">IF(F1715&lt;=30,"Current",IF(F1715&lt;=60,"31 to 60 days",IF(F1715&lt;=90,"61 to 90 days",IF(F1715&lt;=120,"91 to 120 days","Over 120 days"))))</f>
        <v>31 to 60 days</v>
      </c>
      <c r="H1715" s="0" t="n">
        <f aca="false">VLOOKUP(D1715,Rates!$A$4:$B$7,2,FALSE())</f>
        <v>0.085</v>
      </c>
      <c r="I1715" s="0" t="n">
        <f aca="false">VLOOKUP(F1715,Rates!$D$4:$E$8,2)</f>
        <v>0.1</v>
      </c>
      <c r="J1715" s="0" t="n">
        <f aca="false">ROUND(E1715*I1715,2)</f>
        <v>1966.96</v>
      </c>
      <c r="K1715" s="1" t="n">
        <f aca="false">PV(H1715/12,F1715/30,0,-E1715)</f>
        <v>19503.6715842825</v>
      </c>
      <c r="L1715" s="0" t="n">
        <f aca="false">ROUND(E1715-K1715,2)</f>
        <v>165.9</v>
      </c>
      <c r="M1715" s="0" t="n">
        <f aca="false">F1715/E1715</f>
        <v>0.0018302382817723</v>
      </c>
    </row>
    <row r="1716" customFormat="false" ht="12.8" hidden="false" customHeight="false" outlineLevel="0" collapsed="false">
      <c r="A1716" s="0" t="s">
        <v>2486</v>
      </c>
      <c r="B1716" s="0" t="s">
        <v>33</v>
      </c>
      <c r="C1716" s="0" t="s">
        <v>26</v>
      </c>
      <c r="D1716" s="0" t="s">
        <v>20</v>
      </c>
      <c r="E1716" s="0" t="n">
        <v>36411.05</v>
      </c>
      <c r="F1716" s="0" t="n">
        <v>18</v>
      </c>
      <c r="G1716" s="0" t="str">
        <f aca="false">IF(F1716&lt;=30,"Current",IF(F1716&lt;=60,"31 to 60 days",IF(F1716&lt;=90,"61 to 90 days",IF(F1716&lt;=120,"91 to 120 days","Over 120 days"))))</f>
        <v>Current</v>
      </c>
      <c r="H1716" s="0" t="n">
        <f aca="false">VLOOKUP(D1716,Rates!$A$4:$B$7,2,FALSE())</f>
        <v>0.05</v>
      </c>
      <c r="I1716" s="0" t="n">
        <f aca="false">VLOOKUP(F1716,Rates!$D$4:$E$8,2)</f>
        <v>0.02</v>
      </c>
      <c r="J1716" s="0" t="n">
        <f aca="false">ROUND(E1716*I1716,2)</f>
        <v>728.22</v>
      </c>
      <c r="K1716" s="1" t="n">
        <f aca="false">PV(H1716/12,F1716/30,0,-E1716)</f>
        <v>36320.324708807</v>
      </c>
      <c r="L1716" s="0" t="n">
        <f aca="false">ROUND(E1716-K1716,2)</f>
        <v>90.73</v>
      </c>
      <c r="M1716" s="0" t="n">
        <f aca="false">F1716/E1716</f>
        <v>0.000494355422323718</v>
      </c>
    </row>
    <row r="1717" customFormat="false" ht="12.8" hidden="false" customHeight="false" outlineLevel="0" collapsed="false">
      <c r="A1717" s="0" t="s">
        <v>2487</v>
      </c>
      <c r="B1717" s="0" t="s">
        <v>441</v>
      </c>
      <c r="C1717" s="0" t="s">
        <v>15</v>
      </c>
      <c r="D1717" s="0" t="s">
        <v>23</v>
      </c>
      <c r="E1717" s="0" t="n">
        <v>25466.79</v>
      </c>
      <c r="F1717" s="0" t="n">
        <v>31</v>
      </c>
      <c r="G1717" s="0" t="str">
        <f aca="false">IF(F1717&lt;=30,"Current",IF(F1717&lt;=60,"31 to 60 days",IF(F1717&lt;=90,"61 to 90 days",IF(F1717&lt;=120,"91 to 120 days","Over 120 days"))))</f>
        <v>31 to 60 days</v>
      </c>
      <c r="H1717" s="0" t="n">
        <f aca="false">VLOOKUP(D1717,Rates!$A$4:$B$7,2,FALSE())</f>
        <v>0.115</v>
      </c>
      <c r="I1717" s="0" t="n">
        <f aca="false">VLOOKUP(F1717,Rates!$D$4:$E$8,2)</f>
        <v>0.1</v>
      </c>
      <c r="J1717" s="0" t="n">
        <f aca="false">ROUND(E1717*I1717,2)</f>
        <v>2546.68</v>
      </c>
      <c r="K1717" s="1" t="n">
        <f aca="false">PV(H1717/12,F1717/30,0,-E1717)</f>
        <v>25217.0315770463</v>
      </c>
      <c r="L1717" s="0" t="n">
        <f aca="false">ROUND(E1717-K1717,2)</f>
        <v>249.76</v>
      </c>
      <c r="M1717" s="0" t="n">
        <f aca="false">F1717/E1717</f>
        <v>0.00121727159174753</v>
      </c>
    </row>
    <row r="1718" customFormat="false" ht="12.8" hidden="false" customHeight="false" outlineLevel="0" collapsed="false">
      <c r="A1718" s="0" t="s">
        <v>2488</v>
      </c>
      <c r="B1718" s="0" t="s">
        <v>216</v>
      </c>
      <c r="C1718" s="0" t="s">
        <v>15</v>
      </c>
      <c r="D1718" s="0" t="s">
        <v>23</v>
      </c>
      <c r="E1718" s="0" t="n">
        <v>15622.31</v>
      </c>
      <c r="F1718" s="0" t="n">
        <v>259</v>
      </c>
      <c r="G1718" s="0" t="str">
        <f aca="false">IF(F1718&lt;=30,"Current",IF(F1718&lt;=60,"31 to 60 days",IF(F1718&lt;=90,"61 to 90 days",IF(F1718&lt;=120,"91 to 120 days","Over 120 days"))))</f>
        <v>Over 120 days</v>
      </c>
      <c r="H1718" s="0" t="n">
        <f aca="false">VLOOKUP(D1718,Rates!$A$4:$B$7,2,FALSE())</f>
        <v>0.115</v>
      </c>
      <c r="I1718" s="0" t="n">
        <f aca="false">VLOOKUP(F1718,Rates!$D$4:$E$8,2)</f>
        <v>0.85</v>
      </c>
      <c r="J1718" s="0" t="n">
        <f aca="false">ROUND(E1718*I1718,2)</f>
        <v>13278.96</v>
      </c>
      <c r="K1718" s="1" t="n">
        <f aca="false">PV(H1718/12,F1718/30,0,-E1718)</f>
        <v>14387.4721564499</v>
      </c>
      <c r="L1718" s="0" t="n">
        <f aca="false">ROUND(E1718-K1718,2)</f>
        <v>1234.84</v>
      </c>
      <c r="M1718" s="0" t="n">
        <f aca="false">F1718/E1718</f>
        <v>0.0165788542155417</v>
      </c>
    </row>
    <row r="1719" customFormat="false" ht="12.8" hidden="false" customHeight="false" outlineLevel="0" collapsed="false">
      <c r="A1719" s="0" t="s">
        <v>2489</v>
      </c>
      <c r="B1719" s="0" t="s">
        <v>97</v>
      </c>
      <c r="C1719" s="0" t="s">
        <v>42</v>
      </c>
      <c r="D1719" s="0" t="s">
        <v>20</v>
      </c>
      <c r="E1719" s="0" t="n">
        <v>6058.18</v>
      </c>
      <c r="F1719" s="0" t="n">
        <v>55</v>
      </c>
      <c r="G1719" s="0" t="str">
        <f aca="false">IF(F1719&lt;=30,"Current",IF(F1719&lt;=60,"31 to 60 days",IF(F1719&lt;=90,"61 to 90 days",IF(F1719&lt;=120,"91 to 120 days","Over 120 days"))))</f>
        <v>31 to 60 days</v>
      </c>
      <c r="H1719" s="0" t="n">
        <f aca="false">VLOOKUP(D1719,Rates!$A$4:$B$7,2,FALSE())</f>
        <v>0.05</v>
      </c>
      <c r="I1719" s="0" t="n">
        <f aca="false">VLOOKUP(F1719,Rates!$D$4:$E$8,2)</f>
        <v>0.1</v>
      </c>
      <c r="J1719" s="0" t="n">
        <f aca="false">ROUND(E1719*I1719,2)</f>
        <v>605.82</v>
      </c>
      <c r="K1719" s="1" t="n">
        <f aca="false">PV(H1719/12,F1719/30,0,-E1719)</f>
        <v>6012.17395639105</v>
      </c>
      <c r="L1719" s="0" t="n">
        <f aca="false">ROUND(E1719-K1719,2)</f>
        <v>46.01</v>
      </c>
      <c r="M1719" s="0" t="n">
        <f aca="false">F1719/E1719</f>
        <v>0.00907863417726116</v>
      </c>
    </row>
    <row r="1720" customFormat="false" ht="12.8" hidden="false" customHeight="false" outlineLevel="0" collapsed="false">
      <c r="A1720" s="0" t="s">
        <v>2490</v>
      </c>
      <c r="B1720" s="0" t="s">
        <v>2491</v>
      </c>
      <c r="C1720" s="0" t="s">
        <v>26</v>
      </c>
      <c r="D1720" s="0" t="s">
        <v>49</v>
      </c>
      <c r="E1720" s="0" t="n">
        <v>9759.36</v>
      </c>
      <c r="F1720" s="0" t="n">
        <v>38</v>
      </c>
      <c r="G1720" s="0" t="str">
        <f aca="false">IF(F1720&lt;=30,"Current",IF(F1720&lt;=60,"31 to 60 days",IF(F1720&lt;=90,"61 to 90 days",IF(F1720&lt;=120,"91 to 120 days","Over 120 days"))))</f>
        <v>31 to 60 days</v>
      </c>
      <c r="H1720" s="0" t="n">
        <f aca="false">VLOOKUP(D1720,Rates!$A$4:$B$7,2,FALSE())</f>
        <v>0.02</v>
      </c>
      <c r="I1720" s="0" t="n">
        <f aca="false">VLOOKUP(F1720,Rates!$D$4:$E$8,2)</f>
        <v>0.1</v>
      </c>
      <c r="J1720" s="0" t="n">
        <f aca="false">ROUND(E1720*I1720,2)</f>
        <v>975.94</v>
      </c>
      <c r="K1720" s="1" t="n">
        <f aca="false">PV(H1720/12,F1720/30,0,-E1720)</f>
        <v>9738.79575311902</v>
      </c>
      <c r="L1720" s="0" t="n">
        <f aca="false">ROUND(E1720-K1720,2)</f>
        <v>20.56</v>
      </c>
      <c r="M1720" s="0" t="n">
        <f aca="false">F1720/E1720</f>
        <v>0.00389369794740639</v>
      </c>
    </row>
    <row r="1721" customFormat="false" ht="12.8" hidden="false" customHeight="false" outlineLevel="0" collapsed="false">
      <c r="A1721" s="0" t="s">
        <v>2492</v>
      </c>
      <c r="B1721" s="0" t="s">
        <v>2493</v>
      </c>
      <c r="C1721" s="0" t="s">
        <v>42</v>
      </c>
      <c r="D1721" s="0" t="s">
        <v>16</v>
      </c>
      <c r="E1721" s="0" t="n">
        <v>9972.94</v>
      </c>
      <c r="F1721" s="0" t="n">
        <v>51</v>
      </c>
      <c r="G1721" s="0" t="str">
        <f aca="false">IF(F1721&lt;=30,"Current",IF(F1721&lt;=60,"31 to 60 days",IF(F1721&lt;=90,"61 to 90 days",IF(F1721&lt;=120,"91 to 120 days","Over 120 days"))))</f>
        <v>31 to 60 days</v>
      </c>
      <c r="H1721" s="0" t="n">
        <f aca="false">VLOOKUP(D1721,Rates!$A$4:$B$7,2,FALSE())</f>
        <v>0.085</v>
      </c>
      <c r="I1721" s="0" t="n">
        <f aca="false">VLOOKUP(F1721,Rates!$D$4:$E$8,2)</f>
        <v>0.1</v>
      </c>
      <c r="J1721" s="0" t="n">
        <f aca="false">ROUND(E1721*I1721,2)</f>
        <v>997.29</v>
      </c>
      <c r="K1721" s="1" t="n">
        <f aca="false">PV(H1721/12,F1721/30,0,-E1721)</f>
        <v>9853.987599846</v>
      </c>
      <c r="L1721" s="0" t="n">
        <f aca="false">ROUND(E1721-K1721,2)</f>
        <v>118.95</v>
      </c>
      <c r="M1721" s="0" t="n">
        <f aca="false">F1721/E1721</f>
        <v>0.0051138380457518</v>
      </c>
    </row>
    <row r="1722" customFormat="false" ht="12.8" hidden="false" customHeight="false" outlineLevel="0" collapsed="false">
      <c r="A1722" s="0" t="s">
        <v>2494</v>
      </c>
      <c r="B1722" s="0" t="s">
        <v>28</v>
      </c>
      <c r="C1722" s="0" t="s">
        <v>15</v>
      </c>
      <c r="D1722" s="0" t="s">
        <v>20</v>
      </c>
      <c r="E1722" s="0" t="n">
        <v>19171.75</v>
      </c>
      <c r="F1722" s="0" t="n">
        <v>36</v>
      </c>
      <c r="G1722" s="0" t="str">
        <f aca="false">IF(F1722&lt;=30,"Current",IF(F1722&lt;=60,"31 to 60 days",IF(F1722&lt;=90,"61 to 90 days",IF(F1722&lt;=120,"91 to 120 days","Over 120 days"))))</f>
        <v>31 to 60 days</v>
      </c>
      <c r="H1722" s="0" t="n">
        <f aca="false">VLOOKUP(D1722,Rates!$A$4:$B$7,2,FALSE())</f>
        <v>0.05</v>
      </c>
      <c r="I1722" s="0" t="n">
        <f aca="false">VLOOKUP(F1722,Rates!$D$4:$E$8,2)</f>
        <v>0.1</v>
      </c>
      <c r="J1722" s="0" t="n">
        <f aca="false">ROUND(E1722*I1722,2)</f>
        <v>1917.18</v>
      </c>
      <c r="K1722" s="1" t="n">
        <f aca="false">PV(H1722/12,F1722/30,0,-E1722)</f>
        <v>19076.328658432</v>
      </c>
      <c r="L1722" s="0" t="n">
        <f aca="false">ROUND(E1722-K1722,2)</f>
        <v>95.42</v>
      </c>
      <c r="M1722" s="0" t="n">
        <f aca="false">F1722/E1722</f>
        <v>0.00187776285419954</v>
      </c>
    </row>
    <row r="1723" customFormat="false" ht="12.8" hidden="false" customHeight="false" outlineLevel="0" collapsed="false">
      <c r="A1723" s="0" t="s">
        <v>2495</v>
      </c>
      <c r="B1723" s="0" t="s">
        <v>2496</v>
      </c>
      <c r="C1723" s="0" t="s">
        <v>26</v>
      </c>
      <c r="D1723" s="0" t="s">
        <v>16</v>
      </c>
      <c r="E1723" s="0" t="n">
        <v>40589.98</v>
      </c>
      <c r="F1723" s="0" t="n">
        <v>388</v>
      </c>
      <c r="G1723" s="0" t="str">
        <f aca="false">IF(F1723&lt;=30,"Current",IF(F1723&lt;=60,"31 to 60 days",IF(F1723&lt;=90,"61 to 90 days",IF(F1723&lt;=120,"91 to 120 days","Over 120 days"))))</f>
        <v>Over 120 days</v>
      </c>
      <c r="H1723" s="0" t="n">
        <f aca="false">VLOOKUP(D1723,Rates!$A$4:$B$7,2,FALSE())</f>
        <v>0.085</v>
      </c>
      <c r="I1723" s="0" t="n">
        <f aca="false">VLOOKUP(F1723,Rates!$D$4:$E$8,2)</f>
        <v>0.85</v>
      </c>
      <c r="J1723" s="0" t="n">
        <f aca="false">ROUND(E1723*I1723,2)</f>
        <v>34501.48</v>
      </c>
      <c r="K1723" s="1" t="n">
        <f aca="false">PV(H1723/12,F1723/30,0,-E1723)</f>
        <v>37048.6924257265</v>
      </c>
      <c r="L1723" s="0" t="n">
        <f aca="false">ROUND(E1723-K1723,2)</f>
        <v>3541.29</v>
      </c>
      <c r="M1723" s="0" t="n">
        <f aca="false">F1723/E1723</f>
        <v>0.00955900939098763</v>
      </c>
    </row>
    <row r="1724" customFormat="false" ht="12.8" hidden="false" customHeight="false" outlineLevel="0" collapsed="false">
      <c r="A1724" s="0" t="s">
        <v>2497</v>
      </c>
      <c r="B1724" s="0" t="s">
        <v>18</v>
      </c>
      <c r="C1724" s="0" t="s">
        <v>19</v>
      </c>
      <c r="D1724" s="0" t="s">
        <v>20</v>
      </c>
      <c r="E1724" s="0" t="n">
        <v>27353.72</v>
      </c>
      <c r="F1724" s="0" t="n">
        <v>96</v>
      </c>
      <c r="G1724" s="0" t="str">
        <f aca="false">IF(F1724&lt;=30,"Current",IF(F1724&lt;=60,"31 to 60 days",IF(F1724&lt;=90,"61 to 90 days",IF(F1724&lt;=120,"91 to 120 days","Over 120 days"))))</f>
        <v>91 to 120 days</v>
      </c>
      <c r="H1724" s="0" t="n">
        <f aca="false">VLOOKUP(D1724,Rates!$A$4:$B$7,2,FALSE())</f>
        <v>0.05</v>
      </c>
      <c r="I1724" s="0" t="n">
        <f aca="false">VLOOKUP(F1724,Rates!$D$4:$E$8,2)</f>
        <v>0.5</v>
      </c>
      <c r="J1724" s="0" t="n">
        <f aca="false">ROUND(E1724*I1724,2)</f>
        <v>13676.86</v>
      </c>
      <c r="K1724" s="1" t="n">
        <f aca="false">PV(H1724/12,F1724/30,0,-E1724)</f>
        <v>26992.1721005887</v>
      </c>
      <c r="L1724" s="0" t="n">
        <f aca="false">ROUND(E1724-K1724,2)</f>
        <v>361.55</v>
      </c>
      <c r="M1724" s="0" t="n">
        <f aca="false">F1724/E1724</f>
        <v>0.00350957749073983</v>
      </c>
    </row>
    <row r="1725" customFormat="false" ht="12.8" hidden="false" customHeight="false" outlineLevel="0" collapsed="false">
      <c r="A1725" s="0" t="s">
        <v>2498</v>
      </c>
      <c r="B1725" s="0" t="s">
        <v>2499</v>
      </c>
      <c r="C1725" s="0" t="s">
        <v>15</v>
      </c>
      <c r="D1725" s="0" t="s">
        <v>49</v>
      </c>
      <c r="E1725" s="0" t="n">
        <v>32787.38</v>
      </c>
      <c r="F1725" s="0" t="n">
        <v>113</v>
      </c>
      <c r="G1725" s="0" t="str">
        <f aca="false">IF(F1725&lt;=30,"Current",IF(F1725&lt;=60,"31 to 60 days",IF(F1725&lt;=90,"61 to 90 days",IF(F1725&lt;=120,"91 to 120 days","Over 120 days"))))</f>
        <v>91 to 120 days</v>
      </c>
      <c r="H1725" s="0" t="n">
        <f aca="false">VLOOKUP(D1725,Rates!$A$4:$B$7,2,FALSE())</f>
        <v>0.02</v>
      </c>
      <c r="I1725" s="0" t="n">
        <f aca="false">VLOOKUP(F1725,Rates!$D$4:$E$8,2)</f>
        <v>0.5</v>
      </c>
      <c r="J1725" s="0" t="n">
        <f aca="false">ROUND(E1725*I1725,2)</f>
        <v>16393.69</v>
      </c>
      <c r="K1725" s="1" t="n">
        <f aca="false">PV(H1725/12,F1725/30,0,-E1725)</f>
        <v>32582.3631124203</v>
      </c>
      <c r="L1725" s="0" t="n">
        <f aca="false">ROUND(E1725-K1725,2)</f>
        <v>205.02</v>
      </c>
      <c r="M1725" s="0" t="n">
        <f aca="false">F1725/E1725</f>
        <v>0.00344644799309978</v>
      </c>
    </row>
    <row r="1726" customFormat="false" ht="12.8" hidden="false" customHeight="false" outlineLevel="0" collapsed="false">
      <c r="A1726" s="0" t="s">
        <v>2500</v>
      </c>
      <c r="B1726" s="0" t="s">
        <v>25</v>
      </c>
      <c r="C1726" s="0" t="s">
        <v>26</v>
      </c>
      <c r="D1726" s="0" t="s">
        <v>23</v>
      </c>
      <c r="E1726" s="0" t="n">
        <v>42519.77</v>
      </c>
      <c r="F1726" s="0" t="n">
        <v>174</v>
      </c>
      <c r="G1726" s="0" t="str">
        <f aca="false">IF(F1726&lt;=30,"Current",IF(F1726&lt;=60,"31 to 60 days",IF(F1726&lt;=90,"61 to 90 days",IF(F1726&lt;=120,"91 to 120 days","Over 120 days"))))</f>
        <v>Over 120 days</v>
      </c>
      <c r="H1726" s="0" t="n">
        <f aca="false">VLOOKUP(D1726,Rates!$A$4:$B$7,2,FALSE())</f>
        <v>0.115</v>
      </c>
      <c r="I1726" s="0" t="n">
        <f aca="false">VLOOKUP(F1726,Rates!$D$4:$E$8,2)</f>
        <v>0.85</v>
      </c>
      <c r="J1726" s="0" t="n">
        <f aca="false">ROUND(E1726*I1726,2)</f>
        <v>36141.8</v>
      </c>
      <c r="K1726" s="1" t="n">
        <f aca="false">PV(H1726/12,F1726/30,0,-E1726)</f>
        <v>40231.5075385281</v>
      </c>
      <c r="L1726" s="0" t="n">
        <f aca="false">ROUND(E1726-K1726,2)</f>
        <v>2288.26</v>
      </c>
      <c r="M1726" s="0" t="n">
        <f aca="false">F1726/E1726</f>
        <v>0.00409221404537231</v>
      </c>
    </row>
    <row r="1727" customFormat="false" ht="12.8" hidden="false" customHeight="false" outlineLevel="0" collapsed="false">
      <c r="A1727" s="0" t="s">
        <v>2501</v>
      </c>
      <c r="B1727" s="0" t="s">
        <v>2502</v>
      </c>
      <c r="C1727" s="0" t="s">
        <v>42</v>
      </c>
      <c r="D1727" s="0" t="s">
        <v>49</v>
      </c>
      <c r="E1727" s="0" t="n">
        <v>16625.74</v>
      </c>
      <c r="F1727" s="0" t="n">
        <v>397</v>
      </c>
      <c r="G1727" s="0" t="str">
        <f aca="false">IF(F1727&lt;=30,"Current",IF(F1727&lt;=60,"31 to 60 days",IF(F1727&lt;=90,"61 to 90 days",IF(F1727&lt;=120,"91 to 120 days","Over 120 days"))))</f>
        <v>Over 120 days</v>
      </c>
      <c r="H1727" s="0" t="n">
        <f aca="false">VLOOKUP(D1727,Rates!$A$4:$B$7,2,FALSE())</f>
        <v>0.02</v>
      </c>
      <c r="I1727" s="0" t="n">
        <f aca="false">VLOOKUP(F1727,Rates!$D$4:$E$8,2)</f>
        <v>0.85</v>
      </c>
      <c r="J1727" s="0" t="n">
        <f aca="false">ROUND(E1727*I1727,2)</f>
        <v>14131.88</v>
      </c>
      <c r="K1727" s="1" t="n">
        <f aca="false">PV(H1727/12,F1727/30,0,-E1727)</f>
        <v>16263.3628569639</v>
      </c>
      <c r="L1727" s="0" t="n">
        <f aca="false">ROUND(E1727-K1727,2)</f>
        <v>362.38</v>
      </c>
      <c r="M1727" s="0" t="n">
        <f aca="false">F1727/E1727</f>
        <v>0.0238786363794935</v>
      </c>
    </row>
    <row r="1728" customFormat="false" ht="12.8" hidden="false" customHeight="false" outlineLevel="0" collapsed="false">
      <c r="A1728" s="0" t="s">
        <v>2503</v>
      </c>
      <c r="B1728" s="0" t="s">
        <v>2504</v>
      </c>
      <c r="C1728" s="0" t="s">
        <v>19</v>
      </c>
      <c r="D1728" s="0" t="s">
        <v>16</v>
      </c>
      <c r="E1728" s="0" t="n">
        <v>7127.23</v>
      </c>
      <c r="F1728" s="0" t="n">
        <v>2</v>
      </c>
      <c r="G1728" s="0" t="str">
        <f aca="false">IF(F1728&lt;=30,"Current",IF(F1728&lt;=60,"31 to 60 days",IF(F1728&lt;=90,"61 to 90 days",IF(F1728&lt;=120,"91 to 120 days","Over 120 days"))))</f>
        <v>Current</v>
      </c>
      <c r="H1728" s="0" t="n">
        <f aca="false">VLOOKUP(D1728,Rates!$A$4:$B$7,2,FALSE())</f>
        <v>0.085</v>
      </c>
      <c r="I1728" s="0" t="n">
        <f aca="false">VLOOKUP(F1728,Rates!$D$4:$E$8,2)</f>
        <v>0.02</v>
      </c>
      <c r="J1728" s="0" t="n">
        <f aca="false">ROUND(E1728*I1728,2)</f>
        <v>142.54</v>
      </c>
      <c r="K1728" s="1" t="n">
        <f aca="false">PV(H1728/12,F1728/30,0,-E1728)</f>
        <v>7123.8770165298</v>
      </c>
      <c r="L1728" s="0" t="n">
        <f aca="false">ROUND(E1728-K1728,2)</f>
        <v>3.35</v>
      </c>
      <c r="M1728" s="0" t="n">
        <f aca="false">F1728/E1728</f>
        <v>0.000280613927149818</v>
      </c>
    </row>
    <row r="1729" customFormat="false" ht="12.8" hidden="false" customHeight="false" outlineLevel="0" collapsed="false">
      <c r="A1729" s="0" t="s">
        <v>2505</v>
      </c>
      <c r="B1729" s="0" t="s">
        <v>28</v>
      </c>
      <c r="C1729" s="0" t="s">
        <v>15</v>
      </c>
      <c r="D1729" s="0" t="s">
        <v>20</v>
      </c>
      <c r="E1729" s="0" t="n">
        <v>15784.04</v>
      </c>
      <c r="F1729" s="0" t="n">
        <v>134</v>
      </c>
      <c r="G1729" s="0" t="str">
        <f aca="false">IF(F1729&lt;=30,"Current",IF(F1729&lt;=60,"31 to 60 days",IF(F1729&lt;=90,"61 to 90 days",IF(F1729&lt;=120,"91 to 120 days","Over 120 days"))))</f>
        <v>Over 120 days</v>
      </c>
      <c r="H1729" s="0" t="n">
        <f aca="false">VLOOKUP(D1729,Rates!$A$4:$B$7,2,FALSE())</f>
        <v>0.05</v>
      </c>
      <c r="I1729" s="0" t="n">
        <f aca="false">VLOOKUP(F1729,Rates!$D$4:$E$8,2)</f>
        <v>0.85</v>
      </c>
      <c r="J1729" s="0" t="n">
        <f aca="false">ROUND(E1729*I1729,2)</f>
        <v>13416.43</v>
      </c>
      <c r="K1729" s="1" t="n">
        <f aca="false">PV(H1729/12,F1729/30,0,-E1729)</f>
        <v>15493.597244725</v>
      </c>
      <c r="L1729" s="0" t="n">
        <f aca="false">ROUND(E1729-K1729,2)</f>
        <v>290.44</v>
      </c>
      <c r="M1729" s="0" t="n">
        <f aca="false">F1729/E1729</f>
        <v>0.0084895882169584</v>
      </c>
    </row>
    <row r="1730" customFormat="false" ht="12.8" hidden="false" customHeight="false" outlineLevel="0" collapsed="false">
      <c r="A1730" s="0" t="s">
        <v>2506</v>
      </c>
      <c r="B1730" s="0" t="s">
        <v>33</v>
      </c>
      <c r="C1730" s="0" t="s">
        <v>26</v>
      </c>
      <c r="D1730" s="0" t="s">
        <v>20</v>
      </c>
      <c r="E1730" s="0" t="n">
        <v>22173.9</v>
      </c>
      <c r="F1730" s="0" t="n">
        <v>390</v>
      </c>
      <c r="G1730" s="0" t="str">
        <f aca="false">IF(F1730&lt;=30,"Current",IF(F1730&lt;=60,"31 to 60 days",IF(F1730&lt;=90,"61 to 90 days",IF(F1730&lt;=120,"91 to 120 days","Over 120 days"))))</f>
        <v>Over 120 days</v>
      </c>
      <c r="H1730" s="0" t="n">
        <f aca="false">VLOOKUP(D1730,Rates!$A$4:$B$7,2,FALSE())</f>
        <v>0.05</v>
      </c>
      <c r="I1730" s="0" t="n">
        <f aca="false">VLOOKUP(F1730,Rates!$D$4:$E$8,2)</f>
        <v>0.85</v>
      </c>
      <c r="J1730" s="0" t="n">
        <f aca="false">ROUND(E1730*I1730,2)</f>
        <v>18847.82</v>
      </c>
      <c r="K1730" s="1" t="n">
        <f aca="false">PV(H1730/12,F1730/30,0,-E1730)</f>
        <v>21007.1275991655</v>
      </c>
      <c r="L1730" s="0" t="n">
        <f aca="false">ROUND(E1730-K1730,2)</f>
        <v>1166.77</v>
      </c>
      <c r="M1730" s="0" t="n">
        <f aca="false">F1730/E1730</f>
        <v>0.0175882456401445</v>
      </c>
    </row>
    <row r="1731" customFormat="false" ht="12.8" hidden="false" customHeight="false" outlineLevel="0" collapsed="false">
      <c r="A1731" s="0" t="s">
        <v>2507</v>
      </c>
      <c r="B1731" s="0" t="s">
        <v>2508</v>
      </c>
      <c r="C1731" s="0" t="s">
        <v>26</v>
      </c>
      <c r="D1731" s="0" t="s">
        <v>49</v>
      </c>
      <c r="E1731" s="0" t="n">
        <v>5539.41</v>
      </c>
      <c r="F1731" s="0" t="n">
        <v>270</v>
      </c>
      <c r="G1731" s="0" t="str">
        <f aca="false">IF(F1731&lt;=30,"Current",IF(F1731&lt;=60,"31 to 60 days",IF(F1731&lt;=90,"61 to 90 days",IF(F1731&lt;=120,"91 to 120 days","Over 120 days"))))</f>
        <v>Over 120 days</v>
      </c>
      <c r="H1731" s="0" t="n">
        <f aca="false">VLOOKUP(D1731,Rates!$A$4:$B$7,2,FALSE())</f>
        <v>0.02</v>
      </c>
      <c r="I1731" s="0" t="n">
        <f aca="false">VLOOKUP(F1731,Rates!$D$4:$E$8,2)</f>
        <v>0.85</v>
      </c>
      <c r="J1731" s="0" t="n">
        <f aca="false">ROUND(E1731*I1731,2)</f>
        <v>4708.5</v>
      </c>
      <c r="K1731" s="1" t="n">
        <f aca="false">PV(H1731/12,F1731/30,0,-E1731)</f>
        <v>5457.00706582239</v>
      </c>
      <c r="L1731" s="0" t="n">
        <f aca="false">ROUND(E1731-K1731,2)</f>
        <v>82.4</v>
      </c>
      <c r="M1731" s="0" t="n">
        <f aca="false">F1731/E1731</f>
        <v>0.0487416529919251</v>
      </c>
    </row>
    <row r="1732" customFormat="false" ht="12.8" hidden="false" customHeight="false" outlineLevel="0" collapsed="false">
      <c r="A1732" s="0" t="s">
        <v>2509</v>
      </c>
      <c r="B1732" s="0" t="s">
        <v>2510</v>
      </c>
      <c r="C1732" s="0" t="s">
        <v>15</v>
      </c>
      <c r="D1732" s="0" t="s">
        <v>16</v>
      </c>
      <c r="E1732" s="0" t="n">
        <v>41655.55</v>
      </c>
      <c r="F1732" s="0" t="n">
        <v>55</v>
      </c>
      <c r="G1732" s="0" t="str">
        <f aca="false">IF(F1732&lt;=30,"Current",IF(F1732&lt;=60,"31 to 60 days",IF(F1732&lt;=90,"61 to 90 days",IF(F1732&lt;=120,"91 to 120 days","Over 120 days"))))</f>
        <v>31 to 60 days</v>
      </c>
      <c r="H1732" s="0" t="n">
        <f aca="false">VLOOKUP(D1732,Rates!$A$4:$B$7,2,FALSE())</f>
        <v>0.085</v>
      </c>
      <c r="I1732" s="0" t="n">
        <f aca="false">VLOOKUP(F1732,Rates!$D$4:$E$8,2)</f>
        <v>0.1</v>
      </c>
      <c r="J1732" s="0" t="n">
        <f aca="false">ROUND(E1732*I1732,2)</f>
        <v>4165.56</v>
      </c>
      <c r="K1732" s="1" t="n">
        <f aca="false">PV(H1732/12,F1732/30,0,-E1732)</f>
        <v>41119.9859047317</v>
      </c>
      <c r="L1732" s="0" t="n">
        <f aca="false">ROUND(E1732-K1732,2)</f>
        <v>535.56</v>
      </c>
      <c r="M1732" s="0" t="n">
        <f aca="false">F1732/E1732</f>
        <v>0.00132035226998563</v>
      </c>
    </row>
    <row r="1733" customFormat="false" ht="12.8" hidden="false" customHeight="false" outlineLevel="0" collapsed="false">
      <c r="A1733" s="0" t="s">
        <v>2511</v>
      </c>
      <c r="B1733" s="0" t="s">
        <v>862</v>
      </c>
      <c r="C1733" s="0" t="s">
        <v>36</v>
      </c>
      <c r="D1733" s="0" t="s">
        <v>16</v>
      </c>
      <c r="E1733" s="0" t="n">
        <v>25530.16</v>
      </c>
      <c r="F1733" s="0" t="n">
        <v>96</v>
      </c>
      <c r="G1733" s="0" t="str">
        <f aca="false">IF(F1733&lt;=30,"Current",IF(F1733&lt;=60,"31 to 60 days",IF(F1733&lt;=90,"61 to 90 days",IF(F1733&lt;=120,"91 to 120 days","Over 120 days"))))</f>
        <v>91 to 120 days</v>
      </c>
      <c r="H1733" s="0" t="n">
        <f aca="false">VLOOKUP(D1733,Rates!$A$4:$B$7,2,FALSE())</f>
        <v>0.085</v>
      </c>
      <c r="I1733" s="0" t="n">
        <f aca="false">VLOOKUP(F1733,Rates!$D$4:$E$8,2)</f>
        <v>0.5</v>
      </c>
      <c r="J1733" s="0" t="n">
        <f aca="false">ROUND(E1733*I1733,2)</f>
        <v>12765.08</v>
      </c>
      <c r="K1733" s="1" t="n">
        <f aca="false">PV(H1733/12,F1733/30,0,-E1733)</f>
        <v>24959.9797547875</v>
      </c>
      <c r="L1733" s="0" t="n">
        <f aca="false">ROUND(E1733-K1733,2)</f>
        <v>570.18</v>
      </c>
      <c r="M1733" s="0" t="n">
        <f aca="false">F1733/E1733</f>
        <v>0.00376025845509781</v>
      </c>
    </row>
    <row r="1734" customFormat="false" ht="12.8" hidden="false" customHeight="false" outlineLevel="0" collapsed="false">
      <c r="A1734" s="0" t="s">
        <v>2512</v>
      </c>
      <c r="B1734" s="0" t="s">
        <v>28</v>
      </c>
      <c r="C1734" s="0" t="s">
        <v>15</v>
      </c>
      <c r="D1734" s="0" t="s">
        <v>20</v>
      </c>
      <c r="E1734" s="0" t="n">
        <v>8562.48</v>
      </c>
      <c r="F1734" s="0" t="n">
        <v>74</v>
      </c>
      <c r="G1734" s="0" t="str">
        <f aca="false">IF(F1734&lt;=30,"Current",IF(F1734&lt;=60,"31 to 60 days",IF(F1734&lt;=90,"61 to 90 days",IF(F1734&lt;=120,"91 to 120 days","Over 120 days"))))</f>
        <v>61 to 90 days</v>
      </c>
      <c r="H1734" s="0" t="n">
        <f aca="false">VLOOKUP(D1734,Rates!$A$4:$B$7,2,FALSE())</f>
        <v>0.05</v>
      </c>
      <c r="I1734" s="0" t="n">
        <f aca="false">VLOOKUP(F1734,Rates!$D$4:$E$8,2)</f>
        <v>0.25</v>
      </c>
      <c r="J1734" s="0" t="n">
        <f aca="false">ROUND(E1734*I1734,2)</f>
        <v>2140.62</v>
      </c>
      <c r="K1734" s="1" t="n">
        <f aca="false">PV(H1734/12,F1734/30,0,-E1734)</f>
        <v>8475.10839186927</v>
      </c>
      <c r="L1734" s="0" t="n">
        <f aca="false">ROUND(E1734-K1734,2)</f>
        <v>87.37</v>
      </c>
      <c r="M1734" s="0" t="n">
        <f aca="false">F1734/E1734</f>
        <v>0.00864235595294821</v>
      </c>
    </row>
    <row r="1735" customFormat="false" ht="12.8" hidden="false" customHeight="false" outlineLevel="0" collapsed="false">
      <c r="A1735" s="0" t="s">
        <v>2513</v>
      </c>
      <c r="B1735" s="0" t="s">
        <v>2514</v>
      </c>
      <c r="C1735" s="0" t="s">
        <v>36</v>
      </c>
      <c r="D1735" s="0" t="s">
        <v>16</v>
      </c>
      <c r="E1735" s="0" t="n">
        <v>23518.34</v>
      </c>
      <c r="F1735" s="0" t="n">
        <v>15</v>
      </c>
      <c r="G1735" s="0" t="str">
        <f aca="false">IF(F1735&lt;=30,"Current",IF(F1735&lt;=60,"31 to 60 days",IF(F1735&lt;=90,"61 to 90 days",IF(F1735&lt;=120,"91 to 120 days","Over 120 days"))))</f>
        <v>Current</v>
      </c>
      <c r="H1735" s="0" t="n">
        <f aca="false">VLOOKUP(D1735,Rates!$A$4:$B$7,2,FALSE())</f>
        <v>0.085</v>
      </c>
      <c r="I1735" s="0" t="n">
        <f aca="false">VLOOKUP(F1735,Rates!$D$4:$E$8,2)</f>
        <v>0.02</v>
      </c>
      <c r="J1735" s="0" t="n">
        <f aca="false">ROUND(E1735*I1735,2)</f>
        <v>470.37</v>
      </c>
      <c r="K1735" s="1" t="n">
        <f aca="false">PV(H1735/12,F1735/30,0,-E1735)</f>
        <v>23435.4857832906</v>
      </c>
      <c r="L1735" s="0" t="n">
        <f aca="false">ROUND(E1735-K1735,2)</f>
        <v>82.85</v>
      </c>
      <c r="M1735" s="0" t="n">
        <f aca="false">F1735/E1735</f>
        <v>0.000637800116844981</v>
      </c>
    </row>
    <row r="1736" customFormat="false" ht="12.8" hidden="false" customHeight="false" outlineLevel="0" collapsed="false">
      <c r="A1736" s="0" t="s">
        <v>2515</v>
      </c>
      <c r="B1736" s="0" t="s">
        <v>2516</v>
      </c>
      <c r="C1736" s="0" t="s">
        <v>42</v>
      </c>
      <c r="D1736" s="0" t="s">
        <v>16</v>
      </c>
      <c r="E1736" s="0" t="n">
        <v>21845.81</v>
      </c>
      <c r="F1736" s="0" t="n">
        <v>76</v>
      </c>
      <c r="G1736" s="0" t="str">
        <f aca="false">IF(F1736&lt;=30,"Current",IF(F1736&lt;=60,"31 to 60 days",IF(F1736&lt;=90,"61 to 90 days",IF(F1736&lt;=120,"91 to 120 days","Over 120 days"))))</f>
        <v>61 to 90 days</v>
      </c>
      <c r="H1736" s="0" t="n">
        <f aca="false">VLOOKUP(D1736,Rates!$A$4:$B$7,2,FALSE())</f>
        <v>0.085</v>
      </c>
      <c r="I1736" s="0" t="n">
        <f aca="false">VLOOKUP(F1736,Rates!$D$4:$E$8,2)</f>
        <v>0.25</v>
      </c>
      <c r="J1736" s="0" t="n">
        <f aca="false">ROUND(E1736*I1736,2)</f>
        <v>5461.45</v>
      </c>
      <c r="K1736" s="1" t="n">
        <f aca="false">PV(H1736/12,F1736/30,0,-E1736)</f>
        <v>21458.6526591532</v>
      </c>
      <c r="L1736" s="0" t="n">
        <f aca="false">ROUND(E1736-K1736,2)</f>
        <v>387.16</v>
      </c>
      <c r="M1736" s="0" t="n">
        <f aca="false">F1736/E1736</f>
        <v>0.00347892799580331</v>
      </c>
    </row>
    <row r="1737" customFormat="false" ht="12.8" hidden="false" customHeight="false" outlineLevel="0" collapsed="false">
      <c r="A1737" s="0" t="s">
        <v>2517</v>
      </c>
      <c r="B1737" s="0" t="s">
        <v>84</v>
      </c>
      <c r="C1737" s="0" t="s">
        <v>26</v>
      </c>
      <c r="D1737" s="0" t="s">
        <v>23</v>
      </c>
      <c r="E1737" s="0" t="n">
        <v>24732.01</v>
      </c>
      <c r="F1737" s="0" t="n">
        <v>261</v>
      </c>
      <c r="G1737" s="0" t="str">
        <f aca="false">IF(F1737&lt;=30,"Current",IF(F1737&lt;=60,"31 to 60 days",IF(F1737&lt;=90,"61 to 90 days",IF(F1737&lt;=120,"91 to 120 days","Over 120 days"))))</f>
        <v>Over 120 days</v>
      </c>
      <c r="H1737" s="0" t="n">
        <f aca="false">VLOOKUP(D1737,Rates!$A$4:$B$7,2,FALSE())</f>
        <v>0.115</v>
      </c>
      <c r="I1737" s="0" t="n">
        <f aca="false">VLOOKUP(F1737,Rates!$D$4:$E$8,2)</f>
        <v>0.85</v>
      </c>
      <c r="J1737" s="0" t="n">
        <f aca="false">ROUND(E1737*I1737,2)</f>
        <v>21022.21</v>
      </c>
      <c r="K1737" s="1" t="n">
        <f aca="false">PV(H1737/12,F1737/30,0,-E1737)</f>
        <v>22762.6338893443</v>
      </c>
      <c r="L1737" s="0" t="n">
        <f aca="false">ROUND(E1737-K1737,2)</f>
        <v>1969.38</v>
      </c>
      <c r="M1737" s="0" t="n">
        <f aca="false">F1737/E1737</f>
        <v>0.0105531252817705</v>
      </c>
    </row>
    <row r="1738" customFormat="false" ht="12.8" hidden="false" customHeight="false" outlineLevel="0" collapsed="false">
      <c r="A1738" s="0" t="s">
        <v>2518</v>
      </c>
      <c r="B1738" s="0" t="s">
        <v>33</v>
      </c>
      <c r="C1738" s="0" t="s">
        <v>26</v>
      </c>
      <c r="D1738" s="0" t="s">
        <v>20</v>
      </c>
      <c r="E1738" s="0" t="n">
        <v>31008.44</v>
      </c>
      <c r="F1738" s="0" t="n">
        <v>220</v>
      </c>
      <c r="G1738" s="0" t="str">
        <f aca="false">IF(F1738&lt;=30,"Current",IF(F1738&lt;=60,"31 to 60 days",IF(F1738&lt;=90,"61 to 90 days",IF(F1738&lt;=120,"91 to 120 days","Over 120 days"))))</f>
        <v>Over 120 days</v>
      </c>
      <c r="H1738" s="0" t="n">
        <f aca="false">VLOOKUP(D1738,Rates!$A$4:$B$7,2,FALSE())</f>
        <v>0.05</v>
      </c>
      <c r="I1738" s="0" t="n">
        <f aca="false">VLOOKUP(F1738,Rates!$D$4:$E$8,2)</f>
        <v>0.85</v>
      </c>
      <c r="J1738" s="0" t="n">
        <f aca="false">ROUND(E1738*I1738,2)</f>
        <v>26357.17</v>
      </c>
      <c r="K1738" s="1" t="n">
        <f aca="false">PV(H1738/12,F1738/30,0,-E1738)</f>
        <v>30077.1982383201</v>
      </c>
      <c r="L1738" s="0" t="n">
        <f aca="false">ROUND(E1738-K1738,2)</f>
        <v>931.24</v>
      </c>
      <c r="M1738" s="0" t="n">
        <f aca="false">F1738/E1738</f>
        <v>0.00709484256544347</v>
      </c>
    </row>
    <row r="1739" customFormat="false" ht="12.8" hidden="false" customHeight="false" outlineLevel="0" collapsed="false">
      <c r="A1739" s="0" t="s">
        <v>2519</v>
      </c>
      <c r="B1739" s="0" t="s">
        <v>2520</v>
      </c>
      <c r="C1739" s="0" t="s">
        <v>31</v>
      </c>
      <c r="D1739" s="0" t="s">
        <v>16</v>
      </c>
      <c r="E1739" s="0" t="n">
        <v>42514.61</v>
      </c>
      <c r="F1739" s="0" t="n">
        <v>262</v>
      </c>
      <c r="G1739" s="0" t="str">
        <f aca="false">IF(F1739&lt;=30,"Current",IF(F1739&lt;=60,"31 to 60 days",IF(F1739&lt;=90,"61 to 90 days",IF(F1739&lt;=120,"91 to 120 days","Over 120 days"))))</f>
        <v>Over 120 days</v>
      </c>
      <c r="H1739" s="0" t="n">
        <f aca="false">VLOOKUP(D1739,Rates!$A$4:$B$7,2,FALSE())</f>
        <v>0.085</v>
      </c>
      <c r="I1739" s="0" t="n">
        <f aca="false">VLOOKUP(F1739,Rates!$D$4:$E$8,2)</f>
        <v>0.85</v>
      </c>
      <c r="J1739" s="0" t="n">
        <f aca="false">ROUND(E1739*I1739,2)</f>
        <v>36137.42</v>
      </c>
      <c r="K1739" s="1" t="n">
        <f aca="false">PV(H1739/12,F1739/30,0,-E1739)</f>
        <v>39973.0202485205</v>
      </c>
      <c r="L1739" s="0" t="n">
        <f aca="false">ROUND(E1739-K1739,2)</f>
        <v>2541.59</v>
      </c>
      <c r="M1739" s="0" t="n">
        <f aca="false">F1739/E1739</f>
        <v>0.00616258740230711</v>
      </c>
    </row>
    <row r="1740" customFormat="false" ht="12.8" hidden="false" customHeight="false" outlineLevel="0" collapsed="false">
      <c r="A1740" s="0" t="s">
        <v>2521</v>
      </c>
      <c r="B1740" s="0" t="s">
        <v>2522</v>
      </c>
      <c r="C1740" s="0" t="s">
        <v>42</v>
      </c>
      <c r="D1740" s="0" t="s">
        <v>49</v>
      </c>
      <c r="E1740" s="0" t="n">
        <v>44364.26</v>
      </c>
      <c r="F1740" s="0" t="n">
        <v>126</v>
      </c>
      <c r="G1740" s="0" t="str">
        <f aca="false">IF(F1740&lt;=30,"Current",IF(F1740&lt;=60,"31 to 60 days",IF(F1740&lt;=90,"61 to 90 days",IF(F1740&lt;=120,"91 to 120 days","Over 120 days"))))</f>
        <v>Over 120 days</v>
      </c>
      <c r="H1740" s="0" t="n">
        <f aca="false">VLOOKUP(D1740,Rates!$A$4:$B$7,2,FALSE())</f>
        <v>0.02</v>
      </c>
      <c r="I1740" s="0" t="n">
        <f aca="false">VLOOKUP(F1740,Rates!$D$4:$E$8,2)</f>
        <v>0.85</v>
      </c>
      <c r="J1740" s="0" t="n">
        <f aca="false">ROUND(E1740*I1740,2)</f>
        <v>37709.62</v>
      </c>
      <c r="K1740" s="1" t="n">
        <f aca="false">PV(H1740/12,F1740/30,0,-E1740)</f>
        <v>44055.0512745109</v>
      </c>
      <c r="L1740" s="0" t="n">
        <f aca="false">ROUND(E1740-K1740,2)</f>
        <v>309.21</v>
      </c>
      <c r="M1740" s="0" t="n">
        <f aca="false">F1740/E1740</f>
        <v>0.00284012400973216</v>
      </c>
    </row>
    <row r="1741" customFormat="false" ht="12.8" hidden="false" customHeight="false" outlineLevel="0" collapsed="false">
      <c r="A1741" s="0" t="s">
        <v>2523</v>
      </c>
      <c r="B1741" s="0" t="s">
        <v>30</v>
      </c>
      <c r="C1741" s="0" t="s">
        <v>31</v>
      </c>
      <c r="D1741" s="0" t="s">
        <v>20</v>
      </c>
      <c r="E1741" s="0" t="n">
        <v>0</v>
      </c>
      <c r="F1741" s="0" t="n">
        <v>136</v>
      </c>
      <c r="G1741" s="0" t="str">
        <f aca="false">IF(F1741&lt;=30,"Current",IF(F1741&lt;=60,"31 to 60 days",IF(F1741&lt;=90,"61 to 90 days",IF(F1741&lt;=120,"91 to 120 days","Over 120 days"))))</f>
        <v>Over 120 days</v>
      </c>
      <c r="H1741" s="0" t="n">
        <f aca="false">VLOOKUP(D1741,Rates!$A$4:$B$7,2,FALSE())</f>
        <v>0.05</v>
      </c>
      <c r="I1741" s="0" t="n">
        <f aca="false">VLOOKUP(F1741,Rates!$D$4:$E$8,2)</f>
        <v>0.85</v>
      </c>
      <c r="J1741" s="0" t="n">
        <f aca="false">ROUND(E1741*I1741,2)</f>
        <v>0</v>
      </c>
      <c r="K1741" s="1" t="n">
        <f aca="false">PV(H1741/12,F1741/30,0,-E1741)</f>
        <v>-0</v>
      </c>
      <c r="L1741" s="0" t="n">
        <f aca="false">ROUND(E1741-K1741,2)</f>
        <v>0</v>
      </c>
      <c r="M1741" s="0" t="e">
        <f aca="false">F1741/E1741</f>
        <v>#DIV/0!</v>
      </c>
    </row>
    <row r="1742" customFormat="false" ht="12.8" hidden="false" customHeight="false" outlineLevel="0" collapsed="false">
      <c r="A1742" s="0" t="s">
        <v>2524</v>
      </c>
      <c r="B1742" s="0" t="s">
        <v>97</v>
      </c>
      <c r="C1742" s="0" t="s">
        <v>42</v>
      </c>
      <c r="D1742" s="0" t="s">
        <v>20</v>
      </c>
      <c r="E1742" s="0" t="n">
        <v>39726.24</v>
      </c>
      <c r="F1742" s="0" t="n">
        <v>335</v>
      </c>
      <c r="G1742" s="0" t="str">
        <f aca="false">IF(F1742&lt;=30,"Current",IF(F1742&lt;=60,"31 to 60 days",IF(F1742&lt;=90,"61 to 90 days",IF(F1742&lt;=120,"91 to 120 days","Over 120 days"))))</f>
        <v>Over 120 days</v>
      </c>
      <c r="H1742" s="0" t="n">
        <f aca="false">VLOOKUP(D1742,Rates!$A$4:$B$7,2,FALSE())</f>
        <v>0.05</v>
      </c>
      <c r="I1742" s="0" t="n">
        <f aca="false">VLOOKUP(F1742,Rates!$D$4:$E$8,2)</f>
        <v>0.85</v>
      </c>
      <c r="J1742" s="0" t="n">
        <f aca="false">ROUND(E1742*I1742,2)</f>
        <v>33767.3</v>
      </c>
      <c r="K1742" s="1" t="n">
        <f aca="false">PV(H1742/12,F1742/30,0,-E1742)</f>
        <v>37923.8731881787</v>
      </c>
      <c r="L1742" s="0" t="n">
        <f aca="false">ROUND(E1742-K1742,2)</f>
        <v>1802.37</v>
      </c>
      <c r="M1742" s="0" t="n">
        <f aca="false">F1742/E1742</f>
        <v>0.00843271349113332</v>
      </c>
    </row>
    <row r="1743" customFormat="false" ht="12.8" hidden="false" customHeight="false" outlineLevel="0" collapsed="false">
      <c r="A1743" s="0" t="s">
        <v>2525</v>
      </c>
      <c r="B1743" s="0" t="s">
        <v>2526</v>
      </c>
      <c r="C1743" s="0" t="s">
        <v>26</v>
      </c>
      <c r="D1743" s="0" t="s">
        <v>49</v>
      </c>
      <c r="E1743" s="0" t="n">
        <v>14052.94</v>
      </c>
      <c r="F1743" s="0" t="n">
        <v>278</v>
      </c>
      <c r="G1743" s="0" t="str">
        <f aca="false">IF(F1743&lt;=30,"Current",IF(F1743&lt;=60,"31 to 60 days",IF(F1743&lt;=90,"61 to 90 days",IF(F1743&lt;=120,"91 to 120 days","Over 120 days"))))</f>
        <v>Over 120 days</v>
      </c>
      <c r="H1743" s="0" t="n">
        <f aca="false">VLOOKUP(D1743,Rates!$A$4:$B$7,2,FALSE())</f>
        <v>0.02</v>
      </c>
      <c r="I1743" s="0" t="n">
        <f aca="false">VLOOKUP(F1743,Rates!$D$4:$E$8,2)</f>
        <v>0.85</v>
      </c>
      <c r="J1743" s="0" t="n">
        <f aca="false">ROUND(E1743*I1743,2)</f>
        <v>11945</v>
      </c>
      <c r="K1743" s="1" t="n">
        <f aca="false">PV(H1743/12,F1743/30,0,-E1743)</f>
        <v>13837.7454817399</v>
      </c>
      <c r="L1743" s="0" t="n">
        <f aca="false">ROUND(E1743-K1743,2)</f>
        <v>215.19</v>
      </c>
      <c r="M1743" s="0" t="n">
        <f aca="false">F1743/E1743</f>
        <v>0.0197823373614347</v>
      </c>
    </row>
    <row r="1744" customFormat="false" ht="12.8" hidden="false" customHeight="false" outlineLevel="0" collapsed="false">
      <c r="A1744" s="0" t="s">
        <v>2527</v>
      </c>
      <c r="B1744" s="0" t="s">
        <v>30</v>
      </c>
      <c r="C1744" s="0" t="s">
        <v>31</v>
      </c>
      <c r="D1744" s="0" t="s">
        <v>20</v>
      </c>
      <c r="E1744" s="0" t="n">
        <v>8030.97</v>
      </c>
      <c r="F1744" s="0" t="n">
        <v>10</v>
      </c>
      <c r="G1744" s="0" t="str">
        <f aca="false">IF(F1744&lt;=30,"Current",IF(F1744&lt;=60,"31 to 60 days",IF(F1744&lt;=90,"61 to 90 days",IF(F1744&lt;=120,"91 to 120 days","Over 120 days"))))</f>
        <v>Current</v>
      </c>
      <c r="H1744" s="0" t="n">
        <f aca="false">VLOOKUP(D1744,Rates!$A$4:$B$7,2,FALSE())</f>
        <v>0.05</v>
      </c>
      <c r="I1744" s="0" t="n">
        <f aca="false">VLOOKUP(F1744,Rates!$D$4:$E$8,2)</f>
        <v>0.02</v>
      </c>
      <c r="J1744" s="0" t="n">
        <f aca="false">ROUND(E1744*I1744,2)</f>
        <v>160.62</v>
      </c>
      <c r="K1744" s="1" t="n">
        <f aca="false">PV(H1744/12,F1744/30,0,-E1744)</f>
        <v>8019.84675861787</v>
      </c>
      <c r="L1744" s="0" t="n">
        <f aca="false">ROUND(E1744-K1744,2)</f>
        <v>11.12</v>
      </c>
      <c r="M1744" s="0" t="n">
        <f aca="false">F1744/E1744</f>
        <v>0.00124517959847939</v>
      </c>
    </row>
    <row r="1745" customFormat="false" ht="12.8" hidden="false" customHeight="false" outlineLevel="0" collapsed="false">
      <c r="A1745" s="0" t="s">
        <v>2528</v>
      </c>
      <c r="B1745" s="0" t="s">
        <v>2529</v>
      </c>
      <c r="C1745" s="0" t="s">
        <v>36</v>
      </c>
      <c r="D1745" s="0" t="s">
        <v>49</v>
      </c>
      <c r="E1745" s="0" t="n">
        <v>39564.59</v>
      </c>
      <c r="F1745" s="0" t="n">
        <v>95</v>
      </c>
      <c r="G1745" s="0" t="str">
        <f aca="false">IF(F1745&lt;=30,"Current",IF(F1745&lt;=60,"31 to 60 days",IF(F1745&lt;=90,"61 to 90 days",IF(F1745&lt;=120,"91 to 120 days","Over 120 days"))))</f>
        <v>91 to 120 days</v>
      </c>
      <c r="H1745" s="0" t="n">
        <f aca="false">VLOOKUP(D1745,Rates!$A$4:$B$7,2,FALSE())</f>
        <v>0.02</v>
      </c>
      <c r="I1745" s="0" t="n">
        <f aca="false">VLOOKUP(F1745,Rates!$D$4:$E$8,2)</f>
        <v>0.5</v>
      </c>
      <c r="J1745" s="0" t="n">
        <f aca="false">ROUND(E1745*I1745,2)</f>
        <v>19782.3</v>
      </c>
      <c r="K1745" s="1" t="n">
        <f aca="false">PV(H1745/12,F1745/30,0,-E1745)</f>
        <v>39356.4998558309</v>
      </c>
      <c r="L1745" s="0" t="n">
        <f aca="false">ROUND(E1745-K1745,2)</f>
        <v>208.09</v>
      </c>
      <c r="M1745" s="0" t="n">
        <f aca="false">F1745/E1745</f>
        <v>0.00240113697627095</v>
      </c>
    </row>
    <row r="1746" customFormat="false" ht="12.8" hidden="false" customHeight="false" outlineLevel="0" collapsed="false">
      <c r="A1746" s="0" t="s">
        <v>2530</v>
      </c>
      <c r="B1746" s="0" t="s">
        <v>2531</v>
      </c>
      <c r="C1746" s="0" t="s">
        <v>36</v>
      </c>
      <c r="D1746" s="0" t="s">
        <v>16</v>
      </c>
      <c r="E1746" s="0" t="n">
        <v>3522.91</v>
      </c>
      <c r="F1746" s="0" t="n">
        <v>79</v>
      </c>
      <c r="G1746" s="0" t="str">
        <f aca="false">IF(F1746&lt;=30,"Current",IF(F1746&lt;=60,"31 to 60 days",IF(F1746&lt;=90,"61 to 90 days",IF(F1746&lt;=120,"91 to 120 days","Over 120 days"))))</f>
        <v>61 to 90 days</v>
      </c>
      <c r="H1746" s="0" t="n">
        <f aca="false">VLOOKUP(D1746,Rates!$A$4:$B$7,2,FALSE())</f>
        <v>0.085</v>
      </c>
      <c r="I1746" s="0" t="n">
        <f aca="false">VLOOKUP(F1746,Rates!$D$4:$E$8,2)</f>
        <v>0.25</v>
      </c>
      <c r="J1746" s="0" t="n">
        <f aca="false">ROUND(E1746*I1746,2)</f>
        <v>880.73</v>
      </c>
      <c r="K1746" s="1" t="n">
        <f aca="false">PV(H1746/12,F1746/30,0,-E1746)</f>
        <v>3458.03436990631</v>
      </c>
      <c r="L1746" s="0" t="n">
        <f aca="false">ROUND(E1746-K1746,2)</f>
        <v>64.88</v>
      </c>
      <c r="M1746" s="0" t="n">
        <f aca="false">F1746/E1746</f>
        <v>0.0224246432636656</v>
      </c>
    </row>
    <row r="1747" customFormat="false" ht="12.8" hidden="false" customHeight="false" outlineLevel="0" collapsed="false">
      <c r="A1747" s="0" t="s">
        <v>2532</v>
      </c>
      <c r="B1747" s="0" t="s">
        <v>1933</v>
      </c>
      <c r="C1747" s="0" t="s">
        <v>15</v>
      </c>
      <c r="D1747" s="0" t="s">
        <v>16</v>
      </c>
      <c r="E1747" s="0" t="n">
        <v>39929.98</v>
      </c>
      <c r="F1747" s="0" t="n">
        <v>293</v>
      </c>
      <c r="G1747" s="0" t="str">
        <f aca="false">IF(F1747&lt;=30,"Current",IF(F1747&lt;=60,"31 to 60 days",IF(F1747&lt;=90,"61 to 90 days",IF(F1747&lt;=120,"91 to 120 days","Over 120 days"))))</f>
        <v>Over 120 days</v>
      </c>
      <c r="H1747" s="0" t="n">
        <f aca="false">VLOOKUP(D1747,Rates!$A$4:$B$7,2,FALSE())</f>
        <v>0.085</v>
      </c>
      <c r="I1747" s="0" t="n">
        <f aca="false">VLOOKUP(F1747,Rates!$D$4:$E$8,2)</f>
        <v>0.85</v>
      </c>
      <c r="J1747" s="0" t="n">
        <f aca="false">ROUND(E1747*I1747,2)</f>
        <v>33940.48</v>
      </c>
      <c r="K1747" s="1" t="n">
        <f aca="false">PV(H1747/12,F1747/30,0,-E1747)</f>
        <v>37270.0750886371</v>
      </c>
      <c r="L1747" s="0" t="n">
        <f aca="false">ROUND(E1747-K1747,2)</f>
        <v>2659.9</v>
      </c>
      <c r="M1747" s="0" t="n">
        <f aca="false">F1747/E1747</f>
        <v>0.00733784489749306</v>
      </c>
    </row>
    <row r="1748" customFormat="false" ht="12.8" hidden="false" customHeight="false" outlineLevel="0" collapsed="false">
      <c r="A1748" s="0" t="s">
        <v>2533</v>
      </c>
      <c r="B1748" s="0" t="s">
        <v>2534</v>
      </c>
      <c r="C1748" s="0" t="s">
        <v>36</v>
      </c>
      <c r="D1748" s="0" t="s">
        <v>49</v>
      </c>
      <c r="E1748" s="0" t="n">
        <v>26928.6</v>
      </c>
      <c r="F1748" s="0" t="n">
        <v>53</v>
      </c>
      <c r="G1748" s="0" t="str">
        <f aca="false">IF(F1748&lt;=30,"Current",IF(F1748&lt;=60,"31 to 60 days",IF(F1748&lt;=90,"61 to 90 days",IF(F1748&lt;=120,"91 to 120 days","Over 120 days"))))</f>
        <v>31 to 60 days</v>
      </c>
      <c r="H1748" s="0" t="n">
        <f aca="false">VLOOKUP(D1748,Rates!$A$4:$B$7,2,FALSE())</f>
        <v>0.02</v>
      </c>
      <c r="I1748" s="0" t="n">
        <f aca="false">VLOOKUP(F1748,Rates!$D$4:$E$8,2)</f>
        <v>0.1</v>
      </c>
      <c r="J1748" s="0" t="n">
        <f aca="false">ROUND(E1748*I1748,2)</f>
        <v>2692.86</v>
      </c>
      <c r="K1748" s="1" t="n">
        <f aca="false">PV(H1748/12,F1748/30,0,-E1748)</f>
        <v>26849.4926585132</v>
      </c>
      <c r="L1748" s="0" t="n">
        <f aca="false">ROUND(E1748-K1748,2)</f>
        <v>79.11</v>
      </c>
      <c r="M1748" s="0" t="n">
        <f aca="false">F1748/E1748</f>
        <v>0.00196816767303165</v>
      </c>
    </row>
    <row r="1749" customFormat="false" ht="12.8" hidden="false" customHeight="false" outlineLevel="0" collapsed="false">
      <c r="A1749" s="0" t="s">
        <v>2535</v>
      </c>
      <c r="B1749" s="0" t="s">
        <v>431</v>
      </c>
      <c r="C1749" s="0" t="s">
        <v>19</v>
      </c>
      <c r="D1749" s="0" t="s">
        <v>16</v>
      </c>
      <c r="E1749" s="0" t="n">
        <v>43011.36</v>
      </c>
      <c r="F1749" s="0" t="n">
        <v>37</v>
      </c>
      <c r="G1749" s="0" t="str">
        <f aca="false">IF(F1749&lt;=30,"Current",IF(F1749&lt;=60,"31 to 60 days",IF(F1749&lt;=90,"61 to 90 days",IF(F1749&lt;=120,"91 to 120 days","Over 120 days"))))</f>
        <v>31 to 60 days</v>
      </c>
      <c r="H1749" s="0" t="n">
        <f aca="false">VLOOKUP(D1749,Rates!$A$4:$B$7,2,FALSE())</f>
        <v>0.085</v>
      </c>
      <c r="I1749" s="0" t="n">
        <f aca="false">VLOOKUP(F1749,Rates!$D$4:$E$8,2)</f>
        <v>0.1</v>
      </c>
      <c r="J1749" s="0" t="n">
        <f aca="false">ROUND(E1749*I1749,2)</f>
        <v>4301.14</v>
      </c>
      <c r="K1749" s="1" t="n">
        <f aca="false">PV(H1749/12,F1749/30,0,-E1749)</f>
        <v>42638.5575532081</v>
      </c>
      <c r="L1749" s="0" t="n">
        <f aca="false">ROUND(E1749-K1749,2)</f>
        <v>372.8</v>
      </c>
      <c r="M1749" s="0" t="n">
        <f aca="false">F1749/E1749</f>
        <v>0.000860237853441509</v>
      </c>
    </row>
    <row r="1750" customFormat="false" ht="12.8" hidden="false" customHeight="false" outlineLevel="0" collapsed="false">
      <c r="A1750" s="0" t="s">
        <v>2536</v>
      </c>
      <c r="B1750" s="0" t="s">
        <v>28</v>
      </c>
      <c r="C1750" s="0" t="s">
        <v>15</v>
      </c>
      <c r="D1750" s="0" t="s">
        <v>20</v>
      </c>
      <c r="E1750" s="0" t="n">
        <v>11013.29</v>
      </c>
      <c r="F1750" s="0" t="n">
        <v>307</v>
      </c>
      <c r="G1750" s="0" t="str">
        <f aca="false">IF(F1750&lt;=30,"Current",IF(F1750&lt;=60,"31 to 60 days",IF(F1750&lt;=90,"61 to 90 days",IF(F1750&lt;=120,"91 to 120 days","Over 120 days"))))</f>
        <v>Over 120 days</v>
      </c>
      <c r="H1750" s="0" t="n">
        <f aca="false">VLOOKUP(D1750,Rates!$A$4:$B$7,2,FALSE())</f>
        <v>0.05</v>
      </c>
      <c r="I1750" s="0" t="n">
        <f aca="false">VLOOKUP(F1750,Rates!$D$4:$E$8,2)</f>
        <v>0.85</v>
      </c>
      <c r="J1750" s="0" t="n">
        <f aca="false">ROUND(E1750*I1750,2)</f>
        <v>9361.3</v>
      </c>
      <c r="K1750" s="1" t="n">
        <f aca="false">PV(H1750/12,F1750/30,0,-E1750)</f>
        <v>10554.5011845694</v>
      </c>
      <c r="L1750" s="0" t="n">
        <f aca="false">ROUND(E1750-K1750,2)</f>
        <v>458.79</v>
      </c>
      <c r="M1750" s="0" t="n">
        <f aca="false">F1750/E1750</f>
        <v>0.0278754123427241</v>
      </c>
    </row>
    <row r="1751" customFormat="false" ht="12.8" hidden="false" customHeight="false" outlineLevel="0" collapsed="false">
      <c r="A1751" s="0" t="s">
        <v>2537</v>
      </c>
      <c r="B1751" s="0" t="s">
        <v>30</v>
      </c>
      <c r="C1751" s="0" t="s">
        <v>31</v>
      </c>
      <c r="D1751" s="0" t="s">
        <v>20</v>
      </c>
      <c r="E1751" s="0" t="n">
        <v>11207.76</v>
      </c>
      <c r="F1751" s="0" t="n">
        <v>10</v>
      </c>
      <c r="G1751" s="0" t="str">
        <f aca="false">IF(F1751&lt;=30,"Current",IF(F1751&lt;=60,"31 to 60 days",IF(F1751&lt;=90,"61 to 90 days",IF(F1751&lt;=120,"91 to 120 days","Over 120 days"))))</f>
        <v>Current</v>
      </c>
      <c r="H1751" s="0" t="n">
        <f aca="false">VLOOKUP(D1751,Rates!$A$4:$B$7,2,FALSE())</f>
        <v>0.05</v>
      </c>
      <c r="I1751" s="0" t="n">
        <f aca="false">VLOOKUP(F1751,Rates!$D$4:$E$8,2)</f>
        <v>0.02</v>
      </c>
      <c r="J1751" s="0" t="n">
        <f aca="false">ROUND(E1751*I1751,2)</f>
        <v>224.16</v>
      </c>
      <c r="K1751" s="1" t="n">
        <f aca="false">PV(H1751/12,F1751/30,0,-E1751)</f>
        <v>11192.2367668373</v>
      </c>
      <c r="L1751" s="0" t="n">
        <f aca="false">ROUND(E1751-K1751,2)</f>
        <v>15.52</v>
      </c>
      <c r="M1751" s="0" t="n">
        <f aca="false">F1751/E1751</f>
        <v>0.000892238948728381</v>
      </c>
    </row>
    <row r="1752" customFormat="false" ht="12.8" hidden="false" customHeight="false" outlineLevel="0" collapsed="false">
      <c r="A1752" s="0" t="s">
        <v>2538</v>
      </c>
      <c r="B1752" s="0" t="s">
        <v>2205</v>
      </c>
      <c r="C1752" s="0" t="s">
        <v>19</v>
      </c>
      <c r="D1752" s="0" t="s">
        <v>49</v>
      </c>
      <c r="E1752" s="0" t="n">
        <v>27837.78</v>
      </c>
      <c r="F1752" s="0" t="n">
        <v>257</v>
      </c>
      <c r="G1752" s="0" t="str">
        <f aca="false">IF(F1752&lt;=30,"Current",IF(F1752&lt;=60,"31 to 60 days",IF(F1752&lt;=90,"61 to 90 days",IF(F1752&lt;=120,"91 to 120 days","Over 120 days"))))</f>
        <v>Over 120 days</v>
      </c>
      <c r="H1752" s="0" t="n">
        <f aca="false">VLOOKUP(D1752,Rates!$A$4:$B$7,2,FALSE())</f>
        <v>0.02</v>
      </c>
      <c r="I1752" s="0" t="n">
        <f aca="false">VLOOKUP(F1752,Rates!$D$4:$E$8,2)</f>
        <v>0.85</v>
      </c>
      <c r="J1752" s="0" t="n">
        <f aca="false">ROUND(E1752*I1752,2)</f>
        <v>23662.11</v>
      </c>
      <c r="K1752" s="1" t="n">
        <f aca="false">PV(H1752/12,F1752/30,0,-E1752)</f>
        <v>27443.4685039351</v>
      </c>
      <c r="L1752" s="0" t="n">
        <f aca="false">ROUND(E1752-K1752,2)</f>
        <v>394.31</v>
      </c>
      <c r="M1752" s="0" t="n">
        <f aca="false">F1752/E1752</f>
        <v>0.00923205801612054</v>
      </c>
    </row>
    <row r="1753" customFormat="false" ht="12.8" hidden="false" customHeight="false" outlineLevel="0" collapsed="false">
      <c r="A1753" s="0" t="s">
        <v>2539</v>
      </c>
      <c r="B1753" s="0" t="s">
        <v>2459</v>
      </c>
      <c r="C1753" s="0" t="s">
        <v>36</v>
      </c>
      <c r="D1753" s="0" t="s">
        <v>49</v>
      </c>
      <c r="E1753" s="0" t="n">
        <v>7153.92</v>
      </c>
      <c r="F1753" s="0" t="n">
        <v>347</v>
      </c>
      <c r="G1753" s="0" t="str">
        <f aca="false">IF(F1753&lt;=30,"Current",IF(F1753&lt;=60,"31 to 60 days",IF(F1753&lt;=90,"61 to 90 days",IF(F1753&lt;=120,"91 to 120 days","Over 120 days"))))</f>
        <v>Over 120 days</v>
      </c>
      <c r="H1753" s="0" t="n">
        <f aca="false">VLOOKUP(D1753,Rates!$A$4:$B$7,2,FALSE())</f>
        <v>0.02</v>
      </c>
      <c r="I1753" s="0" t="n">
        <f aca="false">VLOOKUP(F1753,Rates!$D$4:$E$8,2)</f>
        <v>0.85</v>
      </c>
      <c r="J1753" s="0" t="n">
        <f aca="false">ROUND(E1753*I1753,2)</f>
        <v>6080.83</v>
      </c>
      <c r="K1753" s="1" t="n">
        <f aca="false">PV(H1753/12,F1753/30,0,-E1753)</f>
        <v>7017.44174218286</v>
      </c>
      <c r="L1753" s="0" t="n">
        <f aca="false">ROUND(E1753-K1753,2)</f>
        <v>136.48</v>
      </c>
      <c r="M1753" s="0" t="n">
        <f aca="false">F1753/E1753</f>
        <v>0.0485048756485955</v>
      </c>
    </row>
    <row r="1754" customFormat="false" ht="12.8" hidden="false" customHeight="false" outlineLevel="0" collapsed="false">
      <c r="A1754" s="0" t="s">
        <v>2540</v>
      </c>
      <c r="B1754" s="0" t="s">
        <v>2541</v>
      </c>
      <c r="C1754" s="0" t="s">
        <v>31</v>
      </c>
      <c r="D1754" s="0" t="s">
        <v>49</v>
      </c>
      <c r="E1754" s="0" t="n">
        <v>22075.67</v>
      </c>
      <c r="F1754" s="0" t="n">
        <v>356</v>
      </c>
      <c r="G1754" s="0" t="str">
        <f aca="false">IF(F1754&lt;=30,"Current",IF(F1754&lt;=60,"31 to 60 days",IF(F1754&lt;=90,"61 to 90 days",IF(F1754&lt;=120,"91 to 120 days","Over 120 days"))))</f>
        <v>Over 120 days</v>
      </c>
      <c r="H1754" s="0" t="n">
        <f aca="false">VLOOKUP(D1754,Rates!$A$4:$B$7,2,FALSE())</f>
        <v>0.02</v>
      </c>
      <c r="I1754" s="0" t="n">
        <f aca="false">VLOOKUP(F1754,Rates!$D$4:$E$8,2)</f>
        <v>0.85</v>
      </c>
      <c r="J1754" s="0" t="n">
        <f aca="false">ROUND(E1754*I1754,2)</f>
        <v>18764.32</v>
      </c>
      <c r="K1754" s="1" t="n">
        <f aca="false">PV(H1754/12,F1754/30,0,-E1754)</f>
        <v>21643.7078672465</v>
      </c>
      <c r="L1754" s="0" t="n">
        <f aca="false">ROUND(E1754-K1754,2)</f>
        <v>431.96</v>
      </c>
      <c r="M1754" s="0" t="n">
        <f aca="false">F1754/E1754</f>
        <v>0.0161263508650021</v>
      </c>
    </row>
    <row r="1755" customFormat="false" ht="12.8" hidden="false" customHeight="false" outlineLevel="0" collapsed="false">
      <c r="A1755" s="0" t="s">
        <v>2542</v>
      </c>
      <c r="B1755" s="0" t="s">
        <v>526</v>
      </c>
      <c r="C1755" s="0" t="s">
        <v>26</v>
      </c>
      <c r="D1755" s="0" t="s">
        <v>23</v>
      </c>
      <c r="E1755" s="0" t="n">
        <v>26536.35</v>
      </c>
      <c r="F1755" s="0" t="n">
        <v>266</v>
      </c>
      <c r="G1755" s="0" t="str">
        <f aca="false">IF(F1755&lt;=30,"Current",IF(F1755&lt;=60,"31 to 60 days",IF(F1755&lt;=90,"61 to 90 days",IF(F1755&lt;=120,"91 to 120 days","Over 120 days"))))</f>
        <v>Over 120 days</v>
      </c>
      <c r="H1755" s="0" t="n">
        <f aca="false">VLOOKUP(D1755,Rates!$A$4:$B$7,2,FALSE())</f>
        <v>0.115</v>
      </c>
      <c r="I1755" s="0" t="n">
        <f aca="false">VLOOKUP(F1755,Rates!$D$4:$E$8,2)</f>
        <v>0.85</v>
      </c>
      <c r="J1755" s="0" t="n">
        <f aca="false">ROUND(E1755*I1755,2)</f>
        <v>22555.9</v>
      </c>
      <c r="K1755" s="1" t="n">
        <f aca="false">PV(H1755/12,F1755/30,0,-E1755)</f>
        <v>24384.5039076149</v>
      </c>
      <c r="L1755" s="0" t="n">
        <f aca="false">ROUND(E1755-K1755,2)</f>
        <v>2151.85</v>
      </c>
      <c r="M1755" s="0" t="n">
        <f aca="false">F1755/E1755</f>
        <v>0.0100239859664196</v>
      </c>
    </row>
    <row r="1756" customFormat="false" ht="12.8" hidden="false" customHeight="false" outlineLevel="0" collapsed="false">
      <c r="A1756" s="0" t="s">
        <v>2543</v>
      </c>
      <c r="B1756" s="0" t="s">
        <v>2375</v>
      </c>
      <c r="C1756" s="0" t="s">
        <v>42</v>
      </c>
      <c r="D1756" s="0" t="s">
        <v>16</v>
      </c>
      <c r="E1756" s="0" t="n">
        <v>6365.92</v>
      </c>
      <c r="F1756" s="0" t="n">
        <v>376</v>
      </c>
      <c r="G1756" s="0" t="str">
        <f aca="false">IF(F1756&lt;=30,"Current",IF(F1756&lt;=60,"31 to 60 days",IF(F1756&lt;=90,"61 to 90 days",IF(F1756&lt;=120,"91 to 120 days","Over 120 days"))))</f>
        <v>Over 120 days</v>
      </c>
      <c r="H1756" s="0" t="n">
        <f aca="false">VLOOKUP(D1756,Rates!$A$4:$B$7,2,FALSE())</f>
        <v>0.085</v>
      </c>
      <c r="I1756" s="0" t="n">
        <f aca="false">VLOOKUP(F1756,Rates!$D$4:$E$8,2)</f>
        <v>0.85</v>
      </c>
      <c r="J1756" s="0" t="n">
        <f aca="false">ROUND(E1756*I1756,2)</f>
        <v>5411.03</v>
      </c>
      <c r="K1756" s="1" t="n">
        <f aca="false">PV(H1756/12,F1756/30,0,-E1756)</f>
        <v>5826.95128912766</v>
      </c>
      <c r="L1756" s="0" t="n">
        <f aca="false">ROUND(E1756-K1756,2)</f>
        <v>538.97</v>
      </c>
      <c r="M1756" s="0" t="n">
        <f aca="false">F1756/E1756</f>
        <v>0.0590645185613391</v>
      </c>
    </row>
    <row r="1757" customFormat="false" ht="12.8" hidden="false" customHeight="false" outlineLevel="0" collapsed="false">
      <c r="A1757" s="0" t="s">
        <v>2544</v>
      </c>
      <c r="B1757" s="0" t="s">
        <v>198</v>
      </c>
      <c r="C1757" s="0" t="s">
        <v>19</v>
      </c>
      <c r="D1757" s="0" t="s">
        <v>23</v>
      </c>
      <c r="E1757" s="0" t="n">
        <v>42208.55</v>
      </c>
      <c r="F1757" s="0" t="n">
        <v>277</v>
      </c>
      <c r="G1757" s="0" t="str">
        <f aca="false">IF(F1757&lt;=30,"Current",IF(F1757&lt;=60,"31 to 60 days",IF(F1757&lt;=90,"61 to 90 days",IF(F1757&lt;=120,"91 to 120 days","Over 120 days"))))</f>
        <v>Over 120 days</v>
      </c>
      <c r="H1757" s="0" t="n">
        <f aca="false">VLOOKUP(D1757,Rates!$A$4:$B$7,2,FALSE())</f>
        <v>0.115</v>
      </c>
      <c r="I1757" s="0" t="n">
        <f aca="false">VLOOKUP(F1757,Rates!$D$4:$E$8,2)</f>
        <v>0.85</v>
      </c>
      <c r="J1757" s="0" t="n">
        <f aca="false">ROUND(E1757*I1757,2)</f>
        <v>35877.27</v>
      </c>
      <c r="K1757" s="1" t="n">
        <f aca="false">PV(H1757/12,F1757/30,0,-E1757)</f>
        <v>38650.4339421601</v>
      </c>
      <c r="L1757" s="0" t="n">
        <f aca="false">ROUND(E1757-K1757,2)</f>
        <v>3558.12</v>
      </c>
      <c r="M1757" s="0" t="n">
        <f aca="false">F1757/E1757</f>
        <v>0.00656265140593553</v>
      </c>
    </row>
    <row r="1758" customFormat="false" ht="12.8" hidden="false" customHeight="false" outlineLevel="0" collapsed="false">
      <c r="A1758" s="0" t="s">
        <v>2545</v>
      </c>
      <c r="B1758" s="0" t="s">
        <v>2546</v>
      </c>
      <c r="C1758" s="0" t="s">
        <v>19</v>
      </c>
      <c r="D1758" s="0" t="s">
        <v>16</v>
      </c>
      <c r="E1758" s="0" t="n">
        <v>25654.56</v>
      </c>
      <c r="F1758" s="0" t="n">
        <v>28</v>
      </c>
      <c r="G1758" s="0" t="str">
        <f aca="false">IF(F1758&lt;=30,"Current",IF(F1758&lt;=60,"31 to 60 days",IF(F1758&lt;=90,"61 to 90 days",IF(F1758&lt;=120,"91 to 120 days","Over 120 days"))))</f>
        <v>Current</v>
      </c>
      <c r="H1758" s="0" t="n">
        <f aca="false">VLOOKUP(D1758,Rates!$A$4:$B$7,2,FALSE())</f>
        <v>0.085</v>
      </c>
      <c r="I1758" s="0" t="n">
        <f aca="false">VLOOKUP(F1758,Rates!$D$4:$E$8,2)</f>
        <v>0.02</v>
      </c>
      <c r="J1758" s="0" t="n">
        <f aca="false">ROUND(E1758*I1758,2)</f>
        <v>513.09</v>
      </c>
      <c r="K1758" s="1" t="n">
        <f aca="false">PV(H1758/12,F1758/30,0,-E1758)</f>
        <v>25486.1081898523</v>
      </c>
      <c r="L1758" s="0" t="n">
        <f aca="false">ROUND(E1758-K1758,2)</f>
        <v>168.45</v>
      </c>
      <c r="M1758" s="0" t="n">
        <f aca="false">F1758/E1758</f>
        <v>0.00109142390280714</v>
      </c>
    </row>
    <row r="1759" customFormat="false" ht="12.8" hidden="false" customHeight="false" outlineLevel="0" collapsed="false">
      <c r="A1759" s="0" t="s">
        <v>2547</v>
      </c>
      <c r="B1759" s="0" t="s">
        <v>2548</v>
      </c>
      <c r="C1759" s="0" t="s">
        <v>19</v>
      </c>
      <c r="D1759" s="0" t="s">
        <v>49</v>
      </c>
      <c r="E1759" s="0" t="n">
        <v>19673.12</v>
      </c>
      <c r="F1759" s="0" t="n">
        <v>389</v>
      </c>
      <c r="G1759" s="0" t="str">
        <f aca="false">IF(F1759&lt;=30,"Current",IF(F1759&lt;=60,"31 to 60 days",IF(F1759&lt;=90,"61 to 90 days",IF(F1759&lt;=120,"91 to 120 days","Over 120 days"))))</f>
        <v>Over 120 days</v>
      </c>
      <c r="H1759" s="0" t="n">
        <f aca="false">VLOOKUP(D1759,Rates!$A$4:$B$7,2,FALSE())</f>
        <v>0.02</v>
      </c>
      <c r="I1759" s="0" t="n">
        <f aca="false">VLOOKUP(F1759,Rates!$D$4:$E$8,2)</f>
        <v>0.85</v>
      </c>
      <c r="J1759" s="0" t="n">
        <f aca="false">ROUND(E1759*I1759,2)</f>
        <v>16722.15</v>
      </c>
      <c r="K1759" s="1" t="n">
        <f aca="false">PV(H1759/12,F1759/30,0,-E1759)</f>
        <v>19252.8695117284</v>
      </c>
      <c r="L1759" s="0" t="n">
        <f aca="false">ROUND(E1759-K1759,2)</f>
        <v>420.25</v>
      </c>
      <c r="M1759" s="0" t="n">
        <f aca="false">F1759/E1759</f>
        <v>0.0197731727351838</v>
      </c>
    </row>
    <row r="1760" customFormat="false" ht="12.8" hidden="false" customHeight="false" outlineLevel="0" collapsed="false">
      <c r="A1760" s="0" t="s">
        <v>2549</v>
      </c>
      <c r="B1760" s="0" t="s">
        <v>18</v>
      </c>
      <c r="C1760" s="0" t="s">
        <v>19</v>
      </c>
      <c r="D1760" s="0" t="s">
        <v>20</v>
      </c>
      <c r="E1760" s="0" t="n">
        <v>8954.76</v>
      </c>
      <c r="F1760" s="0" t="n">
        <v>2</v>
      </c>
      <c r="G1760" s="0" t="str">
        <f aca="false">IF(F1760&lt;=30,"Current",IF(F1760&lt;=60,"31 to 60 days",IF(F1760&lt;=90,"61 to 90 days",IF(F1760&lt;=120,"91 to 120 days","Over 120 days"))))</f>
        <v>Current</v>
      </c>
      <c r="H1760" s="0" t="n">
        <f aca="false">VLOOKUP(D1760,Rates!$A$4:$B$7,2,FALSE())</f>
        <v>0.05</v>
      </c>
      <c r="I1760" s="0" t="n">
        <f aca="false">VLOOKUP(F1760,Rates!$D$4:$E$8,2)</f>
        <v>0.02</v>
      </c>
      <c r="J1760" s="0" t="n">
        <f aca="false">ROUND(E1760*I1760,2)</f>
        <v>179.1</v>
      </c>
      <c r="K1760" s="1" t="n">
        <f aca="false">PV(H1760/12,F1760/30,0,-E1760)</f>
        <v>8952.27807848047</v>
      </c>
      <c r="L1760" s="0" t="n">
        <f aca="false">ROUND(E1760-K1760,2)</f>
        <v>2.48</v>
      </c>
      <c r="M1760" s="0" t="n">
        <f aca="false">F1760/E1760</f>
        <v>0.000223344902599288</v>
      </c>
    </row>
    <row r="1761" customFormat="false" ht="12.8" hidden="false" customHeight="false" outlineLevel="0" collapsed="false">
      <c r="A1761" s="0" t="s">
        <v>2550</v>
      </c>
      <c r="B1761" s="0" t="s">
        <v>2551</v>
      </c>
      <c r="C1761" s="0" t="s">
        <v>42</v>
      </c>
      <c r="D1761" s="0" t="s">
        <v>16</v>
      </c>
      <c r="E1761" s="0" t="n">
        <v>2407.67</v>
      </c>
      <c r="F1761" s="0" t="n">
        <v>207</v>
      </c>
      <c r="G1761" s="0" t="str">
        <f aca="false">IF(F1761&lt;=30,"Current",IF(F1761&lt;=60,"31 to 60 days",IF(F1761&lt;=90,"61 to 90 days",IF(F1761&lt;=120,"91 to 120 days","Over 120 days"))))</f>
        <v>Over 120 days</v>
      </c>
      <c r="H1761" s="0" t="n">
        <f aca="false">VLOOKUP(D1761,Rates!$A$4:$B$7,2,FALSE())</f>
        <v>0.085</v>
      </c>
      <c r="I1761" s="0" t="n">
        <f aca="false">VLOOKUP(F1761,Rates!$D$4:$E$8,2)</f>
        <v>0.85</v>
      </c>
      <c r="J1761" s="0" t="n">
        <f aca="false">ROUND(E1761*I1761,2)</f>
        <v>2046.52</v>
      </c>
      <c r="K1761" s="1" t="n">
        <f aca="false">PV(H1761/12,F1761/30,0,-E1761)</f>
        <v>2293.21958098105</v>
      </c>
      <c r="L1761" s="0" t="n">
        <f aca="false">ROUND(E1761-K1761,2)</f>
        <v>114.45</v>
      </c>
      <c r="M1761" s="0" t="n">
        <f aca="false">F1761/E1761</f>
        <v>0.0859752374702513</v>
      </c>
    </row>
    <row r="1762" customFormat="false" ht="12.8" hidden="false" customHeight="false" outlineLevel="0" collapsed="false">
      <c r="A1762" s="0" t="s">
        <v>2552</v>
      </c>
      <c r="B1762" s="0" t="s">
        <v>18</v>
      </c>
      <c r="C1762" s="0" t="s">
        <v>19</v>
      </c>
      <c r="D1762" s="0" t="s">
        <v>20</v>
      </c>
      <c r="E1762" s="0" t="n">
        <v>27796.76</v>
      </c>
      <c r="F1762" s="0" t="n">
        <v>111</v>
      </c>
      <c r="G1762" s="0" t="str">
        <f aca="false">IF(F1762&lt;=30,"Current",IF(F1762&lt;=60,"31 to 60 days",IF(F1762&lt;=90,"61 to 90 days",IF(F1762&lt;=120,"91 to 120 days","Over 120 days"))))</f>
        <v>91 to 120 days</v>
      </c>
      <c r="H1762" s="0" t="n">
        <f aca="false">VLOOKUP(D1762,Rates!$A$4:$B$7,2,FALSE())</f>
        <v>0.05</v>
      </c>
      <c r="I1762" s="0" t="n">
        <f aca="false">VLOOKUP(F1762,Rates!$D$4:$E$8,2)</f>
        <v>0.5</v>
      </c>
      <c r="J1762" s="0" t="n">
        <f aca="false">ROUND(E1762*I1762,2)</f>
        <v>13898.38</v>
      </c>
      <c r="K1762" s="1" t="n">
        <f aca="false">PV(H1762/12,F1762/30,0,-E1762)</f>
        <v>27372.3896842955</v>
      </c>
      <c r="L1762" s="0" t="n">
        <f aca="false">ROUND(E1762-K1762,2)</f>
        <v>424.37</v>
      </c>
      <c r="M1762" s="0" t="n">
        <f aca="false">F1762/E1762</f>
        <v>0.00399327115822132</v>
      </c>
    </row>
    <row r="1763" customFormat="false" ht="12.8" hidden="false" customHeight="false" outlineLevel="0" collapsed="false">
      <c r="A1763" s="0" t="s">
        <v>2553</v>
      </c>
      <c r="B1763" s="0" t="s">
        <v>51</v>
      </c>
      <c r="C1763" s="0" t="s">
        <v>36</v>
      </c>
      <c r="D1763" s="0" t="s">
        <v>20</v>
      </c>
      <c r="E1763" s="0" t="n">
        <v>11677.41</v>
      </c>
      <c r="F1763" s="0" t="n">
        <v>5</v>
      </c>
      <c r="G1763" s="0" t="str">
        <f aca="false">IF(F1763&lt;=30,"Current",IF(F1763&lt;=60,"31 to 60 days",IF(F1763&lt;=90,"61 to 90 days",IF(F1763&lt;=120,"91 to 120 days","Over 120 days"))))</f>
        <v>Current</v>
      </c>
      <c r="H1763" s="0" t="n">
        <f aca="false">VLOOKUP(D1763,Rates!$A$4:$B$7,2,FALSE())</f>
        <v>0.05</v>
      </c>
      <c r="I1763" s="0" t="n">
        <f aca="false">VLOOKUP(F1763,Rates!$D$4:$E$8,2)</f>
        <v>0.02</v>
      </c>
      <c r="J1763" s="0" t="n">
        <f aca="false">ROUND(E1763*I1763,2)</f>
        <v>233.55</v>
      </c>
      <c r="K1763" s="1" t="n">
        <f aca="false">PV(H1763/12,F1763/30,0,-E1763)</f>
        <v>11669.3203385166</v>
      </c>
      <c r="L1763" s="0" t="n">
        <f aca="false">ROUND(E1763-K1763,2)</f>
        <v>8.09</v>
      </c>
      <c r="M1763" s="0" t="n">
        <f aca="false">F1763/E1763</f>
        <v>0.000428177138594945</v>
      </c>
    </row>
    <row r="1764" customFormat="false" ht="12.8" hidden="false" customHeight="false" outlineLevel="0" collapsed="false">
      <c r="A1764" s="0" t="s">
        <v>2554</v>
      </c>
      <c r="B1764" s="0" t="s">
        <v>2520</v>
      </c>
      <c r="C1764" s="0" t="s">
        <v>31</v>
      </c>
      <c r="D1764" s="0" t="s">
        <v>16</v>
      </c>
      <c r="E1764" s="0" t="n">
        <v>39776.1</v>
      </c>
      <c r="F1764" s="0" t="n">
        <v>18</v>
      </c>
      <c r="G1764" s="0" t="str">
        <f aca="false">IF(F1764&lt;=30,"Current",IF(F1764&lt;=60,"31 to 60 days",IF(F1764&lt;=90,"61 to 90 days",IF(F1764&lt;=120,"91 to 120 days","Over 120 days"))))</f>
        <v>Current</v>
      </c>
      <c r="H1764" s="0" t="n">
        <f aca="false">VLOOKUP(D1764,Rates!$A$4:$B$7,2,FALSE())</f>
        <v>0.085</v>
      </c>
      <c r="I1764" s="0" t="n">
        <f aca="false">VLOOKUP(F1764,Rates!$D$4:$E$8,2)</f>
        <v>0.02</v>
      </c>
      <c r="J1764" s="0" t="n">
        <f aca="false">ROUND(E1764*I1764,2)</f>
        <v>795.52</v>
      </c>
      <c r="K1764" s="1" t="n">
        <f aca="false">PV(H1764/12,F1764/30,0,-E1764)</f>
        <v>39608.0036726279</v>
      </c>
      <c r="L1764" s="0" t="n">
        <f aca="false">ROUND(E1764-K1764,2)</f>
        <v>168.1</v>
      </c>
      <c r="M1764" s="0" t="n">
        <f aca="false">F1764/E1764</f>
        <v>0.000452533053768469</v>
      </c>
    </row>
    <row r="1765" customFormat="false" ht="12.8" hidden="false" customHeight="false" outlineLevel="0" collapsed="false">
      <c r="A1765" s="0" t="s">
        <v>2555</v>
      </c>
      <c r="B1765" s="0" t="s">
        <v>1174</v>
      </c>
      <c r="C1765" s="0" t="s">
        <v>15</v>
      </c>
      <c r="D1765" s="0" t="s">
        <v>49</v>
      </c>
      <c r="E1765" s="0" t="n">
        <v>37881</v>
      </c>
      <c r="F1765" s="0" t="n">
        <v>276</v>
      </c>
      <c r="G1765" s="0" t="str">
        <f aca="false">IF(F1765&lt;=30,"Current",IF(F1765&lt;=60,"31 to 60 days",IF(F1765&lt;=90,"61 to 90 days",IF(F1765&lt;=120,"91 to 120 days","Over 120 days"))))</f>
        <v>Over 120 days</v>
      </c>
      <c r="H1765" s="0" t="n">
        <f aca="false">VLOOKUP(D1765,Rates!$A$4:$B$7,2,FALSE())</f>
        <v>0.02</v>
      </c>
      <c r="I1765" s="0" t="n">
        <f aca="false">VLOOKUP(F1765,Rates!$D$4:$E$8,2)</f>
        <v>0.85</v>
      </c>
      <c r="J1765" s="0" t="n">
        <f aca="false">ROUND(E1765*I1765,2)</f>
        <v>32198.85</v>
      </c>
      <c r="K1765" s="1" t="n">
        <f aca="false">PV(H1765/12,F1765/30,0,-E1765)</f>
        <v>37305.064592388</v>
      </c>
      <c r="L1765" s="0" t="n">
        <f aca="false">ROUND(E1765-K1765,2)</f>
        <v>575.94</v>
      </c>
      <c r="M1765" s="0" t="n">
        <f aca="false">F1765/E1765</f>
        <v>0.00728597449908925</v>
      </c>
    </row>
    <row r="1766" customFormat="false" ht="12.8" hidden="false" customHeight="false" outlineLevel="0" collapsed="false">
      <c r="A1766" s="0" t="s">
        <v>2556</v>
      </c>
      <c r="B1766" s="0" t="s">
        <v>18</v>
      </c>
      <c r="C1766" s="0" t="s">
        <v>19</v>
      </c>
      <c r="D1766" s="0" t="s">
        <v>20</v>
      </c>
      <c r="E1766" s="0" t="n">
        <v>8665.53</v>
      </c>
      <c r="F1766" s="0" t="n">
        <v>127</v>
      </c>
      <c r="G1766" s="0" t="str">
        <f aca="false">IF(F1766&lt;=30,"Current",IF(F1766&lt;=60,"31 to 60 days",IF(F1766&lt;=90,"61 to 90 days",IF(F1766&lt;=120,"91 to 120 days","Over 120 days"))))</f>
        <v>Over 120 days</v>
      </c>
      <c r="H1766" s="0" t="n">
        <f aca="false">VLOOKUP(D1766,Rates!$A$4:$B$7,2,FALSE())</f>
        <v>0.05</v>
      </c>
      <c r="I1766" s="0" t="n">
        <f aca="false">VLOOKUP(F1766,Rates!$D$4:$E$8,2)</f>
        <v>0.85</v>
      </c>
      <c r="J1766" s="0" t="n">
        <f aca="false">ROUND(E1766*I1766,2)</f>
        <v>7365.7</v>
      </c>
      <c r="K1766" s="1" t="n">
        <f aca="false">PV(H1766/12,F1766/30,0,-E1766)</f>
        <v>8514.33185270461</v>
      </c>
      <c r="L1766" s="0" t="n">
        <f aca="false">ROUND(E1766-K1766,2)</f>
        <v>151.2</v>
      </c>
      <c r="M1766" s="0" t="n">
        <f aca="false">F1766/E1766</f>
        <v>0.0146557683142289</v>
      </c>
    </row>
    <row r="1767" customFormat="false" ht="12.8" hidden="false" customHeight="false" outlineLevel="0" collapsed="false">
      <c r="A1767" s="0" t="s">
        <v>2557</v>
      </c>
      <c r="B1767" s="0" t="s">
        <v>1584</v>
      </c>
      <c r="C1767" s="0" t="s">
        <v>19</v>
      </c>
      <c r="D1767" s="0" t="s">
        <v>16</v>
      </c>
      <c r="E1767" s="0" t="n">
        <v>4155.23</v>
      </c>
      <c r="F1767" s="0" t="n">
        <v>372</v>
      </c>
      <c r="G1767" s="0" t="str">
        <f aca="false">IF(F1767&lt;=30,"Current",IF(F1767&lt;=60,"31 to 60 days",IF(F1767&lt;=90,"61 to 90 days",IF(F1767&lt;=120,"91 to 120 days","Over 120 days"))))</f>
        <v>Over 120 days</v>
      </c>
      <c r="H1767" s="0" t="n">
        <f aca="false">VLOOKUP(D1767,Rates!$A$4:$B$7,2,FALSE())</f>
        <v>0.085</v>
      </c>
      <c r="I1767" s="0" t="n">
        <f aca="false">VLOOKUP(F1767,Rates!$D$4:$E$8,2)</f>
        <v>0.85</v>
      </c>
      <c r="J1767" s="0" t="n">
        <f aca="false">ROUND(E1767*I1767,2)</f>
        <v>3531.95</v>
      </c>
      <c r="K1767" s="1" t="n">
        <f aca="false">PV(H1767/12,F1767/30,0,-E1767)</f>
        <v>3807.00984572438</v>
      </c>
      <c r="L1767" s="0" t="n">
        <f aca="false">ROUND(E1767-K1767,2)</f>
        <v>348.22</v>
      </c>
      <c r="M1767" s="0" t="n">
        <f aca="false">F1767/E1767</f>
        <v>0.0895257302243197</v>
      </c>
    </row>
    <row r="1768" customFormat="false" ht="12.8" hidden="false" customHeight="false" outlineLevel="0" collapsed="false">
      <c r="A1768" s="0" t="s">
        <v>2558</v>
      </c>
      <c r="B1768" s="0" t="s">
        <v>2559</v>
      </c>
      <c r="C1768" s="0" t="s">
        <v>19</v>
      </c>
      <c r="D1768" s="0" t="s">
        <v>49</v>
      </c>
      <c r="E1768" s="0" t="n">
        <v>23189.57</v>
      </c>
      <c r="F1768" s="0" t="n">
        <v>307</v>
      </c>
      <c r="G1768" s="0" t="str">
        <f aca="false">IF(F1768&lt;=30,"Current",IF(F1768&lt;=60,"31 to 60 days",IF(F1768&lt;=90,"61 to 90 days",IF(F1768&lt;=120,"91 to 120 days","Over 120 days"))))</f>
        <v>Over 120 days</v>
      </c>
      <c r="H1768" s="0" t="n">
        <f aca="false">VLOOKUP(D1768,Rates!$A$4:$B$7,2,FALSE())</f>
        <v>0.02</v>
      </c>
      <c r="I1768" s="0" t="n">
        <f aca="false">VLOOKUP(F1768,Rates!$D$4:$E$8,2)</f>
        <v>0.85</v>
      </c>
      <c r="J1768" s="0" t="n">
        <f aca="false">ROUND(E1768*I1768,2)</f>
        <v>19711.13</v>
      </c>
      <c r="K1768" s="1" t="n">
        <f aca="false">PV(H1768/12,F1768/30,0,-E1768)</f>
        <v>22797.7363982965</v>
      </c>
      <c r="L1768" s="0" t="n">
        <f aca="false">ROUND(E1768-K1768,2)</f>
        <v>391.83</v>
      </c>
      <c r="M1768" s="0" t="n">
        <f aca="false">F1768/E1768</f>
        <v>0.0132387103339993</v>
      </c>
    </row>
    <row r="1769" customFormat="false" ht="12.8" hidden="false" customHeight="false" outlineLevel="0" collapsed="false">
      <c r="A1769" s="0" t="s">
        <v>2560</v>
      </c>
      <c r="B1769" s="0" t="s">
        <v>475</v>
      </c>
      <c r="C1769" s="0" t="s">
        <v>31</v>
      </c>
      <c r="D1769" s="0" t="s">
        <v>23</v>
      </c>
      <c r="E1769" s="0" t="n">
        <v>28295.44</v>
      </c>
      <c r="F1769" s="0" t="n">
        <v>47</v>
      </c>
      <c r="G1769" s="0" t="str">
        <f aca="false">IF(F1769&lt;=30,"Current",IF(F1769&lt;=60,"31 to 60 days",IF(F1769&lt;=90,"61 to 90 days",IF(F1769&lt;=120,"91 to 120 days","Over 120 days"))))</f>
        <v>31 to 60 days</v>
      </c>
      <c r="H1769" s="0" t="n">
        <f aca="false">VLOOKUP(D1769,Rates!$A$4:$B$7,2,FALSE())</f>
        <v>0.115</v>
      </c>
      <c r="I1769" s="0" t="n">
        <f aca="false">VLOOKUP(F1769,Rates!$D$4:$E$8,2)</f>
        <v>0.1</v>
      </c>
      <c r="J1769" s="0" t="n">
        <f aca="false">ROUND(E1769*I1769,2)</f>
        <v>2829.54</v>
      </c>
      <c r="K1769" s="1" t="n">
        <f aca="false">PV(H1769/12,F1769/30,0,-E1769)</f>
        <v>27875.7812763349</v>
      </c>
      <c r="L1769" s="0" t="n">
        <f aca="false">ROUND(E1769-K1769,2)</f>
        <v>419.66</v>
      </c>
      <c r="M1769" s="0" t="n">
        <f aca="false">F1769/E1769</f>
        <v>0.00166104503057737</v>
      </c>
    </row>
    <row r="1770" customFormat="false" ht="12.8" hidden="false" customHeight="false" outlineLevel="0" collapsed="false">
      <c r="A1770" s="0" t="s">
        <v>2561</v>
      </c>
      <c r="B1770" s="0" t="s">
        <v>2562</v>
      </c>
      <c r="C1770" s="0" t="s">
        <v>26</v>
      </c>
      <c r="D1770" s="0" t="s">
        <v>16</v>
      </c>
      <c r="E1770" s="0" t="n">
        <v>6205.77</v>
      </c>
      <c r="F1770" s="0" t="n">
        <v>154</v>
      </c>
      <c r="G1770" s="0" t="str">
        <f aca="false">IF(F1770&lt;=30,"Current",IF(F1770&lt;=60,"31 to 60 days",IF(F1770&lt;=90,"61 to 90 days",IF(F1770&lt;=120,"91 to 120 days","Over 120 days"))))</f>
        <v>Over 120 days</v>
      </c>
      <c r="H1770" s="0" t="n">
        <f aca="false">VLOOKUP(D1770,Rates!$A$4:$B$7,2,FALSE())</f>
        <v>0.085</v>
      </c>
      <c r="I1770" s="0" t="n">
        <f aca="false">VLOOKUP(F1770,Rates!$D$4:$E$8,2)</f>
        <v>0.85</v>
      </c>
      <c r="J1770" s="0" t="n">
        <f aca="false">ROUND(E1770*I1770,2)</f>
        <v>5274.9</v>
      </c>
      <c r="K1770" s="1" t="n">
        <f aca="false">PV(H1770/12,F1770/30,0,-E1770)</f>
        <v>5984.94151686748</v>
      </c>
      <c r="L1770" s="0" t="n">
        <f aca="false">ROUND(E1770-K1770,2)</f>
        <v>220.83</v>
      </c>
      <c r="M1770" s="0" t="n">
        <f aca="false">F1770/E1770</f>
        <v>0.02481561514526</v>
      </c>
    </row>
    <row r="1771" customFormat="false" ht="12.8" hidden="false" customHeight="false" outlineLevel="0" collapsed="false">
      <c r="A1771" s="0" t="s">
        <v>2563</v>
      </c>
      <c r="B1771" s="0" t="s">
        <v>2564</v>
      </c>
      <c r="C1771" s="0" t="s">
        <v>42</v>
      </c>
      <c r="D1771" s="0" t="s">
        <v>49</v>
      </c>
      <c r="E1771" s="0" t="n">
        <v>21783.31</v>
      </c>
      <c r="F1771" s="0" t="n">
        <v>185</v>
      </c>
      <c r="G1771" s="0" t="str">
        <f aca="false">IF(F1771&lt;=30,"Current",IF(F1771&lt;=60,"31 to 60 days",IF(F1771&lt;=90,"61 to 90 days",IF(F1771&lt;=120,"91 to 120 days","Over 120 days"))))</f>
        <v>Over 120 days</v>
      </c>
      <c r="H1771" s="0" t="n">
        <f aca="false">VLOOKUP(D1771,Rates!$A$4:$B$7,2,FALSE())</f>
        <v>0.02</v>
      </c>
      <c r="I1771" s="0" t="n">
        <f aca="false">VLOOKUP(F1771,Rates!$D$4:$E$8,2)</f>
        <v>0.85</v>
      </c>
      <c r="J1771" s="0" t="n">
        <f aca="false">ROUND(E1771*I1771,2)</f>
        <v>18515.81</v>
      </c>
      <c r="K1771" s="1" t="n">
        <f aca="false">PV(H1771/12,F1771/30,0,-E1771)</f>
        <v>21560.757022359</v>
      </c>
      <c r="L1771" s="0" t="n">
        <f aca="false">ROUND(E1771-K1771,2)</f>
        <v>222.55</v>
      </c>
      <c r="M1771" s="0" t="n">
        <f aca="false">F1771/E1771</f>
        <v>0.00849274054310387</v>
      </c>
    </row>
    <row r="1772" customFormat="false" ht="12.8" hidden="false" customHeight="false" outlineLevel="0" collapsed="false">
      <c r="A1772" s="0" t="s">
        <v>2565</v>
      </c>
      <c r="B1772" s="0" t="s">
        <v>97</v>
      </c>
      <c r="C1772" s="0" t="s">
        <v>42</v>
      </c>
      <c r="D1772" s="0" t="s">
        <v>20</v>
      </c>
      <c r="E1772" s="0" t="n">
        <v>8499.46</v>
      </c>
      <c r="F1772" s="0" t="n">
        <v>6</v>
      </c>
      <c r="G1772" s="0" t="str">
        <f aca="false">IF(F1772&lt;=30,"Current",IF(F1772&lt;=60,"31 to 60 days",IF(F1772&lt;=90,"61 to 90 days",IF(F1772&lt;=120,"91 to 120 days","Over 120 days"))))</f>
        <v>Current</v>
      </c>
      <c r="H1772" s="0" t="n">
        <f aca="false">VLOOKUP(D1772,Rates!$A$4:$B$7,2,FALSE())</f>
        <v>0.05</v>
      </c>
      <c r="I1772" s="0" t="n">
        <f aca="false">VLOOKUP(F1772,Rates!$D$4:$E$8,2)</f>
        <v>0.02</v>
      </c>
      <c r="J1772" s="0" t="n">
        <f aca="false">ROUND(E1772*I1772,2)</f>
        <v>169.99</v>
      </c>
      <c r="K1772" s="1" t="n">
        <f aca="false">PV(H1772/12,F1772/30,0,-E1772)</f>
        <v>8492.39476994936</v>
      </c>
      <c r="L1772" s="0" t="n">
        <f aca="false">ROUND(E1772-K1772,2)</f>
        <v>7.07</v>
      </c>
      <c r="M1772" s="0" t="n">
        <f aca="false">F1772/E1772</f>
        <v>0.000705927200080946</v>
      </c>
    </row>
    <row r="1773" customFormat="false" ht="12.8" hidden="false" customHeight="false" outlineLevel="0" collapsed="false">
      <c r="A1773" s="0" t="s">
        <v>2566</v>
      </c>
      <c r="B1773" s="0" t="s">
        <v>18</v>
      </c>
      <c r="C1773" s="0" t="s">
        <v>19</v>
      </c>
      <c r="D1773" s="0" t="s">
        <v>20</v>
      </c>
      <c r="E1773" s="0" t="n">
        <v>31731.45</v>
      </c>
      <c r="F1773" s="0" t="n">
        <v>373</v>
      </c>
      <c r="G1773" s="0" t="str">
        <f aca="false">IF(F1773&lt;=30,"Current",IF(F1773&lt;=60,"31 to 60 days",IF(F1773&lt;=90,"61 to 90 days",IF(F1773&lt;=120,"91 to 120 days","Over 120 days"))))</f>
        <v>Over 120 days</v>
      </c>
      <c r="H1773" s="0" t="n">
        <f aca="false">VLOOKUP(D1773,Rates!$A$4:$B$7,2,FALSE())</f>
        <v>0.05</v>
      </c>
      <c r="I1773" s="0" t="n">
        <f aca="false">VLOOKUP(F1773,Rates!$D$4:$E$8,2)</f>
        <v>0.85</v>
      </c>
      <c r="J1773" s="0" t="n">
        <f aca="false">ROUND(E1773*I1773,2)</f>
        <v>26971.73</v>
      </c>
      <c r="K1773" s="1" t="n">
        <f aca="false">PV(H1773/12,F1773/30,0,-E1773)</f>
        <v>30132.6823915629</v>
      </c>
      <c r="L1773" s="0" t="n">
        <f aca="false">ROUND(E1773-K1773,2)</f>
        <v>1598.77</v>
      </c>
      <c r="M1773" s="0" t="n">
        <f aca="false">F1773/E1773</f>
        <v>0.0117548993191298</v>
      </c>
    </row>
    <row r="1774" customFormat="false" ht="12.8" hidden="false" customHeight="false" outlineLevel="0" collapsed="false">
      <c r="A1774" s="0" t="s">
        <v>2567</v>
      </c>
      <c r="B1774" s="0" t="s">
        <v>1799</v>
      </c>
      <c r="C1774" s="0" t="s">
        <v>36</v>
      </c>
      <c r="D1774" s="0" t="s">
        <v>49</v>
      </c>
      <c r="E1774" s="0" t="n">
        <v>9856.84</v>
      </c>
      <c r="F1774" s="0" t="n">
        <v>168</v>
      </c>
      <c r="G1774" s="0" t="str">
        <f aca="false">IF(F1774&lt;=30,"Current",IF(F1774&lt;=60,"31 to 60 days",IF(F1774&lt;=90,"61 to 90 days",IF(F1774&lt;=120,"91 to 120 days","Over 120 days"))))</f>
        <v>Over 120 days</v>
      </c>
      <c r="H1774" s="0" t="n">
        <f aca="false">VLOOKUP(D1774,Rates!$A$4:$B$7,2,FALSE())</f>
        <v>0.02</v>
      </c>
      <c r="I1774" s="0" t="n">
        <f aca="false">VLOOKUP(F1774,Rates!$D$4:$E$8,2)</f>
        <v>0.85</v>
      </c>
      <c r="J1774" s="0" t="n">
        <f aca="false">ROUND(E1774*I1774,2)</f>
        <v>8378.31</v>
      </c>
      <c r="K1774" s="1" t="n">
        <f aca="false">PV(H1774/12,F1774/30,0,-E1774)</f>
        <v>9765.34668237213</v>
      </c>
      <c r="L1774" s="0" t="n">
        <f aca="false">ROUND(E1774-K1774,2)</f>
        <v>91.49</v>
      </c>
      <c r="M1774" s="0" t="n">
        <f aca="false">F1774/E1774</f>
        <v>0.0170440019316536</v>
      </c>
    </row>
    <row r="1775" customFormat="false" ht="12.8" hidden="false" customHeight="false" outlineLevel="0" collapsed="false">
      <c r="A1775" s="0" t="s">
        <v>2568</v>
      </c>
      <c r="B1775" s="0" t="s">
        <v>375</v>
      </c>
      <c r="C1775" s="0" t="s">
        <v>42</v>
      </c>
      <c r="D1775" s="0" t="s">
        <v>23</v>
      </c>
      <c r="E1775" s="0" t="n">
        <v>10791.67</v>
      </c>
      <c r="F1775" s="0" t="n">
        <v>203</v>
      </c>
      <c r="G1775" s="0" t="str">
        <f aca="false">IF(F1775&lt;=30,"Current",IF(F1775&lt;=60,"31 to 60 days",IF(F1775&lt;=90,"61 to 90 days",IF(F1775&lt;=120,"91 to 120 days","Over 120 days"))))</f>
        <v>Over 120 days</v>
      </c>
      <c r="H1775" s="0" t="n">
        <f aca="false">VLOOKUP(D1775,Rates!$A$4:$B$7,2,FALSE())</f>
        <v>0.115</v>
      </c>
      <c r="I1775" s="0" t="n">
        <f aca="false">VLOOKUP(F1775,Rates!$D$4:$E$8,2)</f>
        <v>0.85</v>
      </c>
      <c r="J1775" s="0" t="n">
        <f aca="false">ROUND(E1775*I1775,2)</f>
        <v>9172.92</v>
      </c>
      <c r="K1775" s="1" t="n">
        <f aca="false">PV(H1775/12,F1775/30,0,-E1775)</f>
        <v>10117.1911728755</v>
      </c>
      <c r="L1775" s="0" t="n">
        <f aca="false">ROUND(E1775-K1775,2)</f>
        <v>674.48</v>
      </c>
      <c r="M1775" s="0" t="n">
        <f aca="false">F1775/E1775</f>
        <v>0.0188108050005236</v>
      </c>
    </row>
    <row r="1776" customFormat="false" ht="12.8" hidden="false" customHeight="false" outlineLevel="0" collapsed="false">
      <c r="A1776" s="0" t="s">
        <v>2569</v>
      </c>
      <c r="B1776" s="0" t="s">
        <v>2570</v>
      </c>
      <c r="C1776" s="0" t="s">
        <v>26</v>
      </c>
      <c r="D1776" s="0" t="s">
        <v>16</v>
      </c>
      <c r="E1776" s="0" t="n">
        <v>4037.95</v>
      </c>
      <c r="F1776" s="0" t="n">
        <v>348</v>
      </c>
      <c r="G1776" s="0" t="str">
        <f aca="false">IF(F1776&lt;=30,"Current",IF(F1776&lt;=60,"31 to 60 days",IF(F1776&lt;=90,"61 to 90 days",IF(F1776&lt;=120,"91 to 120 days","Over 120 days"))))</f>
        <v>Over 120 days</v>
      </c>
      <c r="H1776" s="0" t="n">
        <f aca="false">VLOOKUP(D1776,Rates!$A$4:$B$7,2,FALSE())</f>
        <v>0.085</v>
      </c>
      <c r="I1776" s="0" t="n">
        <f aca="false">VLOOKUP(F1776,Rates!$D$4:$E$8,2)</f>
        <v>0.85</v>
      </c>
      <c r="J1776" s="0" t="n">
        <f aca="false">ROUND(E1776*I1776,2)</f>
        <v>3432.26</v>
      </c>
      <c r="K1776" s="1" t="n">
        <f aca="false">PV(H1776/12,F1776/30,0,-E1776)</f>
        <v>3720.50760072482</v>
      </c>
      <c r="L1776" s="0" t="n">
        <f aca="false">ROUND(E1776-K1776,2)</f>
        <v>317.44</v>
      </c>
      <c r="M1776" s="0" t="n">
        <f aca="false">F1776/E1776</f>
        <v>0.0861823450017955</v>
      </c>
    </row>
    <row r="1777" customFormat="false" ht="12.8" hidden="false" customHeight="false" outlineLevel="0" collapsed="false">
      <c r="A1777" s="0" t="s">
        <v>2571</v>
      </c>
      <c r="B1777" s="0" t="s">
        <v>2085</v>
      </c>
      <c r="C1777" s="0" t="s">
        <v>15</v>
      </c>
      <c r="D1777" s="0" t="s">
        <v>49</v>
      </c>
      <c r="E1777" s="0" t="n">
        <v>24415.86</v>
      </c>
      <c r="F1777" s="0" t="n">
        <v>385</v>
      </c>
      <c r="G1777" s="0" t="str">
        <f aca="false">IF(F1777&lt;=30,"Current",IF(F1777&lt;=60,"31 to 60 days",IF(F1777&lt;=90,"61 to 90 days",IF(F1777&lt;=120,"91 to 120 days","Over 120 days"))))</f>
        <v>Over 120 days</v>
      </c>
      <c r="H1777" s="0" t="n">
        <f aca="false">VLOOKUP(D1777,Rates!$A$4:$B$7,2,FALSE())</f>
        <v>0.02</v>
      </c>
      <c r="I1777" s="0" t="n">
        <f aca="false">VLOOKUP(F1777,Rates!$D$4:$E$8,2)</f>
        <v>0.85</v>
      </c>
      <c r="J1777" s="0" t="n">
        <f aca="false">ROUND(E1777*I1777,2)</f>
        <v>20753.48</v>
      </c>
      <c r="K1777" s="1" t="n">
        <f aca="false">PV(H1777/12,F1777/30,0,-E1777)</f>
        <v>23899.6027281466</v>
      </c>
      <c r="L1777" s="0" t="n">
        <f aca="false">ROUND(E1777-K1777,2)</f>
        <v>516.26</v>
      </c>
      <c r="M1777" s="0" t="n">
        <f aca="false">F1777/E1777</f>
        <v>0.0157684390392147</v>
      </c>
    </row>
    <row r="1778" customFormat="false" ht="12.8" hidden="false" customHeight="false" outlineLevel="0" collapsed="false">
      <c r="A1778" s="0" t="s">
        <v>2572</v>
      </c>
      <c r="B1778" s="0" t="s">
        <v>2573</v>
      </c>
      <c r="C1778" s="0" t="s">
        <v>36</v>
      </c>
      <c r="D1778" s="0" t="s">
        <v>16</v>
      </c>
      <c r="E1778" s="0" t="n">
        <v>9842.16</v>
      </c>
      <c r="F1778" s="0" t="n">
        <v>8</v>
      </c>
      <c r="G1778" s="0" t="str">
        <f aca="false">IF(F1778&lt;=30,"Current",IF(F1778&lt;=60,"31 to 60 days",IF(F1778&lt;=90,"61 to 90 days",IF(F1778&lt;=120,"91 to 120 days","Over 120 days"))))</f>
        <v>Current</v>
      </c>
      <c r="H1778" s="0" t="n">
        <f aca="false">VLOOKUP(D1778,Rates!$A$4:$B$7,2,FALSE())</f>
        <v>0.085</v>
      </c>
      <c r="I1778" s="0" t="n">
        <f aca="false">VLOOKUP(F1778,Rates!$D$4:$E$8,2)</f>
        <v>0.02</v>
      </c>
      <c r="J1778" s="0" t="n">
        <f aca="false">ROUND(E1778*I1778,2)</f>
        <v>196.84</v>
      </c>
      <c r="K1778" s="1" t="n">
        <f aca="false">PV(H1778/12,F1778/30,0,-E1778)</f>
        <v>9823.65220970972</v>
      </c>
      <c r="L1778" s="0" t="n">
        <f aca="false">ROUND(E1778-K1778,2)</f>
        <v>18.51</v>
      </c>
      <c r="M1778" s="0" t="n">
        <f aca="false">F1778/E1778</f>
        <v>0.000812829704048705</v>
      </c>
    </row>
    <row r="1779" customFormat="false" ht="12.8" hidden="false" customHeight="false" outlineLevel="0" collapsed="false">
      <c r="A1779" s="0" t="s">
        <v>2574</v>
      </c>
      <c r="B1779" s="0" t="s">
        <v>2575</v>
      </c>
      <c r="C1779" s="0" t="s">
        <v>36</v>
      </c>
      <c r="D1779" s="0" t="s">
        <v>49</v>
      </c>
      <c r="E1779" s="0" t="n">
        <v>17572.41</v>
      </c>
      <c r="F1779" s="0" t="n">
        <v>103</v>
      </c>
      <c r="G1779" s="0" t="str">
        <f aca="false">IF(F1779&lt;=30,"Current",IF(F1779&lt;=60,"31 to 60 days",IF(F1779&lt;=90,"61 to 90 days",IF(F1779&lt;=120,"91 to 120 days","Over 120 days"))))</f>
        <v>91 to 120 days</v>
      </c>
      <c r="H1779" s="0" t="n">
        <f aca="false">VLOOKUP(D1779,Rates!$A$4:$B$7,2,FALSE())</f>
        <v>0.02</v>
      </c>
      <c r="I1779" s="0" t="n">
        <f aca="false">VLOOKUP(F1779,Rates!$D$4:$E$8,2)</f>
        <v>0.5</v>
      </c>
      <c r="J1779" s="0" t="n">
        <f aca="false">ROUND(E1779*I1779,2)</f>
        <v>8786.21</v>
      </c>
      <c r="K1779" s="1" t="n">
        <f aca="false">PV(H1779/12,F1779/30,0,-E1779)</f>
        <v>17472.2271349944</v>
      </c>
      <c r="L1779" s="0" t="n">
        <f aca="false">ROUND(E1779-K1779,2)</f>
        <v>100.18</v>
      </c>
      <c r="M1779" s="0" t="n">
        <f aca="false">F1779/E1779</f>
        <v>0.0058614612338319</v>
      </c>
    </row>
    <row r="1780" customFormat="false" ht="12.8" hidden="false" customHeight="false" outlineLevel="0" collapsed="false">
      <c r="A1780" s="0" t="s">
        <v>2576</v>
      </c>
      <c r="B1780" s="0" t="s">
        <v>2577</v>
      </c>
      <c r="C1780" s="0" t="s">
        <v>15</v>
      </c>
      <c r="D1780" s="0" t="s">
        <v>16</v>
      </c>
      <c r="E1780" s="0" t="n">
        <v>2319.49</v>
      </c>
      <c r="F1780" s="0" t="n">
        <v>75</v>
      </c>
      <c r="G1780" s="0" t="str">
        <f aca="false">IF(F1780&lt;=30,"Current",IF(F1780&lt;=60,"31 to 60 days",IF(F1780&lt;=90,"61 to 90 days",IF(F1780&lt;=120,"91 to 120 days","Over 120 days"))))</f>
        <v>61 to 90 days</v>
      </c>
      <c r="H1780" s="0" t="n">
        <f aca="false">VLOOKUP(D1780,Rates!$A$4:$B$7,2,FALSE())</f>
        <v>0.085</v>
      </c>
      <c r="I1780" s="0" t="n">
        <f aca="false">VLOOKUP(F1780,Rates!$D$4:$E$8,2)</f>
        <v>0.25</v>
      </c>
      <c r="J1780" s="0" t="n">
        <f aca="false">ROUND(E1780*I1780,2)</f>
        <v>579.87</v>
      </c>
      <c r="K1780" s="1" t="n">
        <f aca="false">PV(H1780/12,F1780/30,0,-E1780)</f>
        <v>2278.91949060618</v>
      </c>
      <c r="L1780" s="0" t="n">
        <f aca="false">ROUND(E1780-K1780,2)</f>
        <v>40.57</v>
      </c>
      <c r="M1780" s="0" t="n">
        <f aca="false">F1780/E1780</f>
        <v>0.0323346942646875</v>
      </c>
    </row>
    <row r="1781" customFormat="false" ht="12.8" hidden="false" customHeight="false" outlineLevel="0" collapsed="false">
      <c r="A1781" s="0" t="s">
        <v>2578</v>
      </c>
      <c r="B1781" s="0" t="s">
        <v>18</v>
      </c>
      <c r="C1781" s="0" t="s">
        <v>19</v>
      </c>
      <c r="D1781" s="0" t="s">
        <v>20</v>
      </c>
      <c r="E1781" s="0" t="n">
        <v>11366.87</v>
      </c>
      <c r="F1781" s="0" t="n">
        <v>213</v>
      </c>
      <c r="G1781" s="0" t="str">
        <f aca="false">IF(F1781&lt;=30,"Current",IF(F1781&lt;=60,"31 to 60 days",IF(F1781&lt;=90,"61 to 90 days",IF(F1781&lt;=120,"91 to 120 days","Over 120 days"))))</f>
        <v>Over 120 days</v>
      </c>
      <c r="H1781" s="0" t="n">
        <f aca="false">VLOOKUP(D1781,Rates!$A$4:$B$7,2,FALSE())</f>
        <v>0.05</v>
      </c>
      <c r="I1781" s="0" t="n">
        <f aca="false">VLOOKUP(F1781,Rates!$D$4:$E$8,2)</f>
        <v>0.85</v>
      </c>
      <c r="J1781" s="0" t="n">
        <f aca="false">ROUND(E1781*I1781,2)</f>
        <v>9661.84</v>
      </c>
      <c r="K1781" s="1" t="n">
        <f aca="false">PV(H1781/12,F1781/30,0,-E1781)</f>
        <v>11036.2036780341</v>
      </c>
      <c r="L1781" s="0" t="n">
        <f aca="false">ROUND(E1781-K1781,2)</f>
        <v>330.67</v>
      </c>
      <c r="M1781" s="0" t="n">
        <f aca="false">F1781/E1781</f>
        <v>0.0187386677247123</v>
      </c>
    </row>
    <row r="1782" customFormat="false" ht="12.8" hidden="false" customHeight="false" outlineLevel="0" collapsed="false">
      <c r="A1782" s="0" t="s">
        <v>2579</v>
      </c>
      <c r="B1782" s="0" t="s">
        <v>422</v>
      </c>
      <c r="C1782" s="0" t="s">
        <v>26</v>
      </c>
      <c r="D1782" s="0" t="s">
        <v>16</v>
      </c>
      <c r="E1782" s="0" t="n">
        <v>24253.63</v>
      </c>
      <c r="F1782" s="0" t="n">
        <v>350</v>
      </c>
      <c r="G1782" s="0" t="str">
        <f aca="false">IF(F1782&lt;=30,"Current",IF(F1782&lt;=60,"31 to 60 days",IF(F1782&lt;=90,"61 to 90 days",IF(F1782&lt;=120,"91 to 120 days","Over 120 days"))))</f>
        <v>Over 120 days</v>
      </c>
      <c r="H1782" s="0" t="n">
        <f aca="false">VLOOKUP(D1782,Rates!$A$4:$B$7,2,FALSE())</f>
        <v>0.085</v>
      </c>
      <c r="I1782" s="0" t="n">
        <f aca="false">VLOOKUP(F1782,Rates!$D$4:$E$8,2)</f>
        <v>0.85</v>
      </c>
      <c r="J1782" s="0" t="n">
        <f aca="false">ROUND(E1782*I1782,2)</f>
        <v>20615.59</v>
      </c>
      <c r="K1782" s="1" t="n">
        <f aca="false">PV(H1782/12,F1782/30,0,-E1782)</f>
        <v>22336.4240761207</v>
      </c>
      <c r="L1782" s="0" t="n">
        <f aca="false">ROUND(E1782-K1782,2)</f>
        <v>1917.21</v>
      </c>
      <c r="M1782" s="0" t="n">
        <f aca="false">F1782/E1782</f>
        <v>0.0144308295294354</v>
      </c>
    </row>
    <row r="1783" customFormat="false" ht="12.8" hidden="false" customHeight="false" outlineLevel="0" collapsed="false">
      <c r="A1783" s="0" t="s">
        <v>2580</v>
      </c>
      <c r="B1783" s="0" t="s">
        <v>30</v>
      </c>
      <c r="C1783" s="0" t="s">
        <v>31</v>
      </c>
      <c r="D1783" s="0" t="s">
        <v>20</v>
      </c>
      <c r="E1783" s="0" t="n">
        <v>10483.3</v>
      </c>
      <c r="F1783" s="0" t="n">
        <v>271</v>
      </c>
      <c r="G1783" s="0" t="str">
        <f aca="false">IF(F1783&lt;=30,"Current",IF(F1783&lt;=60,"31 to 60 days",IF(F1783&lt;=90,"61 to 90 days",IF(F1783&lt;=120,"91 to 120 days","Over 120 days"))))</f>
        <v>Over 120 days</v>
      </c>
      <c r="H1783" s="0" t="n">
        <f aca="false">VLOOKUP(D1783,Rates!$A$4:$B$7,2,FALSE())</f>
        <v>0.05</v>
      </c>
      <c r="I1783" s="0" t="n">
        <f aca="false">VLOOKUP(F1783,Rates!$D$4:$E$8,2)</f>
        <v>0.85</v>
      </c>
      <c r="J1783" s="0" t="n">
        <f aca="false">ROUND(E1783*I1783,2)</f>
        <v>8910.81</v>
      </c>
      <c r="K1783" s="1" t="n">
        <f aca="false">PV(H1783/12,F1783/30,0,-E1783)</f>
        <v>10096.8432263562</v>
      </c>
      <c r="L1783" s="0" t="n">
        <f aca="false">ROUND(E1783-K1783,2)</f>
        <v>386.46</v>
      </c>
      <c r="M1783" s="0" t="n">
        <f aca="false">F1783/E1783</f>
        <v>0.025850638634781</v>
      </c>
    </row>
    <row r="1784" customFormat="false" ht="12.8" hidden="false" customHeight="false" outlineLevel="0" collapsed="false">
      <c r="A1784" s="0" t="s">
        <v>2581</v>
      </c>
      <c r="B1784" s="0" t="s">
        <v>2582</v>
      </c>
      <c r="C1784" s="0" t="s">
        <v>31</v>
      </c>
      <c r="D1784" s="0" t="s">
        <v>16</v>
      </c>
      <c r="E1784" s="0" t="n">
        <v>21564.64</v>
      </c>
      <c r="F1784" s="0" t="n">
        <v>18</v>
      </c>
      <c r="G1784" s="0" t="str">
        <f aca="false">IF(F1784&lt;=30,"Current",IF(F1784&lt;=60,"31 to 60 days",IF(F1784&lt;=90,"61 to 90 days",IF(F1784&lt;=120,"91 to 120 days","Over 120 days"))))</f>
        <v>Current</v>
      </c>
      <c r="H1784" s="0" t="n">
        <f aca="false">VLOOKUP(D1784,Rates!$A$4:$B$7,2,FALSE())</f>
        <v>0.085</v>
      </c>
      <c r="I1784" s="0" t="n">
        <f aca="false">VLOOKUP(F1784,Rates!$D$4:$E$8,2)</f>
        <v>0.02</v>
      </c>
      <c r="J1784" s="0" t="n">
        <f aca="false">ROUND(E1784*I1784,2)</f>
        <v>431.29</v>
      </c>
      <c r="K1784" s="1" t="n">
        <f aca="false">PV(H1784/12,F1784/30,0,-E1784)</f>
        <v>21473.5064603845</v>
      </c>
      <c r="L1784" s="0" t="n">
        <f aca="false">ROUND(E1784-K1784,2)</f>
        <v>91.13</v>
      </c>
      <c r="M1784" s="0" t="n">
        <f aca="false">F1784/E1784</f>
        <v>0.000834699767767976</v>
      </c>
    </row>
    <row r="1785" customFormat="false" ht="12.8" hidden="false" customHeight="false" outlineLevel="0" collapsed="false">
      <c r="A1785" s="0" t="s">
        <v>2583</v>
      </c>
      <c r="B1785" s="0" t="s">
        <v>33</v>
      </c>
      <c r="C1785" s="0" t="s">
        <v>26</v>
      </c>
      <c r="D1785" s="0" t="s">
        <v>20</v>
      </c>
      <c r="E1785" s="0" t="n">
        <v>14519.05</v>
      </c>
      <c r="F1785" s="0" t="n">
        <v>303</v>
      </c>
      <c r="G1785" s="0" t="str">
        <f aca="false">IF(F1785&lt;=30,"Current",IF(F1785&lt;=60,"31 to 60 days",IF(F1785&lt;=90,"61 to 90 days",IF(F1785&lt;=120,"91 to 120 days","Over 120 days"))))</f>
        <v>Over 120 days</v>
      </c>
      <c r="H1785" s="0" t="n">
        <f aca="false">VLOOKUP(D1785,Rates!$A$4:$B$7,2,FALSE())</f>
        <v>0.05</v>
      </c>
      <c r="I1785" s="0" t="n">
        <f aca="false">VLOOKUP(F1785,Rates!$D$4:$E$8,2)</f>
        <v>0.85</v>
      </c>
      <c r="J1785" s="0" t="n">
        <f aca="false">ROUND(E1785*I1785,2)</f>
        <v>12341.19</v>
      </c>
      <c r="K1785" s="1" t="n">
        <f aca="false">PV(H1785/12,F1785/30,0,-E1785)</f>
        <v>13921.9353326132</v>
      </c>
      <c r="L1785" s="0" t="n">
        <f aca="false">ROUND(E1785-K1785,2)</f>
        <v>597.11</v>
      </c>
      <c r="M1785" s="0" t="n">
        <f aca="false">F1785/E1785</f>
        <v>0.020869133999814</v>
      </c>
    </row>
    <row r="1786" customFormat="false" ht="12.8" hidden="false" customHeight="false" outlineLevel="0" collapsed="false">
      <c r="A1786" s="0" t="s">
        <v>2584</v>
      </c>
      <c r="B1786" s="0" t="s">
        <v>1007</v>
      </c>
      <c r="C1786" s="0" t="s">
        <v>19</v>
      </c>
      <c r="D1786" s="0" t="s">
        <v>23</v>
      </c>
      <c r="E1786" s="0" t="n">
        <v>17593.23</v>
      </c>
      <c r="F1786" s="0" t="n">
        <v>37</v>
      </c>
      <c r="G1786" s="0" t="str">
        <f aca="false">IF(F1786&lt;=30,"Current",IF(F1786&lt;=60,"31 to 60 days",IF(F1786&lt;=90,"61 to 90 days",IF(F1786&lt;=120,"91 to 120 days","Over 120 days"))))</f>
        <v>31 to 60 days</v>
      </c>
      <c r="H1786" s="0" t="n">
        <f aca="false">VLOOKUP(D1786,Rates!$A$4:$B$7,2,FALSE())</f>
        <v>0.115</v>
      </c>
      <c r="I1786" s="0" t="n">
        <f aca="false">VLOOKUP(F1786,Rates!$D$4:$E$8,2)</f>
        <v>0.1</v>
      </c>
      <c r="J1786" s="0" t="n">
        <f aca="false">ROUND(E1786*I1786,2)</f>
        <v>1759.32</v>
      </c>
      <c r="K1786" s="1" t="n">
        <f aca="false">PV(H1786/12,F1786/30,0,-E1786)</f>
        <v>17387.4903124542</v>
      </c>
      <c r="L1786" s="0" t="n">
        <f aca="false">ROUND(E1786-K1786,2)</f>
        <v>205.74</v>
      </c>
      <c r="M1786" s="0" t="n">
        <f aca="false">F1786/E1786</f>
        <v>0.00210308169676631</v>
      </c>
    </row>
    <row r="1787" customFormat="false" ht="12.8" hidden="false" customHeight="false" outlineLevel="0" collapsed="false">
      <c r="A1787" s="0" t="s">
        <v>2585</v>
      </c>
      <c r="B1787" s="0" t="s">
        <v>18</v>
      </c>
      <c r="C1787" s="0" t="s">
        <v>19</v>
      </c>
      <c r="D1787" s="0" t="s">
        <v>20</v>
      </c>
      <c r="E1787" s="0" t="n">
        <v>13463.17</v>
      </c>
      <c r="F1787" s="0" t="n">
        <v>277</v>
      </c>
      <c r="G1787" s="0" t="str">
        <f aca="false">IF(F1787&lt;=30,"Current",IF(F1787&lt;=60,"31 to 60 days",IF(F1787&lt;=90,"61 to 90 days",IF(F1787&lt;=120,"91 to 120 days","Over 120 days"))))</f>
        <v>Over 120 days</v>
      </c>
      <c r="H1787" s="0" t="n">
        <f aca="false">VLOOKUP(D1787,Rates!$A$4:$B$7,2,FALSE())</f>
        <v>0.05</v>
      </c>
      <c r="I1787" s="0" t="n">
        <f aca="false">VLOOKUP(F1787,Rates!$D$4:$E$8,2)</f>
        <v>0.85</v>
      </c>
      <c r="J1787" s="0" t="n">
        <f aca="false">ROUND(E1787*I1787,2)</f>
        <v>11443.69</v>
      </c>
      <c r="K1787" s="1" t="n">
        <f aca="false">PV(H1787/12,F1787/30,0,-E1787)</f>
        <v>12956.0843969904</v>
      </c>
      <c r="L1787" s="0" t="n">
        <f aca="false">ROUND(E1787-K1787,2)</f>
        <v>507.09</v>
      </c>
      <c r="M1787" s="0" t="n">
        <f aca="false">F1787/E1787</f>
        <v>0.0205746492096586</v>
      </c>
    </row>
    <row r="1788" customFormat="false" ht="12.8" hidden="false" customHeight="false" outlineLevel="0" collapsed="false">
      <c r="A1788" s="0" t="s">
        <v>2586</v>
      </c>
      <c r="B1788" s="0" t="s">
        <v>2587</v>
      </c>
      <c r="C1788" s="0" t="s">
        <v>15</v>
      </c>
      <c r="D1788" s="0" t="s">
        <v>49</v>
      </c>
      <c r="E1788" s="0" t="n">
        <v>0</v>
      </c>
      <c r="F1788" s="0" t="n">
        <v>361</v>
      </c>
      <c r="G1788" s="0" t="str">
        <f aca="false">IF(F1788&lt;=30,"Current",IF(F1788&lt;=60,"31 to 60 days",IF(F1788&lt;=90,"61 to 90 days",IF(F1788&lt;=120,"91 to 120 days","Over 120 days"))))</f>
        <v>Over 120 days</v>
      </c>
      <c r="H1788" s="0" t="n">
        <f aca="false">VLOOKUP(D1788,Rates!$A$4:$B$7,2,FALSE())</f>
        <v>0.02</v>
      </c>
      <c r="I1788" s="0" t="n">
        <f aca="false">VLOOKUP(F1788,Rates!$D$4:$E$8,2)</f>
        <v>0.85</v>
      </c>
      <c r="J1788" s="0" t="n">
        <f aca="false">ROUND(E1788*I1788,2)</f>
        <v>0</v>
      </c>
      <c r="K1788" s="1" t="n">
        <f aca="false">PV(H1788/12,F1788/30,0,-E1788)</f>
        <v>-0</v>
      </c>
      <c r="L1788" s="0" t="n">
        <f aca="false">ROUND(E1788-K1788,2)</f>
        <v>0</v>
      </c>
      <c r="M1788" s="0" t="e">
        <f aca="false">F1788/E1788</f>
        <v>#DIV/0!</v>
      </c>
    </row>
    <row r="1789" customFormat="false" ht="12.8" hidden="false" customHeight="false" outlineLevel="0" collapsed="false">
      <c r="A1789" s="0" t="s">
        <v>2588</v>
      </c>
      <c r="B1789" s="0" t="s">
        <v>239</v>
      </c>
      <c r="C1789" s="0" t="s">
        <v>42</v>
      </c>
      <c r="D1789" s="0" t="s">
        <v>23</v>
      </c>
      <c r="E1789" s="0" t="n">
        <v>12445.44</v>
      </c>
      <c r="F1789" s="0" t="n">
        <v>351</v>
      </c>
      <c r="G1789" s="0" t="str">
        <f aca="false">IF(F1789&lt;=30,"Current",IF(F1789&lt;=60,"31 to 60 days",IF(F1789&lt;=90,"61 to 90 days",IF(F1789&lt;=120,"91 to 120 days","Over 120 days"))))</f>
        <v>Over 120 days</v>
      </c>
      <c r="H1789" s="0" t="n">
        <f aca="false">VLOOKUP(D1789,Rates!$A$4:$B$7,2,FALSE())</f>
        <v>0.115</v>
      </c>
      <c r="I1789" s="0" t="n">
        <f aca="false">VLOOKUP(F1789,Rates!$D$4:$E$8,2)</f>
        <v>0.85</v>
      </c>
      <c r="J1789" s="0" t="n">
        <f aca="false">ROUND(E1789*I1789,2)</f>
        <v>10578.62</v>
      </c>
      <c r="K1789" s="1" t="n">
        <f aca="false">PV(H1789/12,F1789/30,0,-E1789)</f>
        <v>11131.3243601317</v>
      </c>
      <c r="L1789" s="0" t="n">
        <f aca="false">ROUND(E1789-K1789,2)</f>
        <v>1314.12</v>
      </c>
      <c r="M1789" s="0" t="n">
        <f aca="false">F1789/E1789</f>
        <v>0.0282031008947856</v>
      </c>
    </row>
    <row r="1790" customFormat="false" ht="12.8" hidden="false" customHeight="false" outlineLevel="0" collapsed="false">
      <c r="A1790" s="0" t="s">
        <v>2589</v>
      </c>
      <c r="B1790" s="0" t="s">
        <v>18</v>
      </c>
      <c r="C1790" s="0" t="s">
        <v>19</v>
      </c>
      <c r="D1790" s="0" t="s">
        <v>20</v>
      </c>
      <c r="E1790" s="0" t="n">
        <v>24803.94</v>
      </c>
      <c r="F1790" s="0" t="n">
        <v>293</v>
      </c>
      <c r="G1790" s="0" t="str">
        <f aca="false">IF(F1790&lt;=30,"Current",IF(F1790&lt;=60,"31 to 60 days",IF(F1790&lt;=90,"61 to 90 days",IF(F1790&lt;=120,"91 to 120 days","Over 120 days"))))</f>
        <v>Over 120 days</v>
      </c>
      <c r="H1790" s="0" t="n">
        <f aca="false">VLOOKUP(D1790,Rates!$A$4:$B$7,2,FALSE())</f>
        <v>0.05</v>
      </c>
      <c r="I1790" s="0" t="n">
        <f aca="false">VLOOKUP(F1790,Rates!$D$4:$E$8,2)</f>
        <v>0.85</v>
      </c>
      <c r="J1790" s="0" t="n">
        <f aca="false">ROUND(E1790*I1790,2)</f>
        <v>21083.35</v>
      </c>
      <c r="K1790" s="1" t="n">
        <f aca="false">PV(H1790/12,F1790/30,0,-E1790)</f>
        <v>23816.8333051698</v>
      </c>
      <c r="L1790" s="0" t="n">
        <f aca="false">ROUND(E1790-K1790,2)</f>
        <v>987.11</v>
      </c>
      <c r="M1790" s="0" t="n">
        <f aca="false">F1790/E1790</f>
        <v>0.0118126394435723</v>
      </c>
    </row>
    <row r="1791" customFormat="false" ht="12.8" hidden="false" customHeight="false" outlineLevel="0" collapsed="false">
      <c r="A1791" s="0" t="s">
        <v>2590</v>
      </c>
      <c r="B1791" s="0" t="s">
        <v>2591</v>
      </c>
      <c r="C1791" s="0" t="s">
        <v>42</v>
      </c>
      <c r="D1791" s="0" t="s">
        <v>49</v>
      </c>
      <c r="E1791" s="0" t="n">
        <v>35398.32</v>
      </c>
      <c r="F1791" s="0" t="n">
        <v>331</v>
      </c>
      <c r="G1791" s="0" t="str">
        <f aca="false">IF(F1791&lt;=30,"Current",IF(F1791&lt;=60,"31 to 60 days",IF(F1791&lt;=90,"61 to 90 days",IF(F1791&lt;=120,"91 to 120 days","Over 120 days"))))</f>
        <v>Over 120 days</v>
      </c>
      <c r="H1791" s="0" t="n">
        <f aca="false">VLOOKUP(D1791,Rates!$A$4:$B$7,2,FALSE())</f>
        <v>0.02</v>
      </c>
      <c r="I1791" s="0" t="n">
        <f aca="false">VLOOKUP(F1791,Rates!$D$4:$E$8,2)</f>
        <v>0.85</v>
      </c>
      <c r="J1791" s="0" t="n">
        <f aca="false">ROUND(E1791*I1791,2)</f>
        <v>30088.57</v>
      </c>
      <c r="K1791" s="1" t="n">
        <f aca="false">PV(H1791/12,F1791/30,0,-E1791)</f>
        <v>34753.8646774351</v>
      </c>
      <c r="L1791" s="0" t="n">
        <f aca="false">ROUND(E1791-K1791,2)</f>
        <v>644.46</v>
      </c>
      <c r="M1791" s="0" t="n">
        <f aca="false">F1791/E1791</f>
        <v>0.00935072624915533</v>
      </c>
    </row>
    <row r="1792" customFormat="false" ht="12.8" hidden="false" customHeight="false" outlineLevel="0" collapsed="false">
      <c r="A1792" s="0" t="s">
        <v>2592</v>
      </c>
      <c r="B1792" s="0" t="s">
        <v>2593</v>
      </c>
      <c r="C1792" s="0" t="s">
        <v>36</v>
      </c>
      <c r="D1792" s="0" t="s">
        <v>49</v>
      </c>
      <c r="E1792" s="0" t="n">
        <v>41510.47</v>
      </c>
      <c r="F1792" s="0" t="n">
        <v>331</v>
      </c>
      <c r="G1792" s="0" t="str">
        <f aca="false">IF(F1792&lt;=30,"Current",IF(F1792&lt;=60,"31 to 60 days",IF(F1792&lt;=90,"61 to 90 days",IF(F1792&lt;=120,"91 to 120 days","Over 120 days"))))</f>
        <v>Over 120 days</v>
      </c>
      <c r="H1792" s="0" t="n">
        <f aca="false">VLOOKUP(D1792,Rates!$A$4:$B$7,2,FALSE())</f>
        <v>0.02</v>
      </c>
      <c r="I1792" s="0" t="n">
        <f aca="false">VLOOKUP(F1792,Rates!$D$4:$E$8,2)</f>
        <v>0.85</v>
      </c>
      <c r="J1792" s="0" t="n">
        <f aca="false">ROUND(E1792*I1792,2)</f>
        <v>35283.9</v>
      </c>
      <c r="K1792" s="1" t="n">
        <f aca="false">PV(H1792/12,F1792/30,0,-E1792)</f>
        <v>40754.7379953831</v>
      </c>
      <c r="L1792" s="0" t="n">
        <f aca="false">ROUND(E1792-K1792,2)</f>
        <v>755.73</v>
      </c>
      <c r="M1792" s="0" t="n">
        <f aca="false">F1792/E1792</f>
        <v>0.00797389188799838</v>
      </c>
    </row>
    <row r="1793" customFormat="false" ht="12.8" hidden="false" customHeight="false" outlineLevel="0" collapsed="false">
      <c r="A1793" s="0" t="s">
        <v>2594</v>
      </c>
      <c r="B1793" s="0" t="s">
        <v>2595</v>
      </c>
      <c r="C1793" s="0" t="s">
        <v>15</v>
      </c>
      <c r="D1793" s="0" t="s">
        <v>49</v>
      </c>
      <c r="E1793" s="0" t="n">
        <v>10334.16</v>
      </c>
      <c r="F1793" s="0" t="n">
        <v>224</v>
      </c>
      <c r="G1793" s="0" t="str">
        <f aca="false">IF(F1793&lt;=30,"Current",IF(F1793&lt;=60,"31 to 60 days",IF(F1793&lt;=90,"61 to 90 days",IF(F1793&lt;=120,"91 to 120 days","Over 120 days"))))</f>
        <v>Over 120 days</v>
      </c>
      <c r="H1793" s="0" t="n">
        <f aca="false">VLOOKUP(D1793,Rates!$A$4:$B$7,2,FALSE())</f>
        <v>0.02</v>
      </c>
      <c r="I1793" s="0" t="n">
        <f aca="false">VLOOKUP(F1793,Rates!$D$4:$E$8,2)</f>
        <v>0.85</v>
      </c>
      <c r="J1793" s="0" t="n">
        <f aca="false">ROUND(E1793*I1793,2)</f>
        <v>8784.04</v>
      </c>
      <c r="K1793" s="1" t="n">
        <f aca="false">PV(H1793/12,F1793/30,0,-E1793)</f>
        <v>10206.4597334301</v>
      </c>
      <c r="L1793" s="0" t="n">
        <f aca="false">ROUND(E1793-K1793,2)</f>
        <v>127.7</v>
      </c>
      <c r="M1793" s="0" t="n">
        <f aca="false">F1793/E1793</f>
        <v>0.0216756853000147</v>
      </c>
    </row>
    <row r="1794" customFormat="false" ht="12.8" hidden="false" customHeight="false" outlineLevel="0" collapsed="false">
      <c r="A1794" s="0" t="s">
        <v>2596</v>
      </c>
      <c r="B1794" s="0" t="s">
        <v>28</v>
      </c>
      <c r="C1794" s="0" t="s">
        <v>15</v>
      </c>
      <c r="D1794" s="0" t="s">
        <v>20</v>
      </c>
      <c r="E1794" s="0" t="n">
        <v>1478.17</v>
      </c>
      <c r="F1794" s="0" t="n">
        <v>69</v>
      </c>
      <c r="G1794" s="0" t="str">
        <f aca="false">IF(F1794&lt;=30,"Current",IF(F1794&lt;=60,"31 to 60 days",IF(F1794&lt;=90,"61 to 90 days",IF(F1794&lt;=120,"91 to 120 days","Over 120 days"))))</f>
        <v>61 to 90 days</v>
      </c>
      <c r="H1794" s="0" t="n">
        <f aca="false">VLOOKUP(D1794,Rates!$A$4:$B$7,2,FALSE())</f>
        <v>0.05</v>
      </c>
      <c r="I1794" s="0" t="n">
        <f aca="false">VLOOKUP(F1794,Rates!$D$4:$E$8,2)</f>
        <v>0.25</v>
      </c>
      <c r="J1794" s="0" t="n">
        <f aca="false">ROUND(E1794*I1794,2)</f>
        <v>369.54</v>
      </c>
      <c r="K1794" s="1" t="n">
        <f aca="false">PV(H1794/12,F1794/30,0,-E1794)</f>
        <v>1464.10101557355</v>
      </c>
      <c r="L1794" s="0" t="n">
        <f aca="false">ROUND(E1794-K1794,2)</f>
        <v>14.07</v>
      </c>
      <c r="M1794" s="0" t="n">
        <f aca="false">F1794/E1794</f>
        <v>0.0466793399947232</v>
      </c>
    </row>
    <row r="1795" customFormat="false" ht="12.8" hidden="false" customHeight="false" outlineLevel="0" collapsed="false">
      <c r="A1795" s="0" t="s">
        <v>2597</v>
      </c>
      <c r="B1795" s="0" t="s">
        <v>2598</v>
      </c>
      <c r="C1795" s="0" t="s">
        <v>36</v>
      </c>
      <c r="D1795" s="0" t="s">
        <v>49</v>
      </c>
      <c r="E1795" s="0" t="n">
        <v>16732.41</v>
      </c>
      <c r="F1795" s="0" t="n">
        <v>114</v>
      </c>
      <c r="G1795" s="0" t="str">
        <f aca="false">IF(F1795&lt;=30,"Current",IF(F1795&lt;=60,"31 to 60 days",IF(F1795&lt;=90,"61 to 90 days",IF(F1795&lt;=120,"91 to 120 days","Over 120 days"))))</f>
        <v>91 to 120 days</v>
      </c>
      <c r="H1795" s="0" t="n">
        <f aca="false">VLOOKUP(D1795,Rates!$A$4:$B$7,2,FALSE())</f>
        <v>0.02</v>
      </c>
      <c r="I1795" s="0" t="n">
        <f aca="false">VLOOKUP(F1795,Rates!$D$4:$E$8,2)</f>
        <v>0.5</v>
      </c>
      <c r="J1795" s="0" t="n">
        <f aca="false">ROUND(E1795*I1795,2)</f>
        <v>8366.21</v>
      </c>
      <c r="K1795" s="1" t="n">
        <f aca="false">PV(H1795/12,F1795/30,0,-E1795)</f>
        <v>16626.8605957195</v>
      </c>
      <c r="L1795" s="0" t="n">
        <f aca="false">ROUND(E1795-K1795,2)</f>
        <v>105.55</v>
      </c>
      <c r="M1795" s="0" t="n">
        <f aca="false">F1795/E1795</f>
        <v>0.00681312494733275</v>
      </c>
    </row>
    <row r="1796" customFormat="false" ht="12.8" hidden="false" customHeight="false" outlineLevel="0" collapsed="false">
      <c r="A1796" s="0" t="s">
        <v>2599</v>
      </c>
      <c r="B1796" s="0" t="s">
        <v>2600</v>
      </c>
      <c r="C1796" s="0" t="s">
        <v>15</v>
      </c>
      <c r="D1796" s="0" t="s">
        <v>49</v>
      </c>
      <c r="E1796" s="0" t="n">
        <v>9152.4</v>
      </c>
      <c r="F1796" s="0" t="n">
        <v>262</v>
      </c>
      <c r="G1796" s="0" t="str">
        <f aca="false">IF(F1796&lt;=30,"Current",IF(F1796&lt;=60,"31 to 60 days",IF(F1796&lt;=90,"61 to 90 days",IF(F1796&lt;=120,"91 to 120 days","Over 120 days"))))</f>
        <v>Over 120 days</v>
      </c>
      <c r="H1796" s="0" t="n">
        <f aca="false">VLOOKUP(D1796,Rates!$A$4:$B$7,2,FALSE())</f>
        <v>0.02</v>
      </c>
      <c r="I1796" s="0" t="n">
        <f aca="false">VLOOKUP(F1796,Rates!$D$4:$E$8,2)</f>
        <v>0.85</v>
      </c>
      <c r="J1796" s="0" t="n">
        <f aca="false">ROUND(E1796*I1796,2)</f>
        <v>7779.54</v>
      </c>
      <c r="K1796" s="1" t="n">
        <f aca="false">PV(H1796/12,F1796/30,0,-E1796)</f>
        <v>9020.25586959485</v>
      </c>
      <c r="L1796" s="0" t="n">
        <f aca="false">ROUND(E1796-K1796,2)</f>
        <v>132.14</v>
      </c>
      <c r="M1796" s="0" t="n">
        <f aca="false">F1796/E1796</f>
        <v>0.0286263712250339</v>
      </c>
    </row>
    <row r="1797" customFormat="false" ht="12.8" hidden="false" customHeight="false" outlineLevel="0" collapsed="false">
      <c r="A1797" s="0" t="s">
        <v>2601</v>
      </c>
      <c r="B1797" s="0" t="s">
        <v>2602</v>
      </c>
      <c r="C1797" s="0" t="s">
        <v>19</v>
      </c>
      <c r="D1797" s="0" t="s">
        <v>16</v>
      </c>
      <c r="E1797" s="0" t="n">
        <v>35449.26</v>
      </c>
      <c r="F1797" s="0" t="n">
        <v>183</v>
      </c>
      <c r="G1797" s="0" t="str">
        <f aca="false">IF(F1797&lt;=30,"Current",IF(F1797&lt;=60,"31 to 60 days",IF(F1797&lt;=90,"61 to 90 days",IF(F1797&lt;=120,"91 to 120 days","Over 120 days"))))</f>
        <v>Over 120 days</v>
      </c>
      <c r="H1797" s="0" t="n">
        <f aca="false">VLOOKUP(D1797,Rates!$A$4:$B$7,2,FALSE())</f>
        <v>0.085</v>
      </c>
      <c r="I1797" s="0" t="n">
        <f aca="false">VLOOKUP(F1797,Rates!$D$4:$E$8,2)</f>
        <v>0.85</v>
      </c>
      <c r="J1797" s="0" t="n">
        <f aca="false">ROUND(E1797*I1797,2)</f>
        <v>30131.87</v>
      </c>
      <c r="K1797" s="1" t="n">
        <f aca="false">PV(H1797/12,F1797/30,0,-E1797)</f>
        <v>33955.3476018985</v>
      </c>
      <c r="L1797" s="0" t="n">
        <f aca="false">ROUND(E1797-K1797,2)</f>
        <v>1493.91</v>
      </c>
      <c r="M1797" s="0" t="n">
        <f aca="false">F1797/E1797</f>
        <v>0.00516230804253742</v>
      </c>
    </row>
    <row r="1798" customFormat="false" ht="12.8" hidden="false" customHeight="false" outlineLevel="0" collapsed="false">
      <c r="A1798" s="0" t="s">
        <v>2603</v>
      </c>
      <c r="B1798" s="0" t="s">
        <v>340</v>
      </c>
      <c r="C1798" s="0" t="s">
        <v>19</v>
      </c>
      <c r="D1798" s="0" t="s">
        <v>49</v>
      </c>
      <c r="E1798" s="0" t="n">
        <v>3063.43</v>
      </c>
      <c r="F1798" s="0" t="n">
        <v>354</v>
      </c>
      <c r="G1798" s="0" t="str">
        <f aca="false">IF(F1798&lt;=30,"Current",IF(F1798&lt;=60,"31 to 60 days",IF(F1798&lt;=90,"61 to 90 days",IF(F1798&lt;=120,"91 to 120 days","Over 120 days"))))</f>
        <v>Over 120 days</v>
      </c>
      <c r="H1798" s="0" t="n">
        <f aca="false">VLOOKUP(D1798,Rates!$A$4:$B$7,2,FALSE())</f>
        <v>0.02</v>
      </c>
      <c r="I1798" s="0" t="n">
        <f aca="false">VLOOKUP(F1798,Rates!$D$4:$E$8,2)</f>
        <v>0.85</v>
      </c>
      <c r="J1798" s="0" t="n">
        <f aca="false">ROUND(E1798*I1798,2)</f>
        <v>2603.92</v>
      </c>
      <c r="K1798" s="1" t="n">
        <f aca="false">PV(H1798/12,F1798/30,0,-E1798)</f>
        <v>3003.82028619128</v>
      </c>
      <c r="L1798" s="0" t="n">
        <f aca="false">ROUND(E1798-K1798,2)</f>
        <v>59.61</v>
      </c>
      <c r="M1798" s="0" t="n">
        <f aca="false">F1798/E1798</f>
        <v>0.115556745216963</v>
      </c>
    </row>
    <row r="1799" customFormat="false" ht="12.8" hidden="false" customHeight="false" outlineLevel="0" collapsed="false">
      <c r="A1799" s="0" t="s">
        <v>2604</v>
      </c>
      <c r="B1799" s="0" t="s">
        <v>517</v>
      </c>
      <c r="C1799" s="0" t="s">
        <v>36</v>
      </c>
      <c r="D1799" s="0" t="s">
        <v>16</v>
      </c>
      <c r="E1799" s="0" t="n">
        <v>27859.84</v>
      </c>
      <c r="F1799" s="0" t="n">
        <v>167</v>
      </c>
      <c r="G1799" s="0" t="str">
        <f aca="false">IF(F1799&lt;=30,"Current",IF(F1799&lt;=60,"31 to 60 days",IF(F1799&lt;=90,"61 to 90 days",IF(F1799&lt;=120,"91 to 120 days","Over 120 days"))))</f>
        <v>Over 120 days</v>
      </c>
      <c r="H1799" s="0" t="n">
        <f aca="false">VLOOKUP(D1799,Rates!$A$4:$B$7,2,FALSE())</f>
        <v>0.085</v>
      </c>
      <c r="I1799" s="0" t="n">
        <f aca="false">VLOOKUP(F1799,Rates!$D$4:$E$8,2)</f>
        <v>0.85</v>
      </c>
      <c r="J1799" s="0" t="n">
        <f aca="false">ROUND(E1799*I1799,2)</f>
        <v>23680.86</v>
      </c>
      <c r="K1799" s="1" t="n">
        <f aca="false">PV(H1799/12,F1799/30,0,-E1799)</f>
        <v>26786.4098483304</v>
      </c>
      <c r="L1799" s="0" t="n">
        <f aca="false">ROUND(E1799-K1799,2)</f>
        <v>1073.43</v>
      </c>
      <c r="M1799" s="0" t="n">
        <f aca="false">F1799/E1799</f>
        <v>0.00599429142450208</v>
      </c>
    </row>
    <row r="1800" customFormat="false" ht="12.8" hidden="false" customHeight="false" outlineLevel="0" collapsed="false">
      <c r="A1800" s="0" t="s">
        <v>2605</v>
      </c>
      <c r="B1800" s="0" t="s">
        <v>2606</v>
      </c>
      <c r="C1800" s="0" t="s">
        <v>31</v>
      </c>
      <c r="D1800" s="0" t="s">
        <v>16</v>
      </c>
      <c r="E1800" s="0" t="n">
        <v>14805.1</v>
      </c>
      <c r="F1800" s="0" t="n">
        <v>180</v>
      </c>
      <c r="G1800" s="0" t="str">
        <f aca="false">IF(F1800&lt;=30,"Current",IF(F1800&lt;=60,"31 to 60 days",IF(F1800&lt;=90,"61 to 90 days",IF(F1800&lt;=120,"91 to 120 days","Over 120 days"))))</f>
        <v>Over 120 days</v>
      </c>
      <c r="H1800" s="0" t="n">
        <f aca="false">VLOOKUP(D1800,Rates!$A$4:$B$7,2,FALSE())</f>
        <v>0.085</v>
      </c>
      <c r="I1800" s="0" t="n">
        <f aca="false">VLOOKUP(F1800,Rates!$D$4:$E$8,2)</f>
        <v>0.85</v>
      </c>
      <c r="J1800" s="0" t="n">
        <f aca="false">ROUND(E1800*I1800,2)</f>
        <v>12584.34</v>
      </c>
      <c r="K1800" s="1" t="n">
        <f aca="false">PV(H1800/12,F1800/30,0,-E1800)</f>
        <v>14191.1925582547</v>
      </c>
      <c r="L1800" s="0" t="n">
        <f aca="false">ROUND(E1800-K1800,2)</f>
        <v>613.91</v>
      </c>
      <c r="M1800" s="0" t="n">
        <f aca="false">F1800/E1800</f>
        <v>0.0121579725905262</v>
      </c>
    </row>
    <row r="1801" customFormat="false" ht="12.8" hidden="false" customHeight="false" outlineLevel="0" collapsed="false">
      <c r="A1801" s="0" t="s">
        <v>2607</v>
      </c>
      <c r="B1801" s="0" t="s">
        <v>427</v>
      </c>
      <c r="C1801" s="0" t="s">
        <v>31</v>
      </c>
      <c r="D1801" s="0" t="s">
        <v>49</v>
      </c>
      <c r="E1801" s="0" t="n">
        <v>28018.43</v>
      </c>
      <c r="F1801" s="0" t="n">
        <v>241</v>
      </c>
      <c r="G1801" s="0" t="str">
        <f aca="false">IF(F1801&lt;=30,"Current",IF(F1801&lt;=60,"31 to 60 days",IF(F1801&lt;=90,"61 to 90 days",IF(F1801&lt;=120,"91 to 120 days","Over 120 days"))))</f>
        <v>Over 120 days</v>
      </c>
      <c r="H1801" s="0" t="n">
        <f aca="false">VLOOKUP(D1801,Rates!$A$4:$B$7,2,FALSE())</f>
        <v>0.02</v>
      </c>
      <c r="I1801" s="0" t="n">
        <f aca="false">VLOOKUP(F1801,Rates!$D$4:$E$8,2)</f>
        <v>0.85</v>
      </c>
      <c r="J1801" s="0" t="n">
        <f aca="false">ROUND(E1801*I1801,2)</f>
        <v>23815.67</v>
      </c>
      <c r="K1801" s="1" t="n">
        <f aca="false">PV(H1801/12,F1801/30,0,-E1801)</f>
        <v>27646.1026229059</v>
      </c>
      <c r="L1801" s="0" t="n">
        <f aca="false">ROUND(E1801-K1801,2)</f>
        <v>372.33</v>
      </c>
      <c r="M1801" s="0" t="n">
        <f aca="false">F1801/E1801</f>
        <v>0.00860148123931284</v>
      </c>
    </row>
    <row r="1802" customFormat="false" ht="12.8" hidden="false" customHeight="false" outlineLevel="0" collapsed="false">
      <c r="A1802" s="0" t="s">
        <v>2608</v>
      </c>
      <c r="B1802" s="0" t="s">
        <v>97</v>
      </c>
      <c r="C1802" s="0" t="s">
        <v>42</v>
      </c>
      <c r="D1802" s="0" t="s">
        <v>20</v>
      </c>
      <c r="E1802" s="0" t="n">
        <v>22441.66</v>
      </c>
      <c r="F1802" s="0" t="n">
        <v>289</v>
      </c>
      <c r="G1802" s="0" t="str">
        <f aca="false">IF(F1802&lt;=30,"Current",IF(F1802&lt;=60,"31 to 60 days",IF(F1802&lt;=90,"61 to 90 days",IF(F1802&lt;=120,"91 to 120 days","Over 120 days"))))</f>
        <v>Over 120 days</v>
      </c>
      <c r="H1802" s="0" t="n">
        <f aca="false">VLOOKUP(D1802,Rates!$A$4:$B$7,2,FALSE())</f>
        <v>0.05</v>
      </c>
      <c r="I1802" s="0" t="n">
        <f aca="false">VLOOKUP(F1802,Rates!$D$4:$E$8,2)</f>
        <v>0.85</v>
      </c>
      <c r="J1802" s="0" t="n">
        <f aca="false">ROUND(E1802*I1802,2)</f>
        <v>19075.41</v>
      </c>
      <c r="K1802" s="1" t="n">
        <f aca="false">PV(H1802/12,F1802/30,0,-E1802)</f>
        <v>21560.5133315312</v>
      </c>
      <c r="L1802" s="0" t="n">
        <f aca="false">ROUND(E1802-K1802,2)</f>
        <v>881.15</v>
      </c>
      <c r="M1802" s="0" t="n">
        <f aca="false">F1802/E1802</f>
        <v>0.0128778352403521</v>
      </c>
    </row>
    <row r="1803" customFormat="false" ht="12.8" hidden="false" customHeight="false" outlineLevel="0" collapsed="false">
      <c r="A1803" s="0" t="s">
        <v>2609</v>
      </c>
      <c r="B1803" s="0" t="s">
        <v>186</v>
      </c>
      <c r="C1803" s="0" t="s">
        <v>31</v>
      </c>
      <c r="D1803" s="0" t="s">
        <v>23</v>
      </c>
      <c r="E1803" s="0" t="n">
        <v>40253.18</v>
      </c>
      <c r="F1803" s="0" t="n">
        <v>51</v>
      </c>
      <c r="G1803" s="0" t="str">
        <f aca="false">IF(F1803&lt;=30,"Current",IF(F1803&lt;=60,"31 to 60 days",IF(F1803&lt;=90,"61 to 90 days",IF(F1803&lt;=120,"91 to 120 days","Over 120 days"))))</f>
        <v>31 to 60 days</v>
      </c>
      <c r="H1803" s="0" t="n">
        <f aca="false">VLOOKUP(D1803,Rates!$A$4:$B$7,2,FALSE())</f>
        <v>0.115</v>
      </c>
      <c r="I1803" s="0" t="n">
        <f aca="false">VLOOKUP(F1803,Rates!$D$4:$E$8,2)</f>
        <v>0.1</v>
      </c>
      <c r="J1803" s="0" t="n">
        <f aca="false">ROUND(E1803*I1803,2)</f>
        <v>4025.32</v>
      </c>
      <c r="K1803" s="1" t="n">
        <f aca="false">PV(H1803/12,F1803/30,0,-E1803)</f>
        <v>39605.7737475456</v>
      </c>
      <c r="L1803" s="0" t="n">
        <f aca="false">ROUND(E1803-K1803,2)</f>
        <v>647.41</v>
      </c>
      <c r="M1803" s="0" t="n">
        <f aca="false">F1803/E1803</f>
        <v>0.00126698064600114</v>
      </c>
    </row>
    <row r="1804" customFormat="false" ht="12.8" hidden="false" customHeight="false" outlineLevel="0" collapsed="false">
      <c r="A1804" s="0" t="s">
        <v>2610</v>
      </c>
      <c r="B1804" s="0" t="s">
        <v>97</v>
      </c>
      <c r="C1804" s="0" t="s">
        <v>42</v>
      </c>
      <c r="D1804" s="0" t="s">
        <v>20</v>
      </c>
      <c r="E1804" s="0" t="n">
        <v>40713.94</v>
      </c>
      <c r="F1804" s="0" t="n">
        <v>84</v>
      </c>
      <c r="G1804" s="0" t="str">
        <f aca="false">IF(F1804&lt;=30,"Current",IF(F1804&lt;=60,"31 to 60 days",IF(F1804&lt;=90,"61 to 90 days",IF(F1804&lt;=120,"91 to 120 days","Over 120 days"))))</f>
        <v>61 to 90 days</v>
      </c>
      <c r="H1804" s="0" t="n">
        <f aca="false">VLOOKUP(D1804,Rates!$A$4:$B$7,2,FALSE())</f>
        <v>0.05</v>
      </c>
      <c r="I1804" s="0" t="n">
        <f aca="false">VLOOKUP(F1804,Rates!$D$4:$E$8,2)</f>
        <v>0.25</v>
      </c>
      <c r="J1804" s="0" t="n">
        <f aca="false">ROUND(E1804*I1804,2)</f>
        <v>10178.49</v>
      </c>
      <c r="K1804" s="1" t="n">
        <f aca="false">PV(H1804/12,F1804/30,0,-E1804)</f>
        <v>40242.6794994442</v>
      </c>
      <c r="L1804" s="0" t="n">
        <f aca="false">ROUND(E1804-K1804,2)</f>
        <v>471.26</v>
      </c>
      <c r="M1804" s="0" t="n">
        <f aca="false">F1804/E1804</f>
        <v>0.00206317541362983</v>
      </c>
    </row>
    <row r="1805" customFormat="false" ht="12.8" hidden="false" customHeight="false" outlineLevel="0" collapsed="false">
      <c r="A1805" s="0" t="s">
        <v>2611</v>
      </c>
      <c r="B1805" s="0" t="s">
        <v>51</v>
      </c>
      <c r="C1805" s="0" t="s">
        <v>36</v>
      </c>
      <c r="D1805" s="0" t="s">
        <v>20</v>
      </c>
      <c r="E1805" s="0" t="n">
        <v>4222.87</v>
      </c>
      <c r="F1805" s="0" t="n">
        <v>386</v>
      </c>
      <c r="G1805" s="0" t="str">
        <f aca="false">IF(F1805&lt;=30,"Current",IF(F1805&lt;=60,"31 to 60 days",IF(F1805&lt;=90,"61 to 90 days",IF(F1805&lt;=120,"91 to 120 days","Over 120 days"))))</f>
        <v>Over 120 days</v>
      </c>
      <c r="H1805" s="0" t="n">
        <f aca="false">VLOOKUP(D1805,Rates!$A$4:$B$7,2,FALSE())</f>
        <v>0.05</v>
      </c>
      <c r="I1805" s="0" t="n">
        <f aca="false">VLOOKUP(F1805,Rates!$D$4:$E$8,2)</f>
        <v>0.85</v>
      </c>
      <c r="J1805" s="0" t="n">
        <f aca="false">ROUND(E1805*I1805,2)</f>
        <v>3589.44</v>
      </c>
      <c r="K1805" s="1" t="n">
        <f aca="false">PV(H1805/12,F1805/30,0,-E1805)</f>
        <v>4002.88463954588</v>
      </c>
      <c r="L1805" s="0" t="n">
        <f aca="false">ROUND(E1805-K1805,2)</f>
        <v>219.99</v>
      </c>
      <c r="M1805" s="0" t="n">
        <f aca="false">F1805/E1805</f>
        <v>0.091407028868992</v>
      </c>
    </row>
    <row r="1806" customFormat="false" ht="12.8" hidden="false" customHeight="false" outlineLevel="0" collapsed="false">
      <c r="A1806" s="0" t="s">
        <v>2612</v>
      </c>
      <c r="B1806" s="0" t="s">
        <v>2613</v>
      </c>
      <c r="C1806" s="0" t="s">
        <v>15</v>
      </c>
      <c r="D1806" s="0" t="s">
        <v>49</v>
      </c>
      <c r="E1806" s="0" t="n">
        <v>20977.26</v>
      </c>
      <c r="F1806" s="0" t="n">
        <v>197</v>
      </c>
      <c r="G1806" s="0" t="str">
        <f aca="false">IF(F1806&lt;=30,"Current",IF(F1806&lt;=60,"31 to 60 days",IF(F1806&lt;=90,"61 to 90 days",IF(F1806&lt;=120,"91 to 120 days","Over 120 days"))))</f>
        <v>Over 120 days</v>
      </c>
      <c r="H1806" s="0" t="n">
        <f aca="false">VLOOKUP(D1806,Rates!$A$4:$B$7,2,FALSE())</f>
        <v>0.02</v>
      </c>
      <c r="I1806" s="0" t="n">
        <f aca="false">VLOOKUP(F1806,Rates!$D$4:$E$8,2)</f>
        <v>0.85</v>
      </c>
      <c r="J1806" s="0" t="n">
        <f aca="false">ROUND(E1806*I1806,2)</f>
        <v>17830.67</v>
      </c>
      <c r="K1806" s="1" t="n">
        <f aca="false">PV(H1806/12,F1806/30,0,-E1806)</f>
        <v>20749.1163384689</v>
      </c>
      <c r="L1806" s="0" t="n">
        <f aca="false">ROUND(E1806-K1806,2)</f>
        <v>228.14</v>
      </c>
      <c r="M1806" s="0" t="n">
        <f aca="false">F1806/E1806</f>
        <v>0.00939112162408246</v>
      </c>
    </row>
    <row r="1807" customFormat="false" ht="12.8" hidden="false" customHeight="false" outlineLevel="0" collapsed="false">
      <c r="A1807" s="0" t="s">
        <v>2614</v>
      </c>
      <c r="B1807" s="0" t="s">
        <v>33</v>
      </c>
      <c r="C1807" s="0" t="s">
        <v>26</v>
      </c>
      <c r="D1807" s="0" t="s">
        <v>20</v>
      </c>
      <c r="E1807" s="0" t="n">
        <v>30888.31</v>
      </c>
      <c r="F1807" s="0" t="n">
        <v>348</v>
      </c>
      <c r="G1807" s="0" t="str">
        <f aca="false">IF(F1807&lt;=30,"Current",IF(F1807&lt;=60,"31 to 60 days",IF(F1807&lt;=90,"61 to 90 days",IF(F1807&lt;=120,"91 to 120 days","Over 120 days"))))</f>
        <v>Over 120 days</v>
      </c>
      <c r="H1807" s="0" t="n">
        <f aca="false">VLOOKUP(D1807,Rates!$A$4:$B$7,2,FALSE())</f>
        <v>0.05</v>
      </c>
      <c r="I1807" s="0" t="n">
        <f aca="false">VLOOKUP(F1807,Rates!$D$4:$E$8,2)</f>
        <v>0.85</v>
      </c>
      <c r="J1807" s="0" t="n">
        <f aca="false">ROUND(E1807*I1807,2)</f>
        <v>26255.06</v>
      </c>
      <c r="K1807" s="1" t="n">
        <f aca="false">PV(H1807/12,F1807/30,0,-E1807)</f>
        <v>29433.8354262886</v>
      </c>
      <c r="L1807" s="0" t="n">
        <f aca="false">ROUND(E1807-K1807,2)</f>
        <v>1454.47</v>
      </c>
      <c r="M1807" s="0" t="n">
        <f aca="false">F1807/E1807</f>
        <v>0.0112663981940093</v>
      </c>
    </row>
    <row r="1808" customFormat="false" ht="12.8" hidden="false" customHeight="false" outlineLevel="0" collapsed="false">
      <c r="A1808" s="0" t="s">
        <v>2615</v>
      </c>
      <c r="B1808" s="0" t="s">
        <v>44</v>
      </c>
      <c r="C1808" s="0" t="s">
        <v>36</v>
      </c>
      <c r="D1808" s="0" t="s">
        <v>23</v>
      </c>
      <c r="E1808" s="0" t="n">
        <v>35900.16</v>
      </c>
      <c r="F1808" s="0" t="n">
        <v>264</v>
      </c>
      <c r="G1808" s="0" t="str">
        <f aca="false">IF(F1808&lt;=30,"Current",IF(F1808&lt;=60,"31 to 60 days",IF(F1808&lt;=90,"61 to 90 days",IF(F1808&lt;=120,"91 to 120 days","Over 120 days"))))</f>
        <v>Over 120 days</v>
      </c>
      <c r="H1808" s="0" t="n">
        <f aca="false">VLOOKUP(D1808,Rates!$A$4:$B$7,2,FALSE())</f>
        <v>0.115</v>
      </c>
      <c r="I1808" s="0" t="n">
        <f aca="false">VLOOKUP(F1808,Rates!$D$4:$E$8,2)</f>
        <v>0.85</v>
      </c>
      <c r="J1808" s="0" t="n">
        <f aca="false">ROUND(E1808*I1808,2)</f>
        <v>30515.14</v>
      </c>
      <c r="K1808" s="1" t="n">
        <f aca="false">PV(H1808/12,F1808/30,0,-E1808)</f>
        <v>33009.9804255846</v>
      </c>
      <c r="L1808" s="0" t="n">
        <f aca="false">ROUND(E1808-K1808,2)</f>
        <v>2890.18</v>
      </c>
      <c r="M1808" s="0" t="n">
        <f aca="false">F1808/E1808</f>
        <v>0.00735372767140871</v>
      </c>
    </row>
    <row r="1809" customFormat="false" ht="12.8" hidden="false" customHeight="false" outlineLevel="0" collapsed="false">
      <c r="A1809" s="0" t="s">
        <v>2616</v>
      </c>
      <c r="B1809" s="0" t="s">
        <v>18</v>
      </c>
      <c r="C1809" s="0" t="s">
        <v>19</v>
      </c>
      <c r="D1809" s="0" t="s">
        <v>20</v>
      </c>
      <c r="E1809" s="0" t="n">
        <v>16628.72</v>
      </c>
      <c r="F1809" s="0" t="n">
        <v>395</v>
      </c>
      <c r="G1809" s="0" t="str">
        <f aca="false">IF(F1809&lt;=30,"Current",IF(F1809&lt;=60,"31 to 60 days",IF(F1809&lt;=90,"61 to 90 days",IF(F1809&lt;=120,"91 to 120 days","Over 120 days"))))</f>
        <v>Over 120 days</v>
      </c>
      <c r="H1809" s="0" t="n">
        <f aca="false">VLOOKUP(D1809,Rates!$A$4:$B$7,2,FALSE())</f>
        <v>0.05</v>
      </c>
      <c r="I1809" s="0" t="n">
        <f aca="false">VLOOKUP(F1809,Rates!$D$4:$E$8,2)</f>
        <v>0.85</v>
      </c>
      <c r="J1809" s="0" t="n">
        <f aca="false">ROUND(E1809*I1809,2)</f>
        <v>14134.41</v>
      </c>
      <c r="K1809" s="1" t="n">
        <f aca="false">PV(H1809/12,F1809/30,0,-E1809)</f>
        <v>15742.8168352506</v>
      </c>
      <c r="L1809" s="0" t="n">
        <f aca="false">ROUND(E1809-K1809,2)</f>
        <v>885.9</v>
      </c>
      <c r="M1809" s="0" t="n">
        <f aca="false">F1809/E1809</f>
        <v>0.0237540832968503</v>
      </c>
    </row>
    <row r="1810" customFormat="false" ht="12.8" hidden="false" customHeight="false" outlineLevel="0" collapsed="false">
      <c r="A1810" s="0" t="s">
        <v>2617</v>
      </c>
      <c r="B1810" s="0" t="s">
        <v>97</v>
      </c>
      <c r="C1810" s="0" t="s">
        <v>42</v>
      </c>
      <c r="D1810" s="0" t="s">
        <v>20</v>
      </c>
      <c r="E1810" s="0" t="n">
        <v>4328.13</v>
      </c>
      <c r="F1810" s="0" t="n">
        <v>161</v>
      </c>
      <c r="G1810" s="0" t="str">
        <f aca="false">IF(F1810&lt;=30,"Current",IF(F1810&lt;=60,"31 to 60 days",IF(F1810&lt;=90,"61 to 90 days",IF(F1810&lt;=120,"91 to 120 days","Over 120 days"))))</f>
        <v>Over 120 days</v>
      </c>
      <c r="H1810" s="0" t="n">
        <f aca="false">VLOOKUP(D1810,Rates!$A$4:$B$7,2,FALSE())</f>
        <v>0.05</v>
      </c>
      <c r="I1810" s="0" t="n">
        <f aca="false">VLOOKUP(F1810,Rates!$D$4:$E$8,2)</f>
        <v>0.85</v>
      </c>
      <c r="J1810" s="0" t="n">
        <f aca="false">ROUND(E1810*I1810,2)</f>
        <v>3678.91</v>
      </c>
      <c r="K1810" s="1" t="n">
        <f aca="false">PV(H1810/12,F1810/30,0,-E1810)</f>
        <v>4232.61888655069</v>
      </c>
      <c r="L1810" s="0" t="n">
        <f aca="false">ROUND(E1810-K1810,2)</f>
        <v>95.51</v>
      </c>
      <c r="M1810" s="0" t="n">
        <f aca="false">F1810/E1810</f>
        <v>0.0371985129836673</v>
      </c>
    </row>
    <row r="1811" customFormat="false" ht="12.8" hidden="false" customHeight="false" outlineLevel="0" collapsed="false">
      <c r="A1811" s="0" t="s">
        <v>2618</v>
      </c>
      <c r="B1811" s="0" t="s">
        <v>2619</v>
      </c>
      <c r="C1811" s="0" t="s">
        <v>31</v>
      </c>
      <c r="D1811" s="0" t="s">
        <v>49</v>
      </c>
      <c r="E1811" s="0" t="n">
        <v>23317.28</v>
      </c>
      <c r="F1811" s="0" t="n">
        <v>351</v>
      </c>
      <c r="G1811" s="0" t="str">
        <f aca="false">IF(F1811&lt;=30,"Current",IF(F1811&lt;=60,"31 to 60 days",IF(F1811&lt;=90,"61 to 90 days",IF(F1811&lt;=120,"91 to 120 days","Over 120 days"))))</f>
        <v>Over 120 days</v>
      </c>
      <c r="H1811" s="0" t="n">
        <f aca="false">VLOOKUP(D1811,Rates!$A$4:$B$7,2,FALSE())</f>
        <v>0.02</v>
      </c>
      <c r="I1811" s="0" t="n">
        <f aca="false">VLOOKUP(F1811,Rates!$D$4:$E$8,2)</f>
        <v>0.85</v>
      </c>
      <c r="J1811" s="0" t="n">
        <f aca="false">ROUND(E1811*I1811,2)</f>
        <v>19819.69</v>
      </c>
      <c r="K1811" s="1" t="n">
        <f aca="false">PV(H1811/12,F1811/30,0,-E1811)</f>
        <v>22867.3687413667</v>
      </c>
      <c r="L1811" s="0" t="n">
        <f aca="false">ROUND(E1811-K1811,2)</f>
        <v>449.91</v>
      </c>
      <c r="M1811" s="0" t="n">
        <f aca="false">F1811/E1811</f>
        <v>0.0150532137539198</v>
      </c>
    </row>
    <row r="1812" customFormat="false" ht="12.8" hidden="false" customHeight="false" outlineLevel="0" collapsed="false">
      <c r="A1812" s="0" t="s">
        <v>2620</v>
      </c>
      <c r="B1812" s="0" t="s">
        <v>28</v>
      </c>
      <c r="C1812" s="0" t="s">
        <v>15</v>
      </c>
      <c r="D1812" s="0" t="s">
        <v>20</v>
      </c>
      <c r="E1812" s="0" t="n">
        <v>29622.65</v>
      </c>
      <c r="F1812" s="0" t="n">
        <v>282</v>
      </c>
      <c r="G1812" s="0" t="str">
        <f aca="false">IF(F1812&lt;=30,"Current",IF(F1812&lt;=60,"31 to 60 days",IF(F1812&lt;=90,"61 to 90 days",IF(F1812&lt;=120,"91 to 120 days","Over 120 days"))))</f>
        <v>Over 120 days</v>
      </c>
      <c r="H1812" s="0" t="n">
        <f aca="false">VLOOKUP(D1812,Rates!$A$4:$B$7,2,FALSE())</f>
        <v>0.05</v>
      </c>
      <c r="I1812" s="0" t="n">
        <f aca="false">VLOOKUP(F1812,Rates!$D$4:$E$8,2)</f>
        <v>0.85</v>
      </c>
      <c r="J1812" s="0" t="n">
        <f aca="false">ROUND(E1812*I1812,2)</f>
        <v>25179.25</v>
      </c>
      <c r="K1812" s="1" t="n">
        <f aca="false">PV(H1812/12,F1812/30,0,-E1812)</f>
        <v>28487.174715776</v>
      </c>
      <c r="L1812" s="0" t="n">
        <f aca="false">ROUND(E1812-K1812,2)</f>
        <v>1135.48</v>
      </c>
      <c r="M1812" s="0" t="n">
        <f aca="false">F1812/E1812</f>
        <v>0.00951974249434132</v>
      </c>
    </row>
    <row r="1813" customFormat="false" ht="12.8" hidden="false" customHeight="false" outlineLevel="0" collapsed="false">
      <c r="A1813" s="0" t="s">
        <v>2621</v>
      </c>
      <c r="B1813" s="0" t="s">
        <v>33</v>
      </c>
      <c r="C1813" s="0" t="s">
        <v>26</v>
      </c>
      <c r="D1813" s="0" t="s">
        <v>20</v>
      </c>
      <c r="E1813" s="0" t="n">
        <v>26518.53</v>
      </c>
      <c r="F1813" s="0" t="n">
        <v>268</v>
      </c>
      <c r="G1813" s="0" t="str">
        <f aca="false">IF(F1813&lt;=30,"Current",IF(F1813&lt;=60,"31 to 60 days",IF(F1813&lt;=90,"61 to 90 days",IF(F1813&lt;=120,"91 to 120 days","Over 120 days"))))</f>
        <v>Over 120 days</v>
      </c>
      <c r="H1813" s="0" t="n">
        <f aca="false">VLOOKUP(D1813,Rates!$A$4:$B$7,2,FALSE())</f>
        <v>0.05</v>
      </c>
      <c r="I1813" s="0" t="n">
        <f aca="false">VLOOKUP(F1813,Rates!$D$4:$E$8,2)</f>
        <v>0.85</v>
      </c>
      <c r="J1813" s="0" t="n">
        <f aca="false">ROUND(E1813*I1813,2)</f>
        <v>22540.75</v>
      </c>
      <c r="K1813" s="1" t="n">
        <f aca="false">PV(H1813/12,F1813/30,0,-E1813)</f>
        <v>25551.5720531445</v>
      </c>
      <c r="L1813" s="0" t="n">
        <f aca="false">ROUND(E1813-K1813,2)</f>
        <v>966.96</v>
      </c>
      <c r="M1813" s="0" t="n">
        <f aca="false">F1813/E1813</f>
        <v>0.0101061408758329</v>
      </c>
    </row>
    <row r="1814" customFormat="false" ht="12.8" hidden="false" customHeight="false" outlineLevel="0" collapsed="false">
      <c r="A1814" s="0" t="s">
        <v>2622</v>
      </c>
      <c r="B1814" s="0" t="s">
        <v>767</v>
      </c>
      <c r="C1814" s="0" t="s">
        <v>42</v>
      </c>
      <c r="D1814" s="0" t="s">
        <v>49</v>
      </c>
      <c r="E1814" s="0" t="n">
        <v>22226.09</v>
      </c>
      <c r="F1814" s="0" t="n">
        <v>162</v>
      </c>
      <c r="G1814" s="0" t="str">
        <f aca="false">IF(F1814&lt;=30,"Current",IF(F1814&lt;=60,"31 to 60 days",IF(F1814&lt;=90,"61 to 90 days",IF(F1814&lt;=120,"91 to 120 days","Over 120 days"))))</f>
        <v>Over 120 days</v>
      </c>
      <c r="H1814" s="0" t="n">
        <f aca="false">VLOOKUP(D1814,Rates!$A$4:$B$7,2,FALSE())</f>
        <v>0.02</v>
      </c>
      <c r="I1814" s="0" t="n">
        <f aca="false">VLOOKUP(F1814,Rates!$D$4:$E$8,2)</f>
        <v>0.85</v>
      </c>
      <c r="J1814" s="0" t="n">
        <f aca="false">ROUND(E1814*I1814,2)</f>
        <v>18892.18</v>
      </c>
      <c r="K1814" s="1" t="n">
        <f aca="false">PV(H1814/12,F1814/30,0,-E1814)</f>
        <v>22027.1176716744</v>
      </c>
      <c r="L1814" s="0" t="n">
        <f aca="false">ROUND(E1814-K1814,2)</f>
        <v>198.97</v>
      </c>
      <c r="M1814" s="0" t="n">
        <f aca="false">F1814/E1814</f>
        <v>0.00728873139630047</v>
      </c>
    </row>
    <row r="1815" customFormat="false" ht="12.8" hidden="false" customHeight="false" outlineLevel="0" collapsed="false">
      <c r="A1815" s="0" t="s">
        <v>2623</v>
      </c>
      <c r="B1815" s="0" t="s">
        <v>2624</v>
      </c>
      <c r="C1815" s="0" t="s">
        <v>26</v>
      </c>
      <c r="D1815" s="0" t="s">
        <v>49</v>
      </c>
      <c r="E1815" s="0" t="n">
        <v>17633.12</v>
      </c>
      <c r="F1815" s="0" t="n">
        <v>140</v>
      </c>
      <c r="G1815" s="0" t="str">
        <f aca="false">IF(F1815&lt;=30,"Current",IF(F1815&lt;=60,"31 to 60 days",IF(F1815&lt;=90,"61 to 90 days",IF(F1815&lt;=120,"91 to 120 days","Over 120 days"))))</f>
        <v>Over 120 days</v>
      </c>
      <c r="H1815" s="0" t="n">
        <f aca="false">VLOOKUP(D1815,Rates!$A$4:$B$7,2,FALSE())</f>
        <v>0.02</v>
      </c>
      <c r="I1815" s="0" t="n">
        <f aca="false">VLOOKUP(F1815,Rates!$D$4:$E$8,2)</f>
        <v>0.85</v>
      </c>
      <c r="J1815" s="0" t="n">
        <f aca="false">ROUND(E1815*I1815,2)</f>
        <v>14988.15</v>
      </c>
      <c r="K1815" s="1" t="n">
        <f aca="false">PV(H1815/12,F1815/30,0,-E1815)</f>
        <v>17496.6187562963</v>
      </c>
      <c r="L1815" s="0" t="n">
        <f aca="false">ROUND(E1815-K1815,2)</f>
        <v>136.5</v>
      </c>
      <c r="M1815" s="0" t="n">
        <f aca="false">F1815/E1815</f>
        <v>0.00793960456232363</v>
      </c>
    </row>
    <row r="1816" customFormat="false" ht="12.8" hidden="false" customHeight="false" outlineLevel="0" collapsed="false">
      <c r="A1816" s="0" t="s">
        <v>2625</v>
      </c>
      <c r="B1816" s="0" t="s">
        <v>239</v>
      </c>
      <c r="C1816" s="0" t="s">
        <v>42</v>
      </c>
      <c r="D1816" s="0" t="s">
        <v>23</v>
      </c>
      <c r="E1816" s="0" t="n">
        <v>6280.57</v>
      </c>
      <c r="F1816" s="0" t="n">
        <v>197</v>
      </c>
      <c r="G1816" s="0" t="str">
        <f aca="false">IF(F1816&lt;=30,"Current",IF(F1816&lt;=60,"31 to 60 days",IF(F1816&lt;=90,"61 to 90 days",IF(F1816&lt;=120,"91 to 120 days","Over 120 days"))))</f>
        <v>Over 120 days</v>
      </c>
      <c r="H1816" s="0" t="n">
        <f aca="false">VLOOKUP(D1816,Rates!$A$4:$B$7,2,FALSE())</f>
        <v>0.115</v>
      </c>
      <c r="I1816" s="0" t="n">
        <f aca="false">VLOOKUP(F1816,Rates!$D$4:$E$8,2)</f>
        <v>0.85</v>
      </c>
      <c r="J1816" s="0" t="n">
        <f aca="false">ROUND(E1816*I1816,2)</f>
        <v>5338.48</v>
      </c>
      <c r="K1816" s="1" t="n">
        <f aca="false">PV(H1816/12,F1816/30,0,-E1816)</f>
        <v>5899.27708007726</v>
      </c>
      <c r="L1816" s="0" t="n">
        <f aca="false">ROUND(E1816-K1816,2)</f>
        <v>381.29</v>
      </c>
      <c r="M1816" s="0" t="n">
        <f aca="false">F1816/E1816</f>
        <v>0.0313665797849558</v>
      </c>
    </row>
    <row r="1817" customFormat="false" ht="12.8" hidden="false" customHeight="false" outlineLevel="0" collapsed="false">
      <c r="A1817" s="0" t="s">
        <v>2626</v>
      </c>
      <c r="B1817" s="0" t="s">
        <v>51</v>
      </c>
      <c r="C1817" s="0" t="s">
        <v>36</v>
      </c>
      <c r="D1817" s="0" t="s">
        <v>20</v>
      </c>
      <c r="E1817" s="0" t="n">
        <v>22380.56</v>
      </c>
      <c r="F1817" s="0" t="n">
        <v>286</v>
      </c>
      <c r="G1817" s="0" t="str">
        <f aca="false">IF(F1817&lt;=30,"Current",IF(F1817&lt;=60,"31 to 60 days",IF(F1817&lt;=90,"61 to 90 days",IF(F1817&lt;=120,"91 to 120 days","Over 120 days"))))</f>
        <v>Over 120 days</v>
      </c>
      <c r="H1817" s="0" t="n">
        <f aca="false">VLOOKUP(D1817,Rates!$A$4:$B$7,2,FALSE())</f>
        <v>0.05</v>
      </c>
      <c r="I1817" s="0" t="n">
        <f aca="false">VLOOKUP(F1817,Rates!$D$4:$E$8,2)</f>
        <v>0.85</v>
      </c>
      <c r="J1817" s="0" t="n">
        <f aca="false">ROUND(E1817*I1817,2)</f>
        <v>19023.48</v>
      </c>
      <c r="K1817" s="1" t="n">
        <f aca="false">PV(H1817/12,F1817/30,0,-E1817)</f>
        <v>21510.754689048</v>
      </c>
      <c r="L1817" s="0" t="n">
        <f aca="false">ROUND(E1817-K1817,2)</f>
        <v>869.81</v>
      </c>
      <c r="M1817" s="0" t="n">
        <f aca="false">F1817/E1817</f>
        <v>0.0127789474436743</v>
      </c>
    </row>
    <row r="1818" customFormat="false" ht="12.8" hidden="false" customHeight="false" outlineLevel="0" collapsed="false">
      <c r="A1818" s="0" t="s">
        <v>2627</v>
      </c>
      <c r="B1818" s="0" t="s">
        <v>30</v>
      </c>
      <c r="C1818" s="0" t="s">
        <v>31</v>
      </c>
      <c r="D1818" s="0" t="s">
        <v>20</v>
      </c>
      <c r="E1818" s="0" t="n">
        <v>5374.01</v>
      </c>
      <c r="F1818" s="0" t="n">
        <v>90</v>
      </c>
      <c r="G1818" s="0" t="str">
        <f aca="false">IF(F1818&lt;=30,"Current",IF(F1818&lt;=60,"31 to 60 days",IF(F1818&lt;=90,"61 to 90 days",IF(F1818&lt;=120,"91 to 120 days","Over 120 days"))))</f>
        <v>61 to 90 days</v>
      </c>
      <c r="H1818" s="0" t="n">
        <f aca="false">VLOOKUP(D1818,Rates!$A$4:$B$7,2,FALSE())</f>
        <v>0.05</v>
      </c>
      <c r="I1818" s="0" t="n">
        <f aca="false">VLOOKUP(F1818,Rates!$D$4:$E$8,2)</f>
        <v>0.25</v>
      </c>
      <c r="J1818" s="0" t="n">
        <f aca="false">ROUND(E1818*I1818,2)</f>
        <v>1343.5</v>
      </c>
      <c r="K1818" s="1" t="n">
        <f aca="false">PV(H1818/12,F1818/30,0,-E1818)</f>
        <v>5307.39080441458</v>
      </c>
      <c r="L1818" s="0" t="n">
        <f aca="false">ROUND(E1818-K1818,2)</f>
        <v>66.62</v>
      </c>
      <c r="M1818" s="0" t="n">
        <f aca="false">F1818/E1818</f>
        <v>0.0167472706600844</v>
      </c>
    </row>
    <row r="1819" customFormat="false" ht="12.8" hidden="false" customHeight="false" outlineLevel="0" collapsed="false">
      <c r="A1819" s="0" t="s">
        <v>2628</v>
      </c>
      <c r="B1819" s="0" t="s">
        <v>2629</v>
      </c>
      <c r="C1819" s="0" t="s">
        <v>15</v>
      </c>
      <c r="D1819" s="0" t="s">
        <v>16</v>
      </c>
      <c r="E1819" s="0" t="n">
        <v>29635.4</v>
      </c>
      <c r="F1819" s="0" t="n">
        <v>119</v>
      </c>
      <c r="G1819" s="0" t="str">
        <f aca="false">IF(F1819&lt;=30,"Current",IF(F1819&lt;=60,"31 to 60 days",IF(F1819&lt;=90,"61 to 90 days",IF(F1819&lt;=120,"91 to 120 days","Over 120 days"))))</f>
        <v>91 to 120 days</v>
      </c>
      <c r="H1819" s="0" t="n">
        <f aca="false">VLOOKUP(D1819,Rates!$A$4:$B$7,2,FALSE())</f>
        <v>0.085</v>
      </c>
      <c r="I1819" s="0" t="n">
        <f aca="false">VLOOKUP(F1819,Rates!$D$4:$E$8,2)</f>
        <v>0.5</v>
      </c>
      <c r="J1819" s="0" t="n">
        <f aca="false">ROUND(E1819*I1819,2)</f>
        <v>14817.7</v>
      </c>
      <c r="K1819" s="1" t="n">
        <f aca="false">PV(H1819/12,F1819/30,0,-E1819)</f>
        <v>28817.1706913906</v>
      </c>
      <c r="L1819" s="0" t="n">
        <f aca="false">ROUND(E1819-K1819,2)</f>
        <v>818.23</v>
      </c>
      <c r="M1819" s="0" t="n">
        <f aca="false">F1819/E1819</f>
        <v>0.00401546798760941</v>
      </c>
    </row>
    <row r="1820" customFormat="false" ht="12.8" hidden="false" customHeight="false" outlineLevel="0" collapsed="false">
      <c r="A1820" s="0" t="s">
        <v>2630</v>
      </c>
      <c r="B1820" s="0" t="s">
        <v>74</v>
      </c>
      <c r="C1820" s="0" t="s">
        <v>31</v>
      </c>
      <c r="D1820" s="0" t="s">
        <v>23</v>
      </c>
      <c r="E1820" s="0" t="n">
        <v>36320.41</v>
      </c>
      <c r="F1820" s="0" t="n">
        <v>109</v>
      </c>
      <c r="G1820" s="0" t="str">
        <f aca="false">IF(F1820&lt;=30,"Current",IF(F1820&lt;=60,"31 to 60 days",IF(F1820&lt;=90,"61 to 90 days",IF(F1820&lt;=120,"91 to 120 days","Over 120 days"))))</f>
        <v>91 to 120 days</v>
      </c>
      <c r="H1820" s="0" t="n">
        <f aca="false">VLOOKUP(D1820,Rates!$A$4:$B$7,2,FALSE())</f>
        <v>0.115</v>
      </c>
      <c r="I1820" s="0" t="n">
        <f aca="false">VLOOKUP(F1820,Rates!$D$4:$E$8,2)</f>
        <v>0.5</v>
      </c>
      <c r="J1820" s="0" t="n">
        <f aca="false">ROUND(E1820*I1820,2)</f>
        <v>18160.21</v>
      </c>
      <c r="K1820" s="1" t="n">
        <f aca="false">PV(H1820/12,F1820/30,0,-E1820)</f>
        <v>35083.3332880341</v>
      </c>
      <c r="L1820" s="0" t="n">
        <f aca="false">ROUND(E1820-K1820,2)</f>
        <v>1237.08</v>
      </c>
      <c r="M1820" s="0" t="n">
        <f aca="false">F1820/E1820</f>
        <v>0.00300106744389725</v>
      </c>
    </row>
    <row r="1821" customFormat="false" ht="12.8" hidden="false" customHeight="false" outlineLevel="0" collapsed="false">
      <c r="A1821" s="0" t="s">
        <v>2631</v>
      </c>
      <c r="B1821" s="0" t="s">
        <v>723</v>
      </c>
      <c r="C1821" s="0" t="s">
        <v>31</v>
      </c>
      <c r="D1821" s="0" t="s">
        <v>49</v>
      </c>
      <c r="E1821" s="0" t="n">
        <v>43339.69</v>
      </c>
      <c r="F1821" s="0" t="n">
        <v>192</v>
      </c>
      <c r="G1821" s="0" t="str">
        <f aca="false">IF(F1821&lt;=30,"Current",IF(F1821&lt;=60,"31 to 60 days",IF(F1821&lt;=90,"61 to 90 days",IF(F1821&lt;=120,"91 to 120 days","Over 120 days"))))</f>
        <v>Over 120 days</v>
      </c>
      <c r="H1821" s="0" t="n">
        <f aca="false">VLOOKUP(D1821,Rates!$A$4:$B$7,2,FALSE())</f>
        <v>0.02</v>
      </c>
      <c r="I1821" s="0" t="n">
        <f aca="false">VLOOKUP(F1821,Rates!$D$4:$E$8,2)</f>
        <v>0.85</v>
      </c>
      <c r="J1821" s="0" t="n">
        <f aca="false">ROUND(E1821*I1821,2)</f>
        <v>36838.74</v>
      </c>
      <c r="K1821" s="1" t="n">
        <f aca="false">PV(H1821/12,F1821/30,0,-E1821)</f>
        <v>42880.2375100775</v>
      </c>
      <c r="L1821" s="0" t="n">
        <f aca="false">ROUND(E1821-K1821,2)</f>
        <v>459.45</v>
      </c>
      <c r="M1821" s="0" t="n">
        <f aca="false">F1821/E1821</f>
        <v>0.00443011936633603</v>
      </c>
    </row>
    <row r="1822" customFormat="false" ht="12.8" hidden="false" customHeight="false" outlineLevel="0" collapsed="false">
      <c r="A1822" s="0" t="s">
        <v>2632</v>
      </c>
      <c r="B1822" s="0" t="s">
        <v>2633</v>
      </c>
      <c r="C1822" s="0" t="s">
        <v>15</v>
      </c>
      <c r="D1822" s="0" t="s">
        <v>16</v>
      </c>
      <c r="E1822" s="0" t="n">
        <v>30599.29</v>
      </c>
      <c r="F1822" s="0" t="n">
        <v>146</v>
      </c>
      <c r="G1822" s="0" t="str">
        <f aca="false">IF(F1822&lt;=30,"Current",IF(F1822&lt;=60,"31 to 60 days",IF(F1822&lt;=90,"61 to 90 days",IF(F1822&lt;=120,"91 to 120 days","Over 120 days"))))</f>
        <v>Over 120 days</v>
      </c>
      <c r="H1822" s="0" t="n">
        <f aca="false">VLOOKUP(D1822,Rates!$A$4:$B$7,2,FALSE())</f>
        <v>0.085</v>
      </c>
      <c r="I1822" s="0" t="n">
        <f aca="false">VLOOKUP(F1822,Rates!$D$4:$E$8,2)</f>
        <v>0.85</v>
      </c>
      <c r="J1822" s="0" t="n">
        <f aca="false">ROUND(E1822*I1822,2)</f>
        <v>26009.4</v>
      </c>
      <c r="K1822" s="1" t="n">
        <f aca="false">PV(H1822/12,F1822/30,0,-E1822)</f>
        <v>29566.030955844</v>
      </c>
      <c r="L1822" s="0" t="n">
        <f aca="false">ROUND(E1822-K1822,2)</f>
        <v>1033.26</v>
      </c>
      <c r="M1822" s="0" t="n">
        <f aca="false">F1822/E1822</f>
        <v>0.00477135253791836</v>
      </c>
    </row>
    <row r="1823" customFormat="false" ht="12.8" hidden="false" customHeight="false" outlineLevel="0" collapsed="false">
      <c r="A1823" s="0" t="s">
        <v>2634</v>
      </c>
      <c r="B1823" s="0" t="s">
        <v>2635</v>
      </c>
      <c r="C1823" s="0" t="s">
        <v>26</v>
      </c>
      <c r="D1823" s="0" t="s">
        <v>49</v>
      </c>
      <c r="E1823" s="0" t="n">
        <v>11821.71</v>
      </c>
      <c r="F1823" s="0" t="n">
        <v>228</v>
      </c>
      <c r="G1823" s="0" t="str">
        <f aca="false">IF(F1823&lt;=30,"Current",IF(F1823&lt;=60,"31 to 60 days",IF(F1823&lt;=90,"61 to 90 days",IF(F1823&lt;=120,"91 to 120 days","Over 120 days"))))</f>
        <v>Over 120 days</v>
      </c>
      <c r="H1823" s="0" t="n">
        <f aca="false">VLOOKUP(D1823,Rates!$A$4:$B$7,2,FALSE())</f>
        <v>0.02</v>
      </c>
      <c r="I1823" s="0" t="n">
        <f aca="false">VLOOKUP(F1823,Rates!$D$4:$E$8,2)</f>
        <v>0.85</v>
      </c>
      <c r="J1823" s="0" t="n">
        <f aca="false">ROUND(E1823*I1823,2)</f>
        <v>10048.45</v>
      </c>
      <c r="K1823" s="1" t="n">
        <f aca="false">PV(H1823/12,F1823/30,0,-E1823)</f>
        <v>11673.0357902855</v>
      </c>
      <c r="L1823" s="0" t="n">
        <f aca="false">ROUND(E1823-K1823,2)</f>
        <v>148.67</v>
      </c>
      <c r="M1823" s="0" t="n">
        <f aca="false">F1823/E1823</f>
        <v>0.0192865499153676</v>
      </c>
    </row>
    <row r="1824" customFormat="false" ht="12.8" hidden="false" customHeight="false" outlineLevel="0" collapsed="false">
      <c r="A1824" s="0" t="s">
        <v>2636</v>
      </c>
      <c r="B1824" s="0" t="s">
        <v>2637</v>
      </c>
      <c r="C1824" s="0" t="s">
        <v>31</v>
      </c>
      <c r="D1824" s="0" t="s">
        <v>16</v>
      </c>
      <c r="E1824" s="0" t="n">
        <v>9430.89</v>
      </c>
      <c r="F1824" s="0" t="n">
        <v>93</v>
      </c>
      <c r="G1824" s="0" t="str">
        <f aca="false">IF(F1824&lt;=30,"Current",IF(F1824&lt;=60,"31 to 60 days",IF(F1824&lt;=90,"61 to 90 days",IF(F1824&lt;=120,"91 to 120 days","Over 120 days"))))</f>
        <v>91 to 120 days</v>
      </c>
      <c r="H1824" s="0" t="n">
        <f aca="false">VLOOKUP(D1824,Rates!$A$4:$B$7,2,FALSE())</f>
        <v>0.085</v>
      </c>
      <c r="I1824" s="0" t="n">
        <f aca="false">VLOOKUP(F1824,Rates!$D$4:$E$8,2)</f>
        <v>0.5</v>
      </c>
      <c r="J1824" s="0" t="n">
        <f aca="false">ROUND(E1824*I1824,2)</f>
        <v>4715.45</v>
      </c>
      <c r="K1824" s="1" t="n">
        <f aca="false">PV(H1824/12,F1824/30,0,-E1824)</f>
        <v>9226.77462124407</v>
      </c>
      <c r="L1824" s="0" t="n">
        <f aca="false">ROUND(E1824-K1824,2)</f>
        <v>204.12</v>
      </c>
      <c r="M1824" s="0" t="n">
        <f aca="false">F1824/E1824</f>
        <v>0.00986121140210521</v>
      </c>
    </row>
    <row r="1825" customFormat="false" ht="12.8" hidden="false" customHeight="false" outlineLevel="0" collapsed="false">
      <c r="A1825" s="0" t="s">
        <v>2638</v>
      </c>
      <c r="B1825" s="0" t="s">
        <v>490</v>
      </c>
      <c r="C1825" s="0" t="s">
        <v>42</v>
      </c>
      <c r="D1825" s="0" t="s">
        <v>23</v>
      </c>
      <c r="E1825" s="0" t="n">
        <v>1797.12</v>
      </c>
      <c r="F1825" s="0" t="n">
        <v>296</v>
      </c>
      <c r="G1825" s="0" t="str">
        <f aca="false">IF(F1825&lt;=30,"Current",IF(F1825&lt;=60,"31 to 60 days",IF(F1825&lt;=90,"61 to 90 days",IF(F1825&lt;=120,"91 to 120 days","Over 120 days"))))</f>
        <v>Over 120 days</v>
      </c>
      <c r="H1825" s="0" t="n">
        <f aca="false">VLOOKUP(D1825,Rates!$A$4:$B$7,2,FALSE())</f>
        <v>0.115</v>
      </c>
      <c r="I1825" s="0" t="n">
        <f aca="false">VLOOKUP(F1825,Rates!$D$4:$E$8,2)</f>
        <v>0.85</v>
      </c>
      <c r="J1825" s="0" t="n">
        <f aca="false">ROUND(E1825*I1825,2)</f>
        <v>1527.55</v>
      </c>
      <c r="K1825" s="1" t="n">
        <f aca="false">PV(H1825/12,F1825/30,0,-E1825)</f>
        <v>1635.71502459286</v>
      </c>
      <c r="L1825" s="0" t="n">
        <f aca="false">ROUND(E1825-K1825,2)</f>
        <v>161.4</v>
      </c>
      <c r="M1825" s="0" t="n">
        <f aca="false">F1825/E1825</f>
        <v>0.164707977207977</v>
      </c>
    </row>
    <row r="1826" customFormat="false" ht="12.8" hidden="false" customHeight="false" outlineLevel="0" collapsed="false">
      <c r="A1826" s="0" t="s">
        <v>2639</v>
      </c>
      <c r="B1826" s="0" t="s">
        <v>526</v>
      </c>
      <c r="C1826" s="0" t="s">
        <v>26</v>
      </c>
      <c r="D1826" s="0" t="s">
        <v>23</v>
      </c>
      <c r="E1826" s="0" t="n">
        <v>30687.19</v>
      </c>
      <c r="F1826" s="0" t="n">
        <v>397</v>
      </c>
      <c r="G1826" s="0" t="str">
        <f aca="false">IF(F1826&lt;=30,"Current",IF(F1826&lt;=60,"31 to 60 days",IF(F1826&lt;=90,"61 to 90 days",IF(F1826&lt;=120,"91 to 120 days","Over 120 days"))))</f>
        <v>Over 120 days</v>
      </c>
      <c r="H1826" s="0" t="n">
        <f aca="false">VLOOKUP(D1826,Rates!$A$4:$B$7,2,FALSE())</f>
        <v>0.115</v>
      </c>
      <c r="I1826" s="0" t="n">
        <f aca="false">VLOOKUP(F1826,Rates!$D$4:$E$8,2)</f>
        <v>0.85</v>
      </c>
      <c r="J1826" s="0" t="n">
        <f aca="false">ROUND(E1826*I1826,2)</f>
        <v>26084.11</v>
      </c>
      <c r="K1826" s="1" t="n">
        <f aca="false">PV(H1826/12,F1826/30,0,-E1826)</f>
        <v>27048.4494235645</v>
      </c>
      <c r="L1826" s="0" t="n">
        <f aca="false">ROUND(E1826-K1826,2)</f>
        <v>3638.74</v>
      </c>
      <c r="M1826" s="0" t="n">
        <f aca="false">F1826/E1826</f>
        <v>0.0129369942311434</v>
      </c>
    </row>
    <row r="1827" customFormat="false" ht="12.8" hidden="false" customHeight="false" outlineLevel="0" collapsed="false">
      <c r="A1827" s="0" t="s">
        <v>2640</v>
      </c>
      <c r="B1827" s="0" t="s">
        <v>2641</v>
      </c>
      <c r="C1827" s="0" t="s">
        <v>19</v>
      </c>
      <c r="D1827" s="0" t="s">
        <v>16</v>
      </c>
      <c r="E1827" s="0" t="n">
        <v>29055.41</v>
      </c>
      <c r="F1827" s="0" t="n">
        <v>151</v>
      </c>
      <c r="G1827" s="0" t="str">
        <f aca="false">IF(F1827&lt;=30,"Current",IF(F1827&lt;=60,"31 to 60 days",IF(F1827&lt;=90,"61 to 90 days",IF(F1827&lt;=120,"91 to 120 days","Over 120 days"))))</f>
        <v>Over 120 days</v>
      </c>
      <c r="H1827" s="0" t="n">
        <f aca="false">VLOOKUP(D1827,Rates!$A$4:$B$7,2,FALSE())</f>
        <v>0.085</v>
      </c>
      <c r="I1827" s="0" t="n">
        <f aca="false">VLOOKUP(F1827,Rates!$D$4:$E$8,2)</f>
        <v>0.85</v>
      </c>
      <c r="J1827" s="0" t="n">
        <f aca="false">ROUND(E1827*I1827,2)</f>
        <v>24697.1</v>
      </c>
      <c r="K1827" s="1" t="n">
        <f aca="false">PV(H1827/12,F1827/30,0,-E1827)</f>
        <v>28041.2767962628</v>
      </c>
      <c r="L1827" s="0" t="n">
        <f aca="false">ROUND(E1827-K1827,2)</f>
        <v>1014.13</v>
      </c>
      <c r="M1827" s="0" t="n">
        <f aca="false">F1827/E1827</f>
        <v>0.00519696676109544</v>
      </c>
    </row>
    <row r="1828" customFormat="false" ht="12.8" hidden="false" customHeight="false" outlineLevel="0" collapsed="false">
      <c r="A1828" s="0" t="s">
        <v>2642</v>
      </c>
      <c r="B1828" s="0" t="s">
        <v>186</v>
      </c>
      <c r="C1828" s="0" t="s">
        <v>31</v>
      </c>
      <c r="D1828" s="0" t="s">
        <v>23</v>
      </c>
      <c r="E1828" s="0" t="n">
        <v>6656.13</v>
      </c>
      <c r="F1828" s="0" t="n">
        <v>340</v>
      </c>
      <c r="G1828" s="0" t="str">
        <f aca="false">IF(F1828&lt;=30,"Current",IF(F1828&lt;=60,"31 to 60 days",IF(F1828&lt;=90,"61 to 90 days",IF(F1828&lt;=120,"91 to 120 days","Over 120 days"))))</f>
        <v>Over 120 days</v>
      </c>
      <c r="H1828" s="0" t="n">
        <f aca="false">VLOOKUP(D1828,Rates!$A$4:$B$7,2,FALSE())</f>
        <v>0.115</v>
      </c>
      <c r="I1828" s="0" t="n">
        <f aca="false">VLOOKUP(F1828,Rates!$D$4:$E$8,2)</f>
        <v>0.85</v>
      </c>
      <c r="J1828" s="0" t="n">
        <f aca="false">ROUND(E1828*I1828,2)</f>
        <v>5657.71</v>
      </c>
      <c r="K1828" s="1" t="n">
        <f aca="false">PV(H1828/12,F1828/30,0,-E1828)</f>
        <v>5974.16447049882</v>
      </c>
      <c r="L1828" s="0" t="n">
        <f aca="false">ROUND(E1828-K1828,2)</f>
        <v>681.97</v>
      </c>
      <c r="M1828" s="0" t="n">
        <f aca="false">F1828/E1828</f>
        <v>0.0510807330986624</v>
      </c>
    </row>
    <row r="1829" customFormat="false" ht="12.8" hidden="false" customHeight="false" outlineLevel="0" collapsed="false">
      <c r="A1829" s="0" t="s">
        <v>2643</v>
      </c>
      <c r="B1829" s="0" t="s">
        <v>2644</v>
      </c>
      <c r="C1829" s="0" t="s">
        <v>26</v>
      </c>
      <c r="D1829" s="0" t="s">
        <v>16</v>
      </c>
      <c r="E1829" s="0" t="n">
        <v>10252.64</v>
      </c>
      <c r="F1829" s="0" t="n">
        <v>273</v>
      </c>
      <c r="G1829" s="0" t="str">
        <f aca="false">IF(F1829&lt;=30,"Current",IF(F1829&lt;=60,"31 to 60 days",IF(F1829&lt;=90,"61 to 90 days",IF(F1829&lt;=120,"91 to 120 days","Over 120 days"))))</f>
        <v>Over 120 days</v>
      </c>
      <c r="H1829" s="0" t="n">
        <f aca="false">VLOOKUP(D1829,Rates!$A$4:$B$7,2,FALSE())</f>
        <v>0.085</v>
      </c>
      <c r="I1829" s="0" t="n">
        <f aca="false">VLOOKUP(F1829,Rates!$D$4:$E$8,2)</f>
        <v>0.85</v>
      </c>
      <c r="J1829" s="0" t="n">
        <f aca="false">ROUND(E1829*I1829,2)</f>
        <v>8714.74</v>
      </c>
      <c r="K1829" s="1" t="n">
        <f aca="false">PV(H1829/12,F1829/30,0,-E1829)</f>
        <v>9614.80518873172</v>
      </c>
      <c r="L1829" s="0" t="n">
        <f aca="false">ROUND(E1829-K1829,2)</f>
        <v>637.83</v>
      </c>
      <c r="M1829" s="0" t="n">
        <f aca="false">F1829/E1829</f>
        <v>0.0266272881911391</v>
      </c>
    </row>
    <row r="1830" customFormat="false" ht="12.8" hidden="false" customHeight="false" outlineLevel="0" collapsed="false">
      <c r="A1830" s="0" t="s">
        <v>2645</v>
      </c>
      <c r="B1830" s="0" t="s">
        <v>55</v>
      </c>
      <c r="C1830" s="0" t="s">
        <v>26</v>
      </c>
      <c r="D1830" s="0" t="s">
        <v>23</v>
      </c>
      <c r="E1830" s="0" t="n">
        <v>6512.34</v>
      </c>
      <c r="F1830" s="0" t="n">
        <v>168</v>
      </c>
      <c r="G1830" s="0" t="str">
        <f aca="false">IF(F1830&lt;=30,"Current",IF(F1830&lt;=60,"31 to 60 days",IF(F1830&lt;=90,"61 to 90 days",IF(F1830&lt;=120,"91 to 120 days","Over 120 days"))))</f>
        <v>Over 120 days</v>
      </c>
      <c r="H1830" s="0" t="n">
        <f aca="false">VLOOKUP(D1830,Rates!$A$4:$B$7,2,FALSE())</f>
        <v>0.115</v>
      </c>
      <c r="I1830" s="0" t="n">
        <f aca="false">VLOOKUP(F1830,Rates!$D$4:$E$8,2)</f>
        <v>0.85</v>
      </c>
      <c r="J1830" s="0" t="n">
        <f aca="false">ROUND(E1830*I1830,2)</f>
        <v>5535.49</v>
      </c>
      <c r="K1830" s="1" t="n">
        <f aca="false">PV(H1830/12,F1830/30,0,-E1830)</f>
        <v>6173.63430918277</v>
      </c>
      <c r="L1830" s="0" t="n">
        <f aca="false">ROUND(E1830-K1830,2)</f>
        <v>338.71</v>
      </c>
      <c r="M1830" s="0" t="n">
        <f aca="false">F1830/E1830</f>
        <v>0.0257971788942224</v>
      </c>
    </row>
    <row r="1831" customFormat="false" ht="12.8" hidden="false" customHeight="false" outlineLevel="0" collapsed="false">
      <c r="A1831" s="0" t="s">
        <v>2646</v>
      </c>
      <c r="B1831" s="0" t="s">
        <v>2647</v>
      </c>
      <c r="C1831" s="0" t="s">
        <v>42</v>
      </c>
      <c r="D1831" s="0" t="s">
        <v>16</v>
      </c>
      <c r="E1831" s="0" t="n">
        <v>19261.72</v>
      </c>
      <c r="F1831" s="0" t="n">
        <v>353</v>
      </c>
      <c r="G1831" s="0" t="str">
        <f aca="false">IF(F1831&lt;=30,"Current",IF(F1831&lt;=60,"31 to 60 days",IF(F1831&lt;=90,"61 to 90 days",IF(F1831&lt;=120,"91 to 120 days","Over 120 days"))))</f>
        <v>Over 120 days</v>
      </c>
      <c r="H1831" s="0" t="n">
        <f aca="false">VLOOKUP(D1831,Rates!$A$4:$B$7,2,FALSE())</f>
        <v>0.085</v>
      </c>
      <c r="I1831" s="0" t="n">
        <f aca="false">VLOOKUP(F1831,Rates!$D$4:$E$8,2)</f>
        <v>0.85</v>
      </c>
      <c r="J1831" s="0" t="n">
        <f aca="false">ROUND(E1831*I1831,2)</f>
        <v>16372.46</v>
      </c>
      <c r="K1831" s="1" t="n">
        <f aca="false">PV(H1831/12,F1831/30,0,-E1831)</f>
        <v>17726.599106387</v>
      </c>
      <c r="L1831" s="0" t="n">
        <f aca="false">ROUND(E1831-K1831,2)</f>
        <v>1535.12</v>
      </c>
      <c r="M1831" s="0" t="n">
        <f aca="false">F1831/E1831</f>
        <v>0.0183265045904519</v>
      </c>
    </row>
    <row r="1832" customFormat="false" ht="12.8" hidden="false" customHeight="false" outlineLevel="0" collapsed="false">
      <c r="A1832" s="0" t="s">
        <v>2648</v>
      </c>
      <c r="B1832" s="0" t="s">
        <v>2649</v>
      </c>
      <c r="C1832" s="0" t="s">
        <v>26</v>
      </c>
      <c r="D1832" s="0" t="s">
        <v>16</v>
      </c>
      <c r="E1832" s="0" t="n">
        <v>2985.55</v>
      </c>
      <c r="F1832" s="0" t="n">
        <v>334</v>
      </c>
      <c r="G1832" s="0" t="str">
        <f aca="false">IF(F1832&lt;=30,"Current",IF(F1832&lt;=60,"31 to 60 days",IF(F1832&lt;=90,"61 to 90 days",IF(F1832&lt;=120,"91 to 120 days","Over 120 days"))))</f>
        <v>Over 120 days</v>
      </c>
      <c r="H1832" s="0" t="n">
        <f aca="false">VLOOKUP(D1832,Rates!$A$4:$B$7,2,FALSE())</f>
        <v>0.085</v>
      </c>
      <c r="I1832" s="0" t="n">
        <f aca="false">VLOOKUP(F1832,Rates!$D$4:$E$8,2)</f>
        <v>0.85</v>
      </c>
      <c r="J1832" s="0" t="n">
        <f aca="false">ROUND(E1832*I1832,2)</f>
        <v>2537.72</v>
      </c>
      <c r="K1832" s="1" t="n">
        <f aca="false">PV(H1832/12,F1832/30,0,-E1832)</f>
        <v>2759.91770205158</v>
      </c>
      <c r="L1832" s="0" t="n">
        <f aca="false">ROUND(E1832-K1832,2)</f>
        <v>225.63</v>
      </c>
      <c r="M1832" s="0" t="n">
        <f aca="false">F1832/E1832</f>
        <v>0.111872184354642</v>
      </c>
    </row>
    <row r="1833" customFormat="false" ht="12.8" hidden="false" customHeight="false" outlineLevel="0" collapsed="false">
      <c r="A1833" s="0" t="s">
        <v>2650</v>
      </c>
      <c r="B1833" s="0" t="s">
        <v>418</v>
      </c>
      <c r="C1833" s="0" t="s">
        <v>15</v>
      </c>
      <c r="D1833" s="0" t="s">
        <v>16</v>
      </c>
      <c r="E1833" s="0" t="n">
        <v>18210.53</v>
      </c>
      <c r="F1833" s="0" t="n">
        <v>140</v>
      </c>
      <c r="G1833" s="0" t="str">
        <f aca="false">IF(F1833&lt;=30,"Current",IF(F1833&lt;=60,"31 to 60 days",IF(F1833&lt;=90,"61 to 90 days",IF(F1833&lt;=120,"91 to 120 days","Over 120 days"))))</f>
        <v>Over 120 days</v>
      </c>
      <c r="H1833" s="0" t="n">
        <f aca="false">VLOOKUP(D1833,Rates!$A$4:$B$7,2,FALSE())</f>
        <v>0.085</v>
      </c>
      <c r="I1833" s="0" t="n">
        <f aca="false">VLOOKUP(F1833,Rates!$D$4:$E$8,2)</f>
        <v>0.85</v>
      </c>
      <c r="J1833" s="0" t="n">
        <f aca="false">ROUND(E1833*I1833,2)</f>
        <v>15478.95</v>
      </c>
      <c r="K1833" s="1" t="n">
        <f aca="false">PV(H1833/12,F1833/30,0,-E1833)</f>
        <v>17620.4641870528</v>
      </c>
      <c r="L1833" s="0" t="n">
        <f aca="false">ROUND(E1833-K1833,2)</f>
        <v>590.07</v>
      </c>
      <c r="M1833" s="0" t="n">
        <f aca="false">F1833/E1833</f>
        <v>0.00768785971632896</v>
      </c>
    </row>
    <row r="1834" customFormat="false" ht="12.8" hidden="false" customHeight="false" outlineLevel="0" collapsed="false">
      <c r="A1834" s="0" t="s">
        <v>2651</v>
      </c>
      <c r="B1834" s="0" t="s">
        <v>33</v>
      </c>
      <c r="C1834" s="0" t="s">
        <v>26</v>
      </c>
      <c r="D1834" s="0" t="s">
        <v>20</v>
      </c>
      <c r="E1834" s="0" t="n">
        <v>22550.09</v>
      </c>
      <c r="F1834" s="0" t="n">
        <v>250</v>
      </c>
      <c r="G1834" s="0" t="str">
        <f aca="false">IF(F1834&lt;=30,"Current",IF(F1834&lt;=60,"31 to 60 days",IF(F1834&lt;=90,"61 to 90 days",IF(F1834&lt;=120,"91 to 120 days","Over 120 days"))))</f>
        <v>Over 120 days</v>
      </c>
      <c r="H1834" s="0" t="n">
        <f aca="false">VLOOKUP(D1834,Rates!$A$4:$B$7,2,FALSE())</f>
        <v>0.05</v>
      </c>
      <c r="I1834" s="0" t="n">
        <f aca="false">VLOOKUP(F1834,Rates!$D$4:$E$8,2)</f>
        <v>0.85</v>
      </c>
      <c r="J1834" s="0" t="n">
        <f aca="false">ROUND(E1834*I1834,2)</f>
        <v>19167.58</v>
      </c>
      <c r="K1834" s="1" t="n">
        <f aca="false">PV(H1834/12,F1834/30,0,-E1834)</f>
        <v>21782.1096039421</v>
      </c>
      <c r="L1834" s="0" t="n">
        <f aca="false">ROUND(E1834-K1834,2)</f>
        <v>767.98</v>
      </c>
      <c r="M1834" s="0" t="n">
        <f aca="false">F1834/E1834</f>
        <v>0.0110864302537152</v>
      </c>
    </row>
    <row r="1835" customFormat="false" ht="12.8" hidden="false" customHeight="false" outlineLevel="0" collapsed="false">
      <c r="A1835" s="0" t="s">
        <v>2652</v>
      </c>
      <c r="B1835" s="0" t="s">
        <v>2653</v>
      </c>
      <c r="C1835" s="0" t="s">
        <v>26</v>
      </c>
      <c r="D1835" s="0" t="s">
        <v>49</v>
      </c>
      <c r="E1835" s="0" t="n">
        <v>0</v>
      </c>
      <c r="F1835" s="0" t="n">
        <v>90</v>
      </c>
      <c r="G1835" s="0" t="str">
        <f aca="false">IF(F1835&lt;=30,"Current",IF(F1835&lt;=60,"31 to 60 days",IF(F1835&lt;=90,"61 to 90 days",IF(F1835&lt;=120,"91 to 120 days","Over 120 days"))))</f>
        <v>61 to 90 days</v>
      </c>
      <c r="H1835" s="0" t="n">
        <f aca="false">VLOOKUP(D1835,Rates!$A$4:$B$7,2,FALSE())</f>
        <v>0.02</v>
      </c>
      <c r="I1835" s="0" t="n">
        <f aca="false">VLOOKUP(F1835,Rates!$D$4:$E$8,2)</f>
        <v>0.25</v>
      </c>
      <c r="J1835" s="0" t="n">
        <f aca="false">ROUND(E1835*I1835,2)</f>
        <v>0</v>
      </c>
      <c r="K1835" s="1" t="n">
        <f aca="false">PV(H1835/12,F1835/30,0,-E1835)</f>
        <v>-0</v>
      </c>
      <c r="L1835" s="0" t="n">
        <f aca="false">ROUND(E1835-K1835,2)</f>
        <v>0</v>
      </c>
      <c r="M1835" s="0" t="e">
        <f aca="false">F1835/E1835</f>
        <v>#DIV/0!</v>
      </c>
    </row>
    <row r="1836" customFormat="false" ht="12.8" hidden="false" customHeight="false" outlineLevel="0" collapsed="false">
      <c r="A1836" s="0" t="s">
        <v>2654</v>
      </c>
      <c r="B1836" s="0" t="s">
        <v>97</v>
      </c>
      <c r="C1836" s="0" t="s">
        <v>42</v>
      </c>
      <c r="D1836" s="0" t="s">
        <v>20</v>
      </c>
      <c r="E1836" s="0" t="n">
        <v>40685.11</v>
      </c>
      <c r="F1836" s="0" t="n">
        <v>339</v>
      </c>
      <c r="G1836" s="0" t="str">
        <f aca="false">IF(F1836&lt;=30,"Current",IF(F1836&lt;=60,"31 to 60 days",IF(F1836&lt;=90,"61 to 90 days",IF(F1836&lt;=120,"91 to 120 days","Over 120 days"))))</f>
        <v>Over 120 days</v>
      </c>
      <c r="H1836" s="0" t="n">
        <f aca="false">VLOOKUP(D1836,Rates!$A$4:$B$7,2,FALSE())</f>
        <v>0.05</v>
      </c>
      <c r="I1836" s="0" t="n">
        <f aca="false">VLOOKUP(F1836,Rates!$D$4:$E$8,2)</f>
        <v>0.85</v>
      </c>
      <c r="J1836" s="0" t="n">
        <f aca="false">ROUND(E1836*I1836,2)</f>
        <v>34582.34</v>
      </c>
      <c r="K1836" s="1" t="n">
        <f aca="false">PV(H1836/12,F1836/30,0,-E1836)</f>
        <v>38817.713003504</v>
      </c>
      <c r="L1836" s="0" t="n">
        <f aca="false">ROUND(E1836-K1836,2)</f>
        <v>1867.4</v>
      </c>
      <c r="M1836" s="0" t="n">
        <f aca="false">F1836/E1836</f>
        <v>0.00833228667687024</v>
      </c>
    </row>
    <row r="1837" customFormat="false" ht="12.8" hidden="false" customHeight="false" outlineLevel="0" collapsed="false">
      <c r="A1837" s="0" t="s">
        <v>2655</v>
      </c>
      <c r="B1837" s="0" t="s">
        <v>1228</v>
      </c>
      <c r="C1837" s="0" t="s">
        <v>15</v>
      </c>
      <c r="D1837" s="0" t="s">
        <v>16</v>
      </c>
      <c r="E1837" s="0" t="n">
        <v>23141.55</v>
      </c>
      <c r="F1837" s="0" t="n">
        <v>127</v>
      </c>
      <c r="G1837" s="0" t="str">
        <f aca="false">IF(F1837&lt;=30,"Current",IF(F1837&lt;=60,"31 to 60 days",IF(F1837&lt;=90,"61 to 90 days",IF(F1837&lt;=120,"91 to 120 days","Over 120 days"))))</f>
        <v>Over 120 days</v>
      </c>
      <c r="H1837" s="0" t="n">
        <f aca="false">VLOOKUP(D1837,Rates!$A$4:$B$7,2,FALSE())</f>
        <v>0.085</v>
      </c>
      <c r="I1837" s="0" t="n">
        <f aca="false">VLOOKUP(F1837,Rates!$D$4:$E$8,2)</f>
        <v>0.85</v>
      </c>
      <c r="J1837" s="0" t="n">
        <f aca="false">ROUND(E1837*I1837,2)</f>
        <v>19670.32</v>
      </c>
      <c r="K1837" s="1" t="n">
        <f aca="false">PV(H1837/12,F1837/30,0,-E1837)</f>
        <v>22460.2997224937</v>
      </c>
      <c r="L1837" s="0" t="n">
        <f aca="false">ROUND(E1837-K1837,2)</f>
        <v>681.25</v>
      </c>
      <c r="M1837" s="0" t="n">
        <f aca="false">F1837/E1837</f>
        <v>0.00548796428934103</v>
      </c>
    </row>
    <row r="1838" customFormat="false" ht="12.8" hidden="false" customHeight="false" outlineLevel="0" collapsed="false">
      <c r="A1838" s="0" t="s">
        <v>2656</v>
      </c>
      <c r="B1838" s="0" t="s">
        <v>2657</v>
      </c>
      <c r="C1838" s="0" t="s">
        <v>42</v>
      </c>
      <c r="D1838" s="0" t="s">
        <v>16</v>
      </c>
      <c r="E1838" s="0" t="n">
        <v>23521.88</v>
      </c>
      <c r="F1838" s="0" t="n">
        <v>365</v>
      </c>
      <c r="G1838" s="0" t="str">
        <f aca="false">IF(F1838&lt;=30,"Current",IF(F1838&lt;=60,"31 to 60 days",IF(F1838&lt;=90,"61 to 90 days",IF(F1838&lt;=120,"91 to 120 days","Over 120 days"))))</f>
        <v>Over 120 days</v>
      </c>
      <c r="H1838" s="0" t="n">
        <f aca="false">VLOOKUP(D1838,Rates!$A$4:$B$7,2,FALSE())</f>
        <v>0.085</v>
      </c>
      <c r="I1838" s="0" t="n">
        <f aca="false">VLOOKUP(F1838,Rates!$D$4:$E$8,2)</f>
        <v>0.85</v>
      </c>
      <c r="J1838" s="0" t="n">
        <f aca="false">ROUND(E1838*I1838,2)</f>
        <v>19993.6</v>
      </c>
      <c r="K1838" s="1" t="n">
        <f aca="false">PV(H1838/12,F1838/30,0,-E1838)</f>
        <v>21586.2013753319</v>
      </c>
      <c r="L1838" s="0" t="n">
        <f aca="false">ROUND(E1838-K1838,2)</f>
        <v>1935.68</v>
      </c>
      <c r="M1838" s="0" t="n">
        <f aca="false">F1838/E1838</f>
        <v>0.0155174671412319</v>
      </c>
    </row>
    <row r="1839" customFormat="false" ht="12.8" hidden="false" customHeight="false" outlineLevel="0" collapsed="false">
      <c r="A1839" s="0" t="s">
        <v>2658</v>
      </c>
      <c r="B1839" s="0" t="s">
        <v>2659</v>
      </c>
      <c r="C1839" s="0" t="s">
        <v>19</v>
      </c>
      <c r="D1839" s="0" t="s">
        <v>16</v>
      </c>
      <c r="E1839" s="0" t="n">
        <v>12254.85</v>
      </c>
      <c r="F1839" s="0" t="n">
        <v>55</v>
      </c>
      <c r="G1839" s="0" t="str">
        <f aca="false">IF(F1839&lt;=30,"Current",IF(F1839&lt;=60,"31 to 60 days",IF(F1839&lt;=90,"61 to 90 days",IF(F1839&lt;=120,"91 to 120 days","Over 120 days"))))</f>
        <v>31 to 60 days</v>
      </c>
      <c r="H1839" s="0" t="n">
        <f aca="false">VLOOKUP(D1839,Rates!$A$4:$B$7,2,FALSE())</f>
        <v>0.085</v>
      </c>
      <c r="I1839" s="0" t="n">
        <f aca="false">VLOOKUP(F1839,Rates!$D$4:$E$8,2)</f>
        <v>0.1</v>
      </c>
      <c r="J1839" s="0" t="n">
        <f aca="false">ROUND(E1839*I1839,2)</f>
        <v>1225.49</v>
      </c>
      <c r="K1839" s="1" t="n">
        <f aca="false">PV(H1839/12,F1839/30,0,-E1839)</f>
        <v>12097.2897792635</v>
      </c>
      <c r="L1839" s="0" t="n">
        <f aca="false">ROUND(E1839-K1839,2)</f>
        <v>157.56</v>
      </c>
      <c r="M1839" s="0" t="n">
        <f aca="false">F1839/E1839</f>
        <v>0.00448801902920068</v>
      </c>
    </row>
    <row r="1840" customFormat="false" ht="12.8" hidden="false" customHeight="false" outlineLevel="0" collapsed="false">
      <c r="A1840" s="0" t="s">
        <v>2660</v>
      </c>
      <c r="B1840" s="0" t="s">
        <v>441</v>
      </c>
      <c r="C1840" s="0" t="s">
        <v>15</v>
      </c>
      <c r="D1840" s="0" t="s">
        <v>23</v>
      </c>
      <c r="E1840" s="0" t="n">
        <v>15545.89</v>
      </c>
      <c r="F1840" s="0" t="n">
        <v>61</v>
      </c>
      <c r="G1840" s="0" t="str">
        <f aca="false">IF(F1840&lt;=30,"Current",IF(F1840&lt;=60,"31 to 60 days",IF(F1840&lt;=90,"61 to 90 days",IF(F1840&lt;=120,"91 to 120 days","Over 120 days"))))</f>
        <v>61 to 90 days</v>
      </c>
      <c r="H1840" s="0" t="n">
        <f aca="false">VLOOKUP(D1840,Rates!$A$4:$B$7,2,FALSE())</f>
        <v>0.115</v>
      </c>
      <c r="I1840" s="0" t="n">
        <f aca="false">VLOOKUP(F1840,Rates!$D$4:$E$8,2)</f>
        <v>0.25</v>
      </c>
      <c r="J1840" s="0" t="n">
        <f aca="false">ROUND(E1840*I1840,2)</f>
        <v>3886.47</v>
      </c>
      <c r="K1840" s="1" t="n">
        <f aca="false">PV(H1840/12,F1840/30,0,-E1840)</f>
        <v>15247.3079951705</v>
      </c>
      <c r="L1840" s="0" t="n">
        <f aca="false">ROUND(E1840-K1840,2)</f>
        <v>298.58</v>
      </c>
      <c r="M1840" s="0" t="n">
        <f aca="false">F1840/E1840</f>
        <v>0.00392386669402652</v>
      </c>
    </row>
    <row r="1841" customFormat="false" ht="12.8" hidden="false" customHeight="false" outlineLevel="0" collapsed="false">
      <c r="A1841" s="0" t="s">
        <v>2661</v>
      </c>
      <c r="B1841" s="0" t="s">
        <v>2662</v>
      </c>
      <c r="C1841" s="0" t="s">
        <v>15</v>
      </c>
      <c r="D1841" s="0" t="s">
        <v>16</v>
      </c>
      <c r="E1841" s="0" t="n">
        <v>17236.7</v>
      </c>
      <c r="F1841" s="0" t="n">
        <v>37</v>
      </c>
      <c r="G1841" s="0" t="str">
        <f aca="false">IF(F1841&lt;=30,"Current",IF(F1841&lt;=60,"31 to 60 days",IF(F1841&lt;=90,"61 to 90 days",IF(F1841&lt;=120,"91 to 120 days","Over 120 days"))))</f>
        <v>31 to 60 days</v>
      </c>
      <c r="H1841" s="0" t="n">
        <f aca="false">VLOOKUP(D1841,Rates!$A$4:$B$7,2,FALSE())</f>
        <v>0.085</v>
      </c>
      <c r="I1841" s="0" t="n">
        <f aca="false">VLOOKUP(F1841,Rates!$D$4:$E$8,2)</f>
        <v>0.1</v>
      </c>
      <c r="J1841" s="0" t="n">
        <f aca="false">ROUND(E1841*I1841,2)</f>
        <v>1723.67</v>
      </c>
      <c r="K1841" s="1" t="n">
        <f aca="false">PV(H1841/12,F1841/30,0,-E1841)</f>
        <v>17087.3003080438</v>
      </c>
      <c r="L1841" s="0" t="n">
        <f aca="false">ROUND(E1841-K1841,2)</f>
        <v>149.4</v>
      </c>
      <c r="M1841" s="0" t="n">
        <f aca="false">F1841/E1841</f>
        <v>0.00214658258251289</v>
      </c>
    </row>
    <row r="1842" customFormat="false" ht="12.8" hidden="false" customHeight="false" outlineLevel="0" collapsed="false">
      <c r="A1842" s="0" t="s">
        <v>2663</v>
      </c>
      <c r="B1842" s="0" t="s">
        <v>97</v>
      </c>
      <c r="C1842" s="0" t="s">
        <v>42</v>
      </c>
      <c r="D1842" s="0" t="s">
        <v>20</v>
      </c>
      <c r="E1842" s="0" t="n">
        <v>8961</v>
      </c>
      <c r="F1842" s="0" t="n">
        <v>283</v>
      </c>
      <c r="G1842" s="0" t="str">
        <f aca="false">IF(F1842&lt;=30,"Current",IF(F1842&lt;=60,"31 to 60 days",IF(F1842&lt;=90,"61 to 90 days",IF(F1842&lt;=120,"91 to 120 days","Over 120 days"))))</f>
        <v>Over 120 days</v>
      </c>
      <c r="H1842" s="0" t="n">
        <f aca="false">VLOOKUP(D1842,Rates!$A$4:$B$7,2,FALSE())</f>
        <v>0.05</v>
      </c>
      <c r="I1842" s="0" t="n">
        <f aca="false">VLOOKUP(F1842,Rates!$D$4:$E$8,2)</f>
        <v>0.85</v>
      </c>
      <c r="J1842" s="0" t="n">
        <f aca="false">ROUND(E1842*I1842,2)</f>
        <v>7616.85</v>
      </c>
      <c r="K1842" s="1" t="n">
        <f aca="false">PV(H1842/12,F1842/30,0,-E1842)</f>
        <v>8616.31873165777</v>
      </c>
      <c r="L1842" s="0" t="n">
        <f aca="false">ROUND(E1842-K1842,2)</f>
        <v>344.68</v>
      </c>
      <c r="M1842" s="0" t="n">
        <f aca="false">F1842/E1842</f>
        <v>0.0315812967302756</v>
      </c>
    </row>
    <row r="1843" customFormat="false" ht="12.8" hidden="false" customHeight="false" outlineLevel="0" collapsed="false">
      <c r="A1843" s="0" t="s">
        <v>2664</v>
      </c>
      <c r="B1843" s="0" t="s">
        <v>44</v>
      </c>
      <c r="C1843" s="0" t="s">
        <v>36</v>
      </c>
      <c r="D1843" s="0" t="s">
        <v>23</v>
      </c>
      <c r="E1843" s="0" t="n">
        <v>20437.4</v>
      </c>
      <c r="F1843" s="0" t="n">
        <v>128</v>
      </c>
      <c r="G1843" s="0" t="str">
        <f aca="false">IF(F1843&lt;=30,"Current",IF(F1843&lt;=60,"31 to 60 days",IF(F1843&lt;=90,"61 to 90 days",IF(F1843&lt;=120,"91 to 120 days","Over 120 days"))))</f>
        <v>Over 120 days</v>
      </c>
      <c r="H1843" s="0" t="n">
        <f aca="false">VLOOKUP(D1843,Rates!$A$4:$B$7,2,FALSE())</f>
        <v>0.115</v>
      </c>
      <c r="I1843" s="0" t="n">
        <f aca="false">VLOOKUP(F1843,Rates!$D$4:$E$8,2)</f>
        <v>0.85</v>
      </c>
      <c r="J1843" s="0" t="n">
        <f aca="false">ROUND(E1843*I1843,2)</f>
        <v>17371.79</v>
      </c>
      <c r="K1843" s="1" t="n">
        <f aca="false">PV(H1843/12,F1843/30,0,-E1843)</f>
        <v>19622.411362952</v>
      </c>
      <c r="L1843" s="0" t="n">
        <f aca="false">ROUND(E1843-K1843,2)</f>
        <v>814.99</v>
      </c>
      <c r="M1843" s="0" t="n">
        <f aca="false">F1843/E1843</f>
        <v>0.00626302758667932</v>
      </c>
    </row>
    <row r="1844" customFormat="false" ht="12.8" hidden="false" customHeight="false" outlineLevel="0" collapsed="false">
      <c r="A1844" s="0" t="s">
        <v>2665</v>
      </c>
      <c r="B1844" s="0" t="s">
        <v>2666</v>
      </c>
      <c r="C1844" s="0" t="s">
        <v>36</v>
      </c>
      <c r="D1844" s="0" t="s">
        <v>49</v>
      </c>
      <c r="E1844" s="0" t="n">
        <v>4451.22</v>
      </c>
      <c r="F1844" s="0" t="n">
        <v>116</v>
      </c>
      <c r="G1844" s="0" t="str">
        <f aca="false">IF(F1844&lt;=30,"Current",IF(F1844&lt;=60,"31 to 60 days",IF(F1844&lt;=90,"61 to 90 days",IF(F1844&lt;=120,"91 to 120 days","Over 120 days"))))</f>
        <v>91 to 120 days</v>
      </c>
      <c r="H1844" s="0" t="n">
        <f aca="false">VLOOKUP(D1844,Rates!$A$4:$B$7,2,FALSE())</f>
        <v>0.02</v>
      </c>
      <c r="I1844" s="0" t="n">
        <f aca="false">VLOOKUP(F1844,Rates!$D$4:$E$8,2)</f>
        <v>0.5</v>
      </c>
      <c r="J1844" s="0" t="n">
        <f aca="false">ROUND(E1844*I1844,2)</f>
        <v>2225.61</v>
      </c>
      <c r="K1844" s="1" t="n">
        <f aca="false">PV(H1844/12,F1844/30,0,-E1844)</f>
        <v>4422.65031811882</v>
      </c>
      <c r="L1844" s="0" t="n">
        <f aca="false">ROUND(E1844-K1844,2)</f>
        <v>28.57</v>
      </c>
      <c r="M1844" s="0" t="n">
        <f aca="false">F1844/E1844</f>
        <v>0.0260602711166826</v>
      </c>
    </row>
    <row r="1845" customFormat="false" ht="12.8" hidden="false" customHeight="false" outlineLevel="0" collapsed="false">
      <c r="A1845" s="0" t="s">
        <v>2667</v>
      </c>
      <c r="B1845" s="0" t="s">
        <v>30</v>
      </c>
      <c r="C1845" s="0" t="s">
        <v>31</v>
      </c>
      <c r="D1845" s="0" t="s">
        <v>20</v>
      </c>
      <c r="E1845" s="0" t="n">
        <v>2629.03</v>
      </c>
      <c r="F1845" s="0" t="n">
        <v>286</v>
      </c>
      <c r="G1845" s="0" t="str">
        <f aca="false">IF(F1845&lt;=30,"Current",IF(F1845&lt;=60,"31 to 60 days",IF(F1845&lt;=90,"61 to 90 days",IF(F1845&lt;=120,"91 to 120 days","Over 120 days"))))</f>
        <v>Over 120 days</v>
      </c>
      <c r="H1845" s="0" t="n">
        <f aca="false">VLOOKUP(D1845,Rates!$A$4:$B$7,2,FALSE())</f>
        <v>0.05</v>
      </c>
      <c r="I1845" s="0" t="n">
        <f aca="false">VLOOKUP(F1845,Rates!$D$4:$E$8,2)</f>
        <v>0.85</v>
      </c>
      <c r="J1845" s="0" t="n">
        <f aca="false">ROUND(E1845*I1845,2)</f>
        <v>2234.68</v>
      </c>
      <c r="K1845" s="1" t="n">
        <f aca="false">PV(H1845/12,F1845/30,0,-E1845)</f>
        <v>2526.8545291158</v>
      </c>
      <c r="L1845" s="0" t="n">
        <f aca="false">ROUND(E1845-K1845,2)</f>
        <v>102.18</v>
      </c>
      <c r="M1845" s="0" t="n">
        <f aca="false">F1845/E1845</f>
        <v>0.108785369508906</v>
      </c>
    </row>
    <row r="1846" customFormat="false" ht="12.8" hidden="false" customHeight="false" outlineLevel="0" collapsed="false">
      <c r="A1846" s="0" t="s">
        <v>2668</v>
      </c>
      <c r="B1846" s="0" t="s">
        <v>2669</v>
      </c>
      <c r="C1846" s="0" t="s">
        <v>42</v>
      </c>
      <c r="D1846" s="0" t="s">
        <v>49</v>
      </c>
      <c r="E1846" s="0" t="n">
        <v>2149.94</v>
      </c>
      <c r="F1846" s="0" t="n">
        <v>180</v>
      </c>
      <c r="G1846" s="0" t="str">
        <f aca="false">IF(F1846&lt;=30,"Current",IF(F1846&lt;=60,"31 to 60 days",IF(F1846&lt;=90,"61 to 90 days",IF(F1846&lt;=120,"91 to 120 days","Over 120 days"))))</f>
        <v>Over 120 days</v>
      </c>
      <c r="H1846" s="0" t="n">
        <f aca="false">VLOOKUP(D1846,Rates!$A$4:$B$7,2,FALSE())</f>
        <v>0.02</v>
      </c>
      <c r="I1846" s="0" t="n">
        <f aca="false">VLOOKUP(F1846,Rates!$D$4:$E$8,2)</f>
        <v>0.85</v>
      </c>
      <c r="J1846" s="0" t="n">
        <f aca="false">ROUND(E1846*I1846,2)</f>
        <v>1827.45</v>
      </c>
      <c r="K1846" s="1" t="n">
        <f aca="false">PV(H1846/12,F1846/30,0,-E1846)</f>
        <v>2128.56545785809</v>
      </c>
      <c r="L1846" s="0" t="n">
        <f aca="false">ROUND(E1846-K1846,2)</f>
        <v>21.37</v>
      </c>
      <c r="M1846" s="0" t="n">
        <f aca="false">F1846/E1846</f>
        <v>0.0837232666958148</v>
      </c>
    </row>
    <row r="1847" customFormat="false" ht="12.8" hidden="false" customHeight="false" outlineLevel="0" collapsed="false">
      <c r="A1847" s="0" t="s">
        <v>2670</v>
      </c>
      <c r="B1847" s="0" t="s">
        <v>2671</v>
      </c>
      <c r="C1847" s="0" t="s">
        <v>26</v>
      </c>
      <c r="D1847" s="0" t="s">
        <v>49</v>
      </c>
      <c r="E1847" s="0" t="n">
        <v>4999.88</v>
      </c>
      <c r="F1847" s="0" t="n">
        <v>372</v>
      </c>
      <c r="G1847" s="0" t="str">
        <f aca="false">IF(F1847&lt;=30,"Current",IF(F1847&lt;=60,"31 to 60 days",IF(F1847&lt;=90,"61 to 90 days",IF(F1847&lt;=120,"91 to 120 days","Over 120 days"))))</f>
        <v>Over 120 days</v>
      </c>
      <c r="H1847" s="0" t="n">
        <f aca="false">VLOOKUP(D1847,Rates!$A$4:$B$7,2,FALSE())</f>
        <v>0.02</v>
      </c>
      <c r="I1847" s="0" t="n">
        <f aca="false">VLOOKUP(F1847,Rates!$D$4:$E$8,2)</f>
        <v>0.85</v>
      </c>
      <c r="J1847" s="0" t="n">
        <f aca="false">ROUND(E1847*I1847,2)</f>
        <v>4249.9</v>
      </c>
      <c r="K1847" s="1" t="n">
        <f aca="false">PV(H1847/12,F1847/30,0,-E1847)</f>
        <v>4897.69383588196</v>
      </c>
      <c r="L1847" s="0" t="n">
        <f aca="false">ROUND(E1847-K1847,2)</f>
        <v>102.19</v>
      </c>
      <c r="M1847" s="0" t="n">
        <f aca="false">F1847/E1847</f>
        <v>0.0744017856428554</v>
      </c>
    </row>
    <row r="1848" customFormat="false" ht="12.8" hidden="false" customHeight="false" outlineLevel="0" collapsed="false">
      <c r="A1848" s="0" t="s">
        <v>2672</v>
      </c>
      <c r="B1848" s="0" t="s">
        <v>2673</v>
      </c>
      <c r="C1848" s="0" t="s">
        <v>36</v>
      </c>
      <c r="D1848" s="0" t="s">
        <v>16</v>
      </c>
      <c r="E1848" s="0" t="n">
        <v>4212.46</v>
      </c>
      <c r="F1848" s="0" t="n">
        <v>250</v>
      </c>
      <c r="G1848" s="0" t="str">
        <f aca="false">IF(F1848&lt;=30,"Current",IF(F1848&lt;=60,"31 to 60 days",IF(F1848&lt;=90,"61 to 90 days",IF(F1848&lt;=120,"91 to 120 days","Over 120 days"))))</f>
        <v>Over 120 days</v>
      </c>
      <c r="H1848" s="0" t="n">
        <f aca="false">VLOOKUP(D1848,Rates!$A$4:$B$7,2,FALSE())</f>
        <v>0.085</v>
      </c>
      <c r="I1848" s="0" t="n">
        <f aca="false">VLOOKUP(F1848,Rates!$D$4:$E$8,2)</f>
        <v>0.85</v>
      </c>
      <c r="J1848" s="0" t="n">
        <f aca="false">ROUND(E1848*I1848,2)</f>
        <v>3580.59</v>
      </c>
      <c r="K1848" s="1" t="n">
        <f aca="false">PV(H1848/12,F1848/30,0,-E1848)</f>
        <v>3971.83060114672</v>
      </c>
      <c r="L1848" s="0" t="n">
        <f aca="false">ROUND(E1848-K1848,2)</f>
        <v>240.63</v>
      </c>
      <c r="M1848" s="0" t="n">
        <f aca="false">F1848/E1848</f>
        <v>0.0593477445483162</v>
      </c>
    </row>
    <row r="1849" customFormat="false" ht="12.8" hidden="false" customHeight="false" outlineLevel="0" collapsed="false">
      <c r="A1849" s="0" t="s">
        <v>2674</v>
      </c>
      <c r="B1849" s="0" t="s">
        <v>78</v>
      </c>
      <c r="C1849" s="0" t="s">
        <v>19</v>
      </c>
      <c r="D1849" s="0" t="s">
        <v>23</v>
      </c>
      <c r="E1849" s="0" t="n">
        <v>12191.29</v>
      </c>
      <c r="F1849" s="0" t="n">
        <v>328</v>
      </c>
      <c r="G1849" s="0" t="str">
        <f aca="false">IF(F1849&lt;=30,"Current",IF(F1849&lt;=60,"31 to 60 days",IF(F1849&lt;=90,"61 to 90 days",IF(F1849&lt;=120,"91 to 120 days","Over 120 days"))))</f>
        <v>Over 120 days</v>
      </c>
      <c r="H1849" s="0" t="n">
        <f aca="false">VLOOKUP(D1849,Rates!$A$4:$B$7,2,FALSE())</f>
        <v>0.115</v>
      </c>
      <c r="I1849" s="0" t="n">
        <f aca="false">VLOOKUP(F1849,Rates!$D$4:$E$8,2)</f>
        <v>0.85</v>
      </c>
      <c r="J1849" s="0" t="n">
        <f aca="false">ROUND(E1849*I1849,2)</f>
        <v>10362.6</v>
      </c>
      <c r="K1849" s="1" t="n">
        <f aca="false">PV(H1849/12,F1849/30,0,-E1849)</f>
        <v>10984.0350560934</v>
      </c>
      <c r="L1849" s="0" t="n">
        <f aca="false">ROUND(E1849-K1849,2)</f>
        <v>1207.25</v>
      </c>
      <c r="M1849" s="0" t="n">
        <f aca="false">F1849/E1849</f>
        <v>0.02690445391751</v>
      </c>
    </row>
    <row r="1850" customFormat="false" ht="12.8" hidden="false" customHeight="false" outlineLevel="0" collapsed="false">
      <c r="A1850" s="0" t="s">
        <v>2675</v>
      </c>
      <c r="B1850" s="0" t="s">
        <v>305</v>
      </c>
      <c r="C1850" s="0" t="s">
        <v>15</v>
      </c>
      <c r="D1850" s="0" t="s">
        <v>23</v>
      </c>
      <c r="E1850" s="0" t="n">
        <v>23222.47</v>
      </c>
      <c r="F1850" s="0" t="n">
        <v>238</v>
      </c>
      <c r="G1850" s="0" t="str">
        <f aca="false">IF(F1850&lt;=30,"Current",IF(F1850&lt;=60,"31 to 60 days",IF(F1850&lt;=90,"61 to 90 days",IF(F1850&lt;=120,"91 to 120 days","Over 120 days"))))</f>
        <v>Over 120 days</v>
      </c>
      <c r="H1850" s="0" t="n">
        <f aca="false">VLOOKUP(D1850,Rates!$A$4:$B$7,2,FALSE())</f>
        <v>0.115</v>
      </c>
      <c r="I1850" s="0" t="n">
        <f aca="false">VLOOKUP(F1850,Rates!$D$4:$E$8,2)</f>
        <v>0.85</v>
      </c>
      <c r="J1850" s="0" t="n">
        <f aca="false">ROUND(E1850*I1850,2)</f>
        <v>19739.1</v>
      </c>
      <c r="K1850" s="1" t="n">
        <f aca="false">PV(H1850/12,F1850/30,0,-E1850)</f>
        <v>21530.1559676164</v>
      </c>
      <c r="L1850" s="0" t="n">
        <f aca="false">ROUND(E1850-K1850,2)</f>
        <v>1692.31</v>
      </c>
      <c r="M1850" s="0" t="n">
        <f aca="false">F1850/E1850</f>
        <v>0.0102486944756522</v>
      </c>
    </row>
    <row r="1851" customFormat="false" ht="12.8" hidden="false" customHeight="false" outlineLevel="0" collapsed="false">
      <c r="A1851" s="0" t="s">
        <v>2676</v>
      </c>
      <c r="B1851" s="0" t="s">
        <v>2677</v>
      </c>
      <c r="C1851" s="0" t="s">
        <v>36</v>
      </c>
      <c r="D1851" s="0" t="s">
        <v>16</v>
      </c>
      <c r="E1851" s="0" t="n">
        <v>39498.18</v>
      </c>
      <c r="F1851" s="0" t="n">
        <v>280</v>
      </c>
      <c r="G1851" s="0" t="str">
        <f aca="false">IF(F1851&lt;=30,"Current",IF(F1851&lt;=60,"31 to 60 days",IF(F1851&lt;=90,"61 to 90 days",IF(F1851&lt;=120,"91 to 120 days","Over 120 days"))))</f>
        <v>Over 120 days</v>
      </c>
      <c r="H1851" s="0" t="n">
        <f aca="false">VLOOKUP(D1851,Rates!$A$4:$B$7,2,FALSE())</f>
        <v>0.085</v>
      </c>
      <c r="I1851" s="0" t="n">
        <f aca="false">VLOOKUP(F1851,Rates!$D$4:$E$8,2)</f>
        <v>0.85</v>
      </c>
      <c r="J1851" s="0" t="n">
        <f aca="false">ROUND(E1851*I1851,2)</f>
        <v>33573.45</v>
      </c>
      <c r="K1851" s="1" t="n">
        <f aca="false">PV(H1851/12,F1851/30,0,-E1851)</f>
        <v>36979.974169764</v>
      </c>
      <c r="L1851" s="0" t="n">
        <f aca="false">ROUND(E1851-K1851,2)</f>
        <v>2518.21</v>
      </c>
      <c r="M1851" s="0" t="n">
        <f aca="false">F1851/E1851</f>
        <v>0.0070889342243111</v>
      </c>
    </row>
    <row r="1852" customFormat="false" ht="12.8" hidden="false" customHeight="false" outlineLevel="0" collapsed="false">
      <c r="A1852" s="0" t="s">
        <v>2678</v>
      </c>
      <c r="B1852" s="0" t="s">
        <v>253</v>
      </c>
      <c r="C1852" s="0" t="s">
        <v>19</v>
      </c>
      <c r="D1852" s="0" t="s">
        <v>16</v>
      </c>
      <c r="E1852" s="0" t="n">
        <v>1657.03</v>
      </c>
      <c r="F1852" s="0" t="n">
        <v>229</v>
      </c>
      <c r="G1852" s="0" t="str">
        <f aca="false">IF(F1852&lt;=30,"Current",IF(F1852&lt;=60,"31 to 60 days",IF(F1852&lt;=90,"61 to 90 days",IF(F1852&lt;=120,"91 to 120 days","Over 120 days"))))</f>
        <v>Over 120 days</v>
      </c>
      <c r="H1852" s="0" t="n">
        <f aca="false">VLOOKUP(D1852,Rates!$A$4:$B$7,2,FALSE())</f>
        <v>0.085</v>
      </c>
      <c r="I1852" s="0" t="n">
        <f aca="false">VLOOKUP(F1852,Rates!$D$4:$E$8,2)</f>
        <v>0.85</v>
      </c>
      <c r="J1852" s="0" t="n">
        <f aca="false">ROUND(E1852*I1852,2)</f>
        <v>1408.48</v>
      </c>
      <c r="K1852" s="1" t="n">
        <f aca="false">PV(H1852/12,F1852/30,0,-E1852)</f>
        <v>1570.11363431366</v>
      </c>
      <c r="L1852" s="0" t="n">
        <f aca="false">ROUND(E1852-K1852,2)</f>
        <v>86.92</v>
      </c>
      <c r="M1852" s="0" t="n">
        <f aca="false">F1852/E1852</f>
        <v>0.138199067005425</v>
      </c>
    </row>
    <row r="1853" customFormat="false" ht="12.8" hidden="false" customHeight="false" outlineLevel="0" collapsed="false">
      <c r="A1853" s="0" t="s">
        <v>2679</v>
      </c>
      <c r="B1853" s="0" t="s">
        <v>247</v>
      </c>
      <c r="C1853" s="0" t="s">
        <v>26</v>
      </c>
      <c r="D1853" s="0" t="s">
        <v>23</v>
      </c>
      <c r="E1853" s="0" t="n">
        <v>5508.63</v>
      </c>
      <c r="F1853" s="0" t="n">
        <v>217</v>
      </c>
      <c r="G1853" s="0" t="str">
        <f aca="false">IF(F1853&lt;=30,"Current",IF(F1853&lt;=60,"31 to 60 days",IF(F1853&lt;=90,"61 to 90 days",IF(F1853&lt;=120,"91 to 120 days","Over 120 days"))))</f>
        <v>Over 120 days</v>
      </c>
      <c r="H1853" s="0" t="n">
        <f aca="false">VLOOKUP(D1853,Rates!$A$4:$B$7,2,FALSE())</f>
        <v>0.115</v>
      </c>
      <c r="I1853" s="0" t="n">
        <f aca="false">VLOOKUP(F1853,Rates!$D$4:$E$8,2)</f>
        <v>0.85</v>
      </c>
      <c r="J1853" s="0" t="n">
        <f aca="false">ROUND(E1853*I1853,2)</f>
        <v>4682.34</v>
      </c>
      <c r="K1853" s="1" t="n">
        <f aca="false">PV(H1853/12,F1853/30,0,-E1853)</f>
        <v>5141.40587018341</v>
      </c>
      <c r="L1853" s="0" t="n">
        <f aca="false">ROUND(E1853-K1853,2)</f>
        <v>367.22</v>
      </c>
      <c r="M1853" s="0" t="n">
        <f aca="false">F1853/E1853</f>
        <v>0.0393927346726863</v>
      </c>
    </row>
    <row r="1854" customFormat="false" ht="12.8" hidden="false" customHeight="false" outlineLevel="0" collapsed="false">
      <c r="A1854" s="0" t="s">
        <v>2680</v>
      </c>
      <c r="B1854" s="0" t="s">
        <v>2681</v>
      </c>
      <c r="C1854" s="0" t="s">
        <v>19</v>
      </c>
      <c r="D1854" s="0" t="s">
        <v>16</v>
      </c>
      <c r="E1854" s="0" t="n">
        <v>9664.71</v>
      </c>
      <c r="F1854" s="0" t="n">
        <v>178</v>
      </c>
      <c r="G1854" s="0" t="str">
        <f aca="false">IF(F1854&lt;=30,"Current",IF(F1854&lt;=60,"31 to 60 days",IF(F1854&lt;=90,"61 to 90 days",IF(F1854&lt;=120,"91 to 120 days","Over 120 days"))))</f>
        <v>Over 120 days</v>
      </c>
      <c r="H1854" s="0" t="n">
        <f aca="false">VLOOKUP(D1854,Rates!$A$4:$B$7,2,FALSE())</f>
        <v>0.085</v>
      </c>
      <c r="I1854" s="0" t="n">
        <f aca="false">VLOOKUP(F1854,Rates!$D$4:$E$8,2)</f>
        <v>0.85</v>
      </c>
      <c r="J1854" s="0" t="n">
        <f aca="false">ROUND(E1854*I1854,2)</f>
        <v>8215</v>
      </c>
      <c r="K1854" s="1" t="n">
        <f aca="false">PV(H1854/12,F1854/30,0,-E1854)</f>
        <v>9268.31392996089</v>
      </c>
      <c r="L1854" s="0" t="n">
        <f aca="false">ROUND(E1854-K1854,2)</f>
        <v>396.4</v>
      </c>
      <c r="M1854" s="0" t="n">
        <f aca="false">F1854/E1854</f>
        <v>0.0184175210637464</v>
      </c>
    </row>
    <row r="1855" customFormat="false" ht="12.8" hidden="false" customHeight="false" outlineLevel="0" collapsed="false">
      <c r="A1855" s="0" t="s">
        <v>2682</v>
      </c>
      <c r="B1855" s="0" t="s">
        <v>1786</v>
      </c>
      <c r="C1855" s="0" t="s">
        <v>31</v>
      </c>
      <c r="D1855" s="0" t="s">
        <v>49</v>
      </c>
      <c r="E1855" s="0" t="n">
        <v>15858.45</v>
      </c>
      <c r="F1855" s="0" t="n">
        <v>101</v>
      </c>
      <c r="G1855" s="0" t="str">
        <f aca="false">IF(F1855&lt;=30,"Current",IF(F1855&lt;=60,"31 to 60 days",IF(F1855&lt;=90,"61 to 90 days",IF(F1855&lt;=120,"91 to 120 days","Over 120 days"))))</f>
        <v>91 to 120 days</v>
      </c>
      <c r="H1855" s="0" t="n">
        <f aca="false">VLOOKUP(D1855,Rates!$A$4:$B$7,2,FALSE())</f>
        <v>0.02</v>
      </c>
      <c r="I1855" s="0" t="n">
        <f aca="false">VLOOKUP(F1855,Rates!$D$4:$E$8,2)</f>
        <v>0.5</v>
      </c>
      <c r="J1855" s="0" t="n">
        <f aca="false">ROUND(E1855*I1855,2)</f>
        <v>7929.23</v>
      </c>
      <c r="K1855" s="1" t="n">
        <f aca="false">PV(H1855/12,F1855/30,0,-E1855)</f>
        <v>15769.789313308</v>
      </c>
      <c r="L1855" s="0" t="n">
        <f aca="false">ROUND(E1855-K1855,2)</f>
        <v>88.66</v>
      </c>
      <c r="M1855" s="0" t="n">
        <f aca="false">F1855/E1855</f>
        <v>0.00636884437003616</v>
      </c>
    </row>
    <row r="1856" customFormat="false" ht="12.8" hidden="false" customHeight="false" outlineLevel="0" collapsed="false">
      <c r="A1856" s="0" t="s">
        <v>2683</v>
      </c>
      <c r="B1856" s="0" t="s">
        <v>2684</v>
      </c>
      <c r="C1856" s="0" t="s">
        <v>31</v>
      </c>
      <c r="D1856" s="0" t="s">
        <v>49</v>
      </c>
      <c r="E1856" s="0" t="n">
        <v>33694.43</v>
      </c>
      <c r="F1856" s="0" t="n">
        <v>396</v>
      </c>
      <c r="G1856" s="0" t="str">
        <f aca="false">IF(F1856&lt;=30,"Current",IF(F1856&lt;=60,"31 to 60 days",IF(F1856&lt;=90,"61 to 90 days",IF(F1856&lt;=120,"91 to 120 days","Over 120 days"))))</f>
        <v>Over 120 days</v>
      </c>
      <c r="H1856" s="0" t="n">
        <f aca="false">VLOOKUP(D1856,Rates!$A$4:$B$7,2,FALSE())</f>
        <v>0.02</v>
      </c>
      <c r="I1856" s="0" t="n">
        <f aca="false">VLOOKUP(F1856,Rates!$D$4:$E$8,2)</f>
        <v>0.85</v>
      </c>
      <c r="J1856" s="0" t="n">
        <f aca="false">ROUND(E1856*I1856,2)</f>
        <v>28640.27</v>
      </c>
      <c r="K1856" s="1" t="n">
        <f aca="false">PV(H1856/12,F1856/30,0,-E1856)</f>
        <v>32961.8507475796</v>
      </c>
      <c r="L1856" s="0" t="n">
        <f aca="false">ROUND(E1856-K1856,2)</f>
        <v>732.58</v>
      </c>
      <c r="M1856" s="0" t="n">
        <f aca="false">F1856/E1856</f>
        <v>0.0117526843457509</v>
      </c>
    </row>
    <row r="1857" customFormat="false" ht="12.8" hidden="false" customHeight="false" outlineLevel="0" collapsed="false">
      <c r="A1857" s="0" t="s">
        <v>2685</v>
      </c>
      <c r="B1857" s="0" t="s">
        <v>33</v>
      </c>
      <c r="C1857" s="0" t="s">
        <v>26</v>
      </c>
      <c r="D1857" s="0" t="s">
        <v>20</v>
      </c>
      <c r="E1857" s="0" t="n">
        <v>19559.19</v>
      </c>
      <c r="F1857" s="0" t="n">
        <v>77</v>
      </c>
      <c r="G1857" s="0" t="str">
        <f aca="false">IF(F1857&lt;=30,"Current",IF(F1857&lt;=60,"31 to 60 days",IF(F1857&lt;=90,"61 to 90 days",IF(F1857&lt;=120,"91 to 120 days","Over 120 days"))))</f>
        <v>61 to 90 days</v>
      </c>
      <c r="H1857" s="0" t="n">
        <f aca="false">VLOOKUP(D1857,Rates!$A$4:$B$7,2,FALSE())</f>
        <v>0.05</v>
      </c>
      <c r="I1857" s="0" t="n">
        <f aca="false">VLOOKUP(F1857,Rates!$D$4:$E$8,2)</f>
        <v>0.25</v>
      </c>
      <c r="J1857" s="0" t="n">
        <f aca="false">ROUND(E1857*I1857,2)</f>
        <v>4889.8</v>
      </c>
      <c r="K1857" s="1" t="n">
        <f aca="false">PV(H1857/12,F1857/30,0,-E1857)</f>
        <v>19351.5598118415</v>
      </c>
      <c r="L1857" s="0" t="n">
        <f aca="false">ROUND(E1857-K1857,2)</f>
        <v>207.63</v>
      </c>
      <c r="M1857" s="0" t="n">
        <f aca="false">F1857/E1857</f>
        <v>0.00393676834265632</v>
      </c>
    </row>
    <row r="1858" customFormat="false" ht="12.8" hidden="false" customHeight="false" outlineLevel="0" collapsed="false">
      <c r="A1858" s="0" t="s">
        <v>2686</v>
      </c>
      <c r="B1858" s="0" t="s">
        <v>18</v>
      </c>
      <c r="C1858" s="0" t="s">
        <v>19</v>
      </c>
      <c r="D1858" s="0" t="s">
        <v>20</v>
      </c>
      <c r="E1858" s="0" t="n">
        <v>17495.32</v>
      </c>
      <c r="F1858" s="0" t="n">
        <v>309</v>
      </c>
      <c r="G1858" s="0" t="str">
        <f aca="false">IF(F1858&lt;=30,"Current",IF(F1858&lt;=60,"31 to 60 days",IF(F1858&lt;=90,"61 to 90 days",IF(F1858&lt;=120,"91 to 120 days","Over 120 days"))))</f>
        <v>Over 120 days</v>
      </c>
      <c r="H1858" s="0" t="n">
        <f aca="false">VLOOKUP(D1858,Rates!$A$4:$B$7,2,FALSE())</f>
        <v>0.05</v>
      </c>
      <c r="I1858" s="0" t="n">
        <f aca="false">VLOOKUP(F1858,Rates!$D$4:$E$8,2)</f>
        <v>0.85</v>
      </c>
      <c r="J1858" s="0" t="n">
        <f aca="false">ROUND(E1858*I1858,2)</f>
        <v>14871.02</v>
      </c>
      <c r="K1858" s="1" t="n">
        <f aca="false">PV(H1858/12,F1858/30,0,-E1858)</f>
        <v>16761.8573959588</v>
      </c>
      <c r="L1858" s="0" t="n">
        <f aca="false">ROUND(E1858-K1858,2)</f>
        <v>733.46</v>
      </c>
      <c r="M1858" s="0" t="n">
        <f aca="false">F1858/E1858</f>
        <v>0.0176618661447747</v>
      </c>
    </row>
    <row r="1859" customFormat="false" ht="12.8" hidden="false" customHeight="false" outlineLevel="0" collapsed="false">
      <c r="A1859" s="0" t="s">
        <v>2687</v>
      </c>
      <c r="B1859" s="0" t="s">
        <v>2688</v>
      </c>
      <c r="C1859" s="0" t="s">
        <v>26</v>
      </c>
      <c r="D1859" s="0" t="s">
        <v>16</v>
      </c>
      <c r="E1859" s="0" t="n">
        <v>34519.46</v>
      </c>
      <c r="F1859" s="0" t="n">
        <v>21</v>
      </c>
      <c r="G1859" s="0" t="str">
        <f aca="false">IF(F1859&lt;=30,"Current",IF(F1859&lt;=60,"31 to 60 days",IF(F1859&lt;=90,"61 to 90 days",IF(F1859&lt;=120,"91 to 120 days","Over 120 days"))))</f>
        <v>Current</v>
      </c>
      <c r="H1859" s="0" t="n">
        <f aca="false">VLOOKUP(D1859,Rates!$A$4:$B$7,2,FALSE())</f>
        <v>0.085</v>
      </c>
      <c r="I1859" s="0" t="n">
        <f aca="false">VLOOKUP(F1859,Rates!$D$4:$E$8,2)</f>
        <v>0.02</v>
      </c>
      <c r="J1859" s="0" t="n">
        <f aca="false">ROUND(E1859*I1859,2)</f>
        <v>690.39</v>
      </c>
      <c r="K1859" s="1" t="n">
        <f aca="false">PV(H1859/12,F1859/30,0,-E1859)</f>
        <v>34349.3250037769</v>
      </c>
      <c r="L1859" s="0" t="n">
        <f aca="false">ROUND(E1859-K1859,2)</f>
        <v>170.13</v>
      </c>
      <c r="M1859" s="0" t="n">
        <f aca="false">F1859/E1859</f>
        <v>0.000608352506093664</v>
      </c>
    </row>
    <row r="1860" customFormat="false" ht="12.8" hidden="false" customHeight="false" outlineLevel="0" collapsed="false">
      <c r="A1860" s="0" t="s">
        <v>2689</v>
      </c>
      <c r="B1860" s="0" t="s">
        <v>22</v>
      </c>
      <c r="C1860" s="0" t="s">
        <v>15</v>
      </c>
      <c r="D1860" s="0" t="s">
        <v>23</v>
      </c>
      <c r="E1860" s="0" t="n">
        <v>10147.1</v>
      </c>
      <c r="F1860" s="0" t="n">
        <v>298</v>
      </c>
      <c r="G1860" s="0" t="str">
        <f aca="false">IF(F1860&lt;=30,"Current",IF(F1860&lt;=60,"31 to 60 days",IF(F1860&lt;=90,"61 to 90 days",IF(F1860&lt;=120,"91 to 120 days","Over 120 days"))))</f>
        <v>Over 120 days</v>
      </c>
      <c r="H1860" s="0" t="n">
        <f aca="false">VLOOKUP(D1860,Rates!$A$4:$B$7,2,FALSE())</f>
        <v>0.115</v>
      </c>
      <c r="I1860" s="0" t="n">
        <f aca="false">VLOOKUP(F1860,Rates!$D$4:$E$8,2)</f>
        <v>0.85</v>
      </c>
      <c r="J1860" s="0" t="n">
        <f aca="false">ROUND(E1860*I1860,2)</f>
        <v>8625.04</v>
      </c>
      <c r="K1860" s="1" t="n">
        <f aca="false">PV(H1860/12,F1860/30,0,-E1860)</f>
        <v>9229.88650883647</v>
      </c>
      <c r="L1860" s="0" t="n">
        <f aca="false">ROUND(E1860-K1860,2)</f>
        <v>917.21</v>
      </c>
      <c r="M1860" s="0" t="n">
        <f aca="false">F1860/E1860</f>
        <v>0.0293679967675493</v>
      </c>
    </row>
    <row r="1861" customFormat="false" ht="12.8" hidden="false" customHeight="false" outlineLevel="0" collapsed="false">
      <c r="A1861" s="0" t="s">
        <v>2690</v>
      </c>
      <c r="B1861" s="0" t="s">
        <v>470</v>
      </c>
      <c r="C1861" s="0" t="s">
        <v>26</v>
      </c>
      <c r="D1861" s="0" t="s">
        <v>49</v>
      </c>
      <c r="E1861" s="0" t="n">
        <v>1139.94</v>
      </c>
      <c r="F1861" s="0" t="n">
        <v>106</v>
      </c>
      <c r="G1861" s="0" t="str">
        <f aca="false">IF(F1861&lt;=30,"Current",IF(F1861&lt;=60,"31 to 60 days",IF(F1861&lt;=90,"61 to 90 days",IF(F1861&lt;=120,"91 to 120 days","Over 120 days"))))</f>
        <v>91 to 120 days</v>
      </c>
      <c r="H1861" s="0" t="n">
        <f aca="false">VLOOKUP(D1861,Rates!$A$4:$B$7,2,FALSE())</f>
        <v>0.02</v>
      </c>
      <c r="I1861" s="0" t="n">
        <f aca="false">VLOOKUP(F1861,Rates!$D$4:$E$8,2)</f>
        <v>0.5</v>
      </c>
      <c r="J1861" s="0" t="n">
        <f aca="false">ROUND(E1861*I1861,2)</f>
        <v>569.97</v>
      </c>
      <c r="K1861" s="1" t="n">
        <f aca="false">PV(H1861/12,F1861/30,0,-E1861)</f>
        <v>1133.25230239939</v>
      </c>
      <c r="L1861" s="0" t="n">
        <f aca="false">ROUND(E1861-K1861,2)</f>
        <v>6.69</v>
      </c>
      <c r="M1861" s="0" t="n">
        <f aca="false">F1861/E1861</f>
        <v>0.0929873502114146</v>
      </c>
    </row>
    <row r="1862" customFormat="false" ht="12.8" hidden="false" customHeight="false" outlineLevel="0" collapsed="false">
      <c r="A1862" s="0" t="s">
        <v>2691</v>
      </c>
      <c r="B1862" s="0" t="s">
        <v>2692</v>
      </c>
      <c r="C1862" s="0" t="s">
        <v>15</v>
      </c>
      <c r="D1862" s="0" t="s">
        <v>49</v>
      </c>
      <c r="E1862" s="0" t="n">
        <v>43834.43</v>
      </c>
      <c r="F1862" s="0" t="n">
        <v>38</v>
      </c>
      <c r="G1862" s="0" t="str">
        <f aca="false">IF(F1862&lt;=30,"Current",IF(F1862&lt;=60,"31 to 60 days",IF(F1862&lt;=90,"61 to 90 days",IF(F1862&lt;=120,"91 to 120 days","Over 120 days"))))</f>
        <v>31 to 60 days</v>
      </c>
      <c r="H1862" s="0" t="n">
        <f aca="false">VLOOKUP(D1862,Rates!$A$4:$B$7,2,FALSE())</f>
        <v>0.02</v>
      </c>
      <c r="I1862" s="0" t="n">
        <f aca="false">VLOOKUP(F1862,Rates!$D$4:$E$8,2)</f>
        <v>0.1</v>
      </c>
      <c r="J1862" s="0" t="n">
        <f aca="false">ROUND(E1862*I1862,2)</f>
        <v>4383.44</v>
      </c>
      <c r="K1862" s="1" t="n">
        <f aca="false">PV(H1862/12,F1862/30,0,-E1862)</f>
        <v>43742.0651276716</v>
      </c>
      <c r="L1862" s="0" t="n">
        <f aca="false">ROUND(E1862-K1862,2)</f>
        <v>92.36</v>
      </c>
      <c r="M1862" s="0" t="n">
        <f aca="false">F1862/E1862</f>
        <v>0.000866898463148717</v>
      </c>
    </row>
    <row r="1863" customFormat="false" ht="12.8" hidden="false" customHeight="false" outlineLevel="0" collapsed="false">
      <c r="A1863" s="0" t="s">
        <v>2693</v>
      </c>
      <c r="B1863" s="0" t="s">
        <v>2694</v>
      </c>
      <c r="C1863" s="0" t="s">
        <v>31</v>
      </c>
      <c r="D1863" s="0" t="s">
        <v>16</v>
      </c>
      <c r="E1863" s="0" t="n">
        <v>37314.97</v>
      </c>
      <c r="F1863" s="0" t="n">
        <v>92</v>
      </c>
      <c r="G1863" s="0" t="str">
        <f aca="false">IF(F1863&lt;=30,"Current",IF(F1863&lt;=60,"31 to 60 days",IF(F1863&lt;=90,"61 to 90 days",IF(F1863&lt;=120,"91 to 120 days","Over 120 days"))))</f>
        <v>91 to 120 days</v>
      </c>
      <c r="H1863" s="0" t="n">
        <f aca="false">VLOOKUP(D1863,Rates!$A$4:$B$7,2,FALSE())</f>
        <v>0.085</v>
      </c>
      <c r="I1863" s="0" t="n">
        <f aca="false">VLOOKUP(F1863,Rates!$D$4:$E$8,2)</f>
        <v>0.5</v>
      </c>
      <c r="J1863" s="0" t="n">
        <f aca="false">ROUND(E1863*I1863,2)</f>
        <v>18657.49</v>
      </c>
      <c r="K1863" s="1" t="n">
        <f aca="false">PV(H1863/12,F1863/30,0,-E1863)</f>
        <v>36515.9421290189</v>
      </c>
      <c r="L1863" s="0" t="n">
        <f aca="false">ROUND(E1863-K1863,2)</f>
        <v>799.03</v>
      </c>
      <c r="M1863" s="0" t="n">
        <f aca="false">F1863/E1863</f>
        <v>0.00246549843132662</v>
      </c>
    </row>
    <row r="1864" customFormat="false" ht="12.8" hidden="false" customHeight="false" outlineLevel="0" collapsed="false">
      <c r="A1864" s="0" t="s">
        <v>2695</v>
      </c>
      <c r="B1864" s="0" t="s">
        <v>72</v>
      </c>
      <c r="C1864" s="0" t="s">
        <v>19</v>
      </c>
      <c r="D1864" s="0" t="s">
        <v>16</v>
      </c>
      <c r="E1864" s="0" t="n">
        <v>30567.41</v>
      </c>
      <c r="F1864" s="0" t="n">
        <v>395</v>
      </c>
      <c r="G1864" s="0" t="str">
        <f aca="false">IF(F1864&lt;=30,"Current",IF(F1864&lt;=60,"31 to 60 days",IF(F1864&lt;=90,"61 to 90 days",IF(F1864&lt;=120,"91 to 120 days","Over 120 days"))))</f>
        <v>Over 120 days</v>
      </c>
      <c r="H1864" s="0" t="n">
        <f aca="false">VLOOKUP(D1864,Rates!$A$4:$B$7,2,FALSE())</f>
        <v>0.085</v>
      </c>
      <c r="I1864" s="0" t="n">
        <f aca="false">VLOOKUP(F1864,Rates!$D$4:$E$8,2)</f>
        <v>0.85</v>
      </c>
      <c r="J1864" s="0" t="n">
        <f aca="false">ROUND(E1864*I1864,2)</f>
        <v>25982.3</v>
      </c>
      <c r="K1864" s="1" t="n">
        <f aca="false">PV(H1864/12,F1864/30,0,-E1864)</f>
        <v>27854.6321609273</v>
      </c>
      <c r="L1864" s="0" t="n">
        <f aca="false">ROUND(E1864-K1864,2)</f>
        <v>2712.78</v>
      </c>
      <c r="M1864" s="0" t="n">
        <f aca="false">F1864/E1864</f>
        <v>0.0129222593605412</v>
      </c>
    </row>
    <row r="1865" customFormat="false" ht="12.8" hidden="false" customHeight="false" outlineLevel="0" collapsed="false">
      <c r="A1865" s="0" t="s">
        <v>2696</v>
      </c>
      <c r="B1865" s="0" t="s">
        <v>2697</v>
      </c>
      <c r="C1865" s="0" t="s">
        <v>36</v>
      </c>
      <c r="D1865" s="0" t="s">
        <v>16</v>
      </c>
      <c r="E1865" s="0" t="n">
        <v>2001.23</v>
      </c>
      <c r="F1865" s="0" t="n">
        <v>201</v>
      </c>
      <c r="G1865" s="0" t="str">
        <f aca="false">IF(F1865&lt;=30,"Current",IF(F1865&lt;=60,"31 to 60 days",IF(F1865&lt;=90,"61 to 90 days",IF(F1865&lt;=120,"91 to 120 days","Over 120 days"))))</f>
        <v>Over 120 days</v>
      </c>
      <c r="H1865" s="0" t="n">
        <f aca="false">VLOOKUP(D1865,Rates!$A$4:$B$7,2,FALSE())</f>
        <v>0.085</v>
      </c>
      <c r="I1865" s="0" t="n">
        <f aca="false">VLOOKUP(F1865,Rates!$D$4:$E$8,2)</f>
        <v>0.85</v>
      </c>
      <c r="J1865" s="0" t="n">
        <f aca="false">ROUND(E1865*I1865,2)</f>
        <v>1701.05</v>
      </c>
      <c r="K1865" s="1" t="n">
        <f aca="false">PV(H1865/12,F1865/30,0,-E1865)</f>
        <v>1908.79270439241</v>
      </c>
      <c r="L1865" s="0" t="n">
        <f aca="false">ROUND(E1865-K1865,2)</f>
        <v>92.44</v>
      </c>
      <c r="M1865" s="0" t="n">
        <f aca="false">F1865/E1865</f>
        <v>0.10043823048825</v>
      </c>
    </row>
    <row r="1866" customFormat="false" ht="12.8" hidden="false" customHeight="false" outlineLevel="0" collapsed="false">
      <c r="A1866" s="0" t="s">
        <v>2698</v>
      </c>
      <c r="B1866" s="0" t="s">
        <v>30</v>
      </c>
      <c r="C1866" s="0" t="s">
        <v>31</v>
      </c>
      <c r="D1866" s="0" t="s">
        <v>20</v>
      </c>
      <c r="E1866" s="0" t="n">
        <v>3111.05</v>
      </c>
      <c r="F1866" s="0" t="n">
        <v>34</v>
      </c>
      <c r="G1866" s="0" t="str">
        <f aca="false">IF(F1866&lt;=30,"Current",IF(F1866&lt;=60,"31 to 60 days",IF(F1866&lt;=90,"61 to 90 days",IF(F1866&lt;=120,"91 to 120 days","Over 120 days"))))</f>
        <v>31 to 60 days</v>
      </c>
      <c r="H1866" s="0" t="n">
        <f aca="false">VLOOKUP(D1866,Rates!$A$4:$B$7,2,FALSE())</f>
        <v>0.05</v>
      </c>
      <c r="I1866" s="0" t="n">
        <f aca="false">VLOOKUP(F1866,Rates!$D$4:$E$8,2)</f>
        <v>0.1</v>
      </c>
      <c r="J1866" s="0" t="n">
        <f aca="false">ROUND(E1866*I1866,2)</f>
        <v>311.11</v>
      </c>
      <c r="K1866" s="1" t="n">
        <f aca="false">PV(H1866/12,F1866/30,0,-E1866)</f>
        <v>3096.42394126748</v>
      </c>
      <c r="L1866" s="0" t="n">
        <f aca="false">ROUND(E1866-K1866,2)</f>
        <v>14.63</v>
      </c>
      <c r="M1866" s="0" t="n">
        <f aca="false">F1866/E1866</f>
        <v>0.0109287861011556</v>
      </c>
    </row>
    <row r="1867" customFormat="false" ht="12.8" hidden="false" customHeight="false" outlineLevel="0" collapsed="false">
      <c r="A1867" s="0" t="s">
        <v>2699</v>
      </c>
      <c r="B1867" s="0" t="s">
        <v>303</v>
      </c>
      <c r="C1867" s="0" t="s">
        <v>31</v>
      </c>
      <c r="D1867" s="0" t="s">
        <v>23</v>
      </c>
      <c r="E1867" s="0" t="n">
        <v>42413.88</v>
      </c>
      <c r="F1867" s="0" t="n">
        <v>341</v>
      </c>
      <c r="G1867" s="0" t="str">
        <f aca="false">IF(F1867&lt;=30,"Current",IF(F1867&lt;=60,"31 to 60 days",IF(F1867&lt;=90,"61 to 90 days",IF(F1867&lt;=120,"91 to 120 days","Over 120 days"))))</f>
        <v>Over 120 days</v>
      </c>
      <c r="H1867" s="0" t="n">
        <f aca="false">VLOOKUP(D1867,Rates!$A$4:$B$7,2,FALSE())</f>
        <v>0.115</v>
      </c>
      <c r="I1867" s="0" t="n">
        <f aca="false">VLOOKUP(F1867,Rates!$D$4:$E$8,2)</f>
        <v>0.85</v>
      </c>
      <c r="J1867" s="0" t="n">
        <f aca="false">ROUND(E1867*I1867,2)</f>
        <v>36051.8</v>
      </c>
      <c r="K1867" s="1" t="n">
        <f aca="false">PV(H1867/12,F1867/30,0,-E1867)</f>
        <v>38056.1902969734</v>
      </c>
      <c r="L1867" s="0" t="n">
        <f aca="false">ROUND(E1867-K1867,2)</f>
        <v>4357.69</v>
      </c>
      <c r="M1867" s="0" t="n">
        <f aca="false">F1867/E1867</f>
        <v>0.00803982092654574</v>
      </c>
    </row>
    <row r="1868" customFormat="false" ht="12.8" hidden="false" customHeight="false" outlineLevel="0" collapsed="false">
      <c r="A1868" s="0" t="s">
        <v>2700</v>
      </c>
      <c r="B1868" s="0" t="s">
        <v>2701</v>
      </c>
      <c r="C1868" s="0" t="s">
        <v>36</v>
      </c>
      <c r="D1868" s="0" t="s">
        <v>49</v>
      </c>
      <c r="E1868" s="0" t="n">
        <v>8476.94</v>
      </c>
      <c r="F1868" s="0" t="n">
        <v>159</v>
      </c>
      <c r="G1868" s="0" t="str">
        <f aca="false">IF(F1868&lt;=30,"Current",IF(F1868&lt;=60,"31 to 60 days",IF(F1868&lt;=90,"61 to 90 days",IF(F1868&lt;=120,"91 to 120 days","Over 120 days"))))</f>
        <v>Over 120 days</v>
      </c>
      <c r="H1868" s="0" t="n">
        <f aca="false">VLOOKUP(D1868,Rates!$A$4:$B$7,2,FALSE())</f>
        <v>0.02</v>
      </c>
      <c r="I1868" s="0" t="n">
        <f aca="false">VLOOKUP(F1868,Rates!$D$4:$E$8,2)</f>
        <v>0.85</v>
      </c>
      <c r="J1868" s="0" t="n">
        <f aca="false">ROUND(E1868*I1868,2)</f>
        <v>7205.4</v>
      </c>
      <c r="K1868" s="1" t="n">
        <f aca="false">PV(H1868/12,F1868/30,0,-E1868)</f>
        <v>8402.45189261019</v>
      </c>
      <c r="L1868" s="0" t="n">
        <f aca="false">ROUND(E1868-K1868,2)</f>
        <v>74.49</v>
      </c>
      <c r="M1868" s="0" t="n">
        <f aca="false">F1868/E1868</f>
        <v>0.0187567683621684</v>
      </c>
    </row>
    <row r="1869" customFormat="false" ht="12.8" hidden="false" customHeight="false" outlineLevel="0" collapsed="false">
      <c r="A1869" s="0" t="s">
        <v>2702</v>
      </c>
      <c r="B1869" s="0" t="s">
        <v>609</v>
      </c>
      <c r="C1869" s="0" t="s">
        <v>31</v>
      </c>
      <c r="D1869" s="0" t="s">
        <v>23</v>
      </c>
      <c r="E1869" s="0" t="n">
        <v>22261.44</v>
      </c>
      <c r="F1869" s="0" t="n">
        <v>94</v>
      </c>
      <c r="G1869" s="0" t="str">
        <f aca="false">IF(F1869&lt;=30,"Current",IF(F1869&lt;=60,"31 to 60 days",IF(F1869&lt;=90,"61 to 90 days",IF(F1869&lt;=120,"91 to 120 days","Over 120 days"))))</f>
        <v>91 to 120 days</v>
      </c>
      <c r="H1869" s="0" t="n">
        <f aca="false">VLOOKUP(D1869,Rates!$A$4:$B$7,2,FALSE())</f>
        <v>0.115</v>
      </c>
      <c r="I1869" s="0" t="n">
        <f aca="false">VLOOKUP(F1869,Rates!$D$4:$E$8,2)</f>
        <v>0.5</v>
      </c>
      <c r="J1869" s="0" t="n">
        <f aca="false">ROUND(E1869*I1869,2)</f>
        <v>11130.72</v>
      </c>
      <c r="K1869" s="1" t="n">
        <f aca="false">PV(H1869/12,F1869/30,0,-E1869)</f>
        <v>21606.0037273605</v>
      </c>
      <c r="L1869" s="0" t="n">
        <f aca="false">ROUND(E1869-K1869,2)</f>
        <v>655.44</v>
      </c>
      <c r="M1869" s="0" t="n">
        <f aca="false">F1869/E1869</f>
        <v>0.00422254804720629</v>
      </c>
    </row>
    <row r="1870" customFormat="false" ht="12.8" hidden="false" customHeight="false" outlineLevel="0" collapsed="false">
      <c r="A1870" s="0" t="s">
        <v>2703</v>
      </c>
      <c r="B1870" s="0" t="s">
        <v>30</v>
      </c>
      <c r="C1870" s="0" t="s">
        <v>31</v>
      </c>
      <c r="D1870" s="0" t="s">
        <v>20</v>
      </c>
      <c r="E1870" s="0" t="n">
        <v>11181.77</v>
      </c>
      <c r="F1870" s="0" t="n">
        <v>199</v>
      </c>
      <c r="G1870" s="0" t="str">
        <f aca="false">IF(F1870&lt;=30,"Current",IF(F1870&lt;=60,"31 to 60 days",IF(F1870&lt;=90,"61 to 90 days",IF(F1870&lt;=120,"91 to 120 days","Over 120 days"))))</f>
        <v>Over 120 days</v>
      </c>
      <c r="H1870" s="0" t="n">
        <f aca="false">VLOOKUP(D1870,Rates!$A$4:$B$7,2,FALSE())</f>
        <v>0.05</v>
      </c>
      <c r="I1870" s="0" t="n">
        <f aca="false">VLOOKUP(F1870,Rates!$D$4:$E$8,2)</f>
        <v>0.85</v>
      </c>
      <c r="J1870" s="0" t="n">
        <f aca="false">ROUND(E1870*I1870,2)</f>
        <v>9504.5</v>
      </c>
      <c r="K1870" s="1" t="n">
        <f aca="false">PV(H1870/12,F1870/30,0,-E1870)</f>
        <v>10877.5747361819</v>
      </c>
      <c r="L1870" s="0" t="n">
        <f aca="false">ROUND(E1870-K1870,2)</f>
        <v>304.2</v>
      </c>
      <c r="M1870" s="0" t="n">
        <f aca="false">F1870/E1870</f>
        <v>0.0177968246529843</v>
      </c>
    </row>
    <row r="1871" customFormat="false" ht="12.8" hidden="false" customHeight="false" outlineLevel="0" collapsed="false">
      <c r="A1871" s="0" t="s">
        <v>2704</v>
      </c>
      <c r="B1871" s="0" t="s">
        <v>2302</v>
      </c>
      <c r="C1871" s="0" t="s">
        <v>36</v>
      </c>
      <c r="D1871" s="0" t="s">
        <v>16</v>
      </c>
      <c r="E1871" s="0" t="n">
        <v>21921.55</v>
      </c>
      <c r="F1871" s="0" t="n">
        <v>34</v>
      </c>
      <c r="G1871" s="0" t="str">
        <f aca="false">IF(F1871&lt;=30,"Current",IF(F1871&lt;=60,"31 to 60 days",IF(F1871&lt;=90,"61 to 90 days",IF(F1871&lt;=120,"91 to 120 days","Over 120 days"))))</f>
        <v>31 to 60 days</v>
      </c>
      <c r="H1871" s="0" t="n">
        <f aca="false">VLOOKUP(D1871,Rates!$A$4:$B$7,2,FALSE())</f>
        <v>0.085</v>
      </c>
      <c r="I1871" s="0" t="n">
        <f aca="false">VLOOKUP(F1871,Rates!$D$4:$E$8,2)</f>
        <v>0.1</v>
      </c>
      <c r="J1871" s="0" t="n">
        <f aca="false">ROUND(E1871*I1871,2)</f>
        <v>2192.16</v>
      </c>
      <c r="K1871" s="1" t="n">
        <f aca="false">PV(H1871/12,F1871/30,0,-E1871)</f>
        <v>21746.8885394167</v>
      </c>
      <c r="L1871" s="0" t="n">
        <f aca="false">ROUND(E1871-K1871,2)</f>
        <v>174.66</v>
      </c>
      <c r="M1871" s="0" t="n">
        <f aca="false">F1871/E1871</f>
        <v>0.00155098521774236</v>
      </c>
    </row>
    <row r="1872" customFormat="false" ht="12.8" hidden="false" customHeight="false" outlineLevel="0" collapsed="false">
      <c r="A1872" s="0" t="s">
        <v>2705</v>
      </c>
      <c r="B1872" s="0" t="s">
        <v>2326</v>
      </c>
      <c r="C1872" s="0" t="s">
        <v>19</v>
      </c>
      <c r="D1872" s="0" t="s">
        <v>16</v>
      </c>
      <c r="E1872" s="0" t="n">
        <v>15588.12</v>
      </c>
      <c r="F1872" s="0" t="n">
        <v>286</v>
      </c>
      <c r="G1872" s="0" t="str">
        <f aca="false">IF(F1872&lt;=30,"Current",IF(F1872&lt;=60,"31 to 60 days",IF(F1872&lt;=90,"61 to 90 days",IF(F1872&lt;=120,"91 to 120 days","Over 120 days"))))</f>
        <v>Over 120 days</v>
      </c>
      <c r="H1872" s="0" t="n">
        <f aca="false">VLOOKUP(D1872,Rates!$A$4:$B$7,2,FALSE())</f>
        <v>0.085</v>
      </c>
      <c r="I1872" s="0" t="n">
        <f aca="false">VLOOKUP(F1872,Rates!$D$4:$E$8,2)</f>
        <v>0.85</v>
      </c>
      <c r="J1872" s="0" t="n">
        <f aca="false">ROUND(E1872*I1872,2)</f>
        <v>13249.9</v>
      </c>
      <c r="K1872" s="1" t="n">
        <f aca="false">PV(H1872/12,F1872/30,0,-E1872)</f>
        <v>14573.7118183974</v>
      </c>
      <c r="L1872" s="0" t="n">
        <f aca="false">ROUND(E1872-K1872,2)</f>
        <v>1014.41</v>
      </c>
      <c r="M1872" s="0" t="n">
        <f aca="false">F1872/E1872</f>
        <v>0.0183473055121464</v>
      </c>
    </row>
    <row r="1873" customFormat="false" ht="12.8" hidden="false" customHeight="false" outlineLevel="0" collapsed="false">
      <c r="A1873" s="0" t="s">
        <v>2706</v>
      </c>
      <c r="B1873" s="0" t="s">
        <v>2707</v>
      </c>
      <c r="C1873" s="0" t="s">
        <v>42</v>
      </c>
      <c r="D1873" s="0" t="s">
        <v>49</v>
      </c>
      <c r="E1873" s="0" t="n">
        <v>7262.66</v>
      </c>
      <c r="F1873" s="0" t="n">
        <v>87</v>
      </c>
      <c r="G1873" s="0" t="str">
        <f aca="false">IF(F1873&lt;=30,"Current",IF(F1873&lt;=60,"31 to 60 days",IF(F1873&lt;=90,"61 to 90 days",IF(F1873&lt;=120,"91 to 120 days","Over 120 days"))))</f>
        <v>61 to 90 days</v>
      </c>
      <c r="H1873" s="0" t="n">
        <f aca="false">VLOOKUP(D1873,Rates!$A$4:$B$7,2,FALSE())</f>
        <v>0.02</v>
      </c>
      <c r="I1873" s="0" t="n">
        <f aca="false">VLOOKUP(F1873,Rates!$D$4:$E$8,2)</f>
        <v>0.25</v>
      </c>
      <c r="J1873" s="0" t="n">
        <f aca="false">ROUND(E1873*I1873,2)</f>
        <v>1815.67</v>
      </c>
      <c r="K1873" s="1" t="n">
        <f aca="false">PV(H1873/12,F1873/30,0,-E1873)</f>
        <v>7227.67091781644</v>
      </c>
      <c r="L1873" s="0" t="n">
        <f aca="false">ROUND(E1873-K1873,2)</f>
        <v>34.99</v>
      </c>
      <c r="M1873" s="0" t="n">
        <f aca="false">F1873/E1873</f>
        <v>0.0119790820443199</v>
      </c>
    </row>
    <row r="1874" customFormat="false" ht="12.8" hidden="false" customHeight="false" outlineLevel="0" collapsed="false">
      <c r="A1874" s="0" t="s">
        <v>2708</v>
      </c>
      <c r="B1874" s="0" t="s">
        <v>51</v>
      </c>
      <c r="C1874" s="0" t="s">
        <v>36</v>
      </c>
      <c r="D1874" s="0" t="s">
        <v>20</v>
      </c>
      <c r="E1874" s="0" t="n">
        <v>14008.91</v>
      </c>
      <c r="F1874" s="0" t="n">
        <v>250</v>
      </c>
      <c r="G1874" s="0" t="str">
        <f aca="false">IF(F1874&lt;=30,"Current",IF(F1874&lt;=60,"31 to 60 days",IF(F1874&lt;=90,"61 to 90 days",IF(F1874&lt;=120,"91 to 120 days","Over 120 days"))))</f>
        <v>Over 120 days</v>
      </c>
      <c r="H1874" s="0" t="n">
        <f aca="false">VLOOKUP(D1874,Rates!$A$4:$B$7,2,FALSE())</f>
        <v>0.05</v>
      </c>
      <c r="I1874" s="0" t="n">
        <f aca="false">VLOOKUP(F1874,Rates!$D$4:$E$8,2)</f>
        <v>0.85</v>
      </c>
      <c r="J1874" s="0" t="n">
        <f aca="false">ROUND(E1874*I1874,2)</f>
        <v>11907.57</v>
      </c>
      <c r="K1874" s="1" t="n">
        <f aca="false">PV(H1874/12,F1874/30,0,-E1874)</f>
        <v>13531.81353386</v>
      </c>
      <c r="L1874" s="0" t="n">
        <f aca="false">ROUND(E1874-K1874,2)</f>
        <v>477.1</v>
      </c>
      <c r="M1874" s="0" t="n">
        <f aca="false">F1874/E1874</f>
        <v>0.017845785289505</v>
      </c>
    </row>
    <row r="1875" customFormat="false" ht="12.8" hidden="false" customHeight="false" outlineLevel="0" collapsed="false">
      <c r="A1875" s="0" t="s">
        <v>2709</v>
      </c>
      <c r="B1875" s="0" t="s">
        <v>566</v>
      </c>
      <c r="C1875" s="0" t="s">
        <v>31</v>
      </c>
      <c r="D1875" s="0" t="s">
        <v>49</v>
      </c>
      <c r="E1875" s="0" t="n">
        <v>26290.02</v>
      </c>
      <c r="F1875" s="0" t="n">
        <v>392</v>
      </c>
      <c r="G1875" s="0" t="str">
        <f aca="false">IF(F1875&lt;=30,"Current",IF(F1875&lt;=60,"31 to 60 days",IF(F1875&lt;=90,"61 to 90 days",IF(F1875&lt;=120,"91 to 120 days","Over 120 days"))))</f>
        <v>Over 120 days</v>
      </c>
      <c r="H1875" s="0" t="n">
        <f aca="false">VLOOKUP(D1875,Rates!$A$4:$B$7,2,FALSE())</f>
        <v>0.02</v>
      </c>
      <c r="I1875" s="0" t="n">
        <f aca="false">VLOOKUP(F1875,Rates!$D$4:$E$8,2)</f>
        <v>0.85</v>
      </c>
      <c r="J1875" s="0" t="n">
        <f aca="false">ROUND(E1875*I1875,2)</f>
        <v>22346.52</v>
      </c>
      <c r="K1875" s="1" t="n">
        <f aca="false">PV(H1875/12,F1875/30,0,-E1875)</f>
        <v>25724.1374037071</v>
      </c>
      <c r="L1875" s="0" t="n">
        <f aca="false">ROUND(E1875-K1875,2)</f>
        <v>565.88</v>
      </c>
      <c r="M1875" s="0" t="n">
        <f aca="false">F1875/E1875</f>
        <v>0.014910601056979</v>
      </c>
    </row>
    <row r="1876" customFormat="false" ht="12.8" hidden="false" customHeight="false" outlineLevel="0" collapsed="false">
      <c r="A1876" s="0" t="s">
        <v>2710</v>
      </c>
      <c r="B1876" s="0" t="s">
        <v>526</v>
      </c>
      <c r="C1876" s="0" t="s">
        <v>26</v>
      </c>
      <c r="D1876" s="0" t="s">
        <v>23</v>
      </c>
      <c r="E1876" s="0" t="n">
        <v>27547.33</v>
      </c>
      <c r="F1876" s="0" t="n">
        <v>384</v>
      </c>
      <c r="G1876" s="0" t="str">
        <f aca="false">IF(F1876&lt;=30,"Current",IF(F1876&lt;=60,"31 to 60 days",IF(F1876&lt;=90,"61 to 90 days",IF(F1876&lt;=120,"91 to 120 days","Over 120 days"))))</f>
        <v>Over 120 days</v>
      </c>
      <c r="H1876" s="0" t="n">
        <f aca="false">VLOOKUP(D1876,Rates!$A$4:$B$7,2,FALSE())</f>
        <v>0.115</v>
      </c>
      <c r="I1876" s="0" t="n">
        <f aca="false">VLOOKUP(F1876,Rates!$D$4:$E$8,2)</f>
        <v>0.85</v>
      </c>
      <c r="J1876" s="0" t="n">
        <f aca="false">ROUND(E1876*I1876,2)</f>
        <v>23415.23</v>
      </c>
      <c r="K1876" s="1" t="n">
        <f aca="false">PV(H1876/12,F1876/30,0,-E1876)</f>
        <v>24381.4597912885</v>
      </c>
      <c r="L1876" s="0" t="n">
        <f aca="false">ROUND(E1876-K1876,2)</f>
        <v>3165.87</v>
      </c>
      <c r="M1876" s="0" t="n">
        <f aca="false">F1876/E1876</f>
        <v>0.013939644967407</v>
      </c>
    </row>
    <row r="1877" customFormat="false" ht="12.8" hidden="false" customHeight="false" outlineLevel="0" collapsed="false">
      <c r="A1877" s="0" t="s">
        <v>2711</v>
      </c>
      <c r="B1877" s="0" t="s">
        <v>2712</v>
      </c>
      <c r="C1877" s="0" t="s">
        <v>19</v>
      </c>
      <c r="D1877" s="0" t="s">
        <v>49</v>
      </c>
      <c r="E1877" s="0" t="n">
        <v>37746.97</v>
      </c>
      <c r="F1877" s="0" t="n">
        <v>347</v>
      </c>
      <c r="G1877" s="0" t="str">
        <f aca="false">IF(F1877&lt;=30,"Current",IF(F1877&lt;=60,"31 to 60 days",IF(F1877&lt;=90,"61 to 90 days",IF(F1877&lt;=120,"91 to 120 days","Over 120 days"))))</f>
        <v>Over 120 days</v>
      </c>
      <c r="H1877" s="0" t="n">
        <f aca="false">VLOOKUP(D1877,Rates!$A$4:$B$7,2,FALSE())</f>
        <v>0.02</v>
      </c>
      <c r="I1877" s="0" t="n">
        <f aca="false">VLOOKUP(F1877,Rates!$D$4:$E$8,2)</f>
        <v>0.85</v>
      </c>
      <c r="J1877" s="0" t="n">
        <f aca="false">ROUND(E1877*I1877,2)</f>
        <v>32084.92</v>
      </c>
      <c r="K1877" s="1" t="n">
        <f aca="false">PV(H1877/12,F1877/30,0,-E1877)</f>
        <v>37026.8556146734</v>
      </c>
      <c r="L1877" s="0" t="n">
        <f aca="false">ROUND(E1877-K1877,2)</f>
        <v>720.11</v>
      </c>
      <c r="M1877" s="0" t="n">
        <f aca="false">F1877/E1877</f>
        <v>0.00919279083857592</v>
      </c>
    </row>
    <row r="1878" customFormat="false" ht="12.8" hidden="false" customHeight="false" outlineLevel="0" collapsed="false">
      <c r="A1878" s="0" t="s">
        <v>2713</v>
      </c>
      <c r="B1878" s="0" t="s">
        <v>2714</v>
      </c>
      <c r="C1878" s="0" t="s">
        <v>26</v>
      </c>
      <c r="D1878" s="0" t="s">
        <v>49</v>
      </c>
      <c r="E1878" s="0" t="n">
        <v>43084.72</v>
      </c>
      <c r="F1878" s="0" t="n">
        <v>243</v>
      </c>
      <c r="G1878" s="0" t="str">
        <f aca="false">IF(F1878&lt;=30,"Current",IF(F1878&lt;=60,"31 to 60 days",IF(F1878&lt;=90,"61 to 90 days",IF(F1878&lt;=120,"91 to 120 days","Over 120 days"))))</f>
        <v>Over 120 days</v>
      </c>
      <c r="H1878" s="0" t="n">
        <f aca="false">VLOOKUP(D1878,Rates!$A$4:$B$7,2,FALSE())</f>
        <v>0.02</v>
      </c>
      <c r="I1878" s="0" t="n">
        <f aca="false">VLOOKUP(F1878,Rates!$D$4:$E$8,2)</f>
        <v>0.85</v>
      </c>
      <c r="J1878" s="0" t="n">
        <f aca="false">ROUND(E1878*I1878,2)</f>
        <v>36622.01</v>
      </c>
      <c r="K1878" s="1" t="n">
        <f aca="false">PV(H1878/12,F1878/30,0,-E1878)</f>
        <v>42507.4624427375</v>
      </c>
      <c r="L1878" s="0" t="n">
        <f aca="false">ROUND(E1878-K1878,2)</f>
        <v>577.26</v>
      </c>
      <c r="M1878" s="0" t="n">
        <f aca="false">F1878/E1878</f>
        <v>0.00564005057941655</v>
      </c>
    </row>
    <row r="1879" customFormat="false" ht="12.8" hidden="false" customHeight="false" outlineLevel="0" collapsed="false">
      <c r="A1879" s="0" t="s">
        <v>2715</v>
      </c>
      <c r="B1879" s="0" t="s">
        <v>1584</v>
      </c>
      <c r="C1879" s="0" t="s">
        <v>19</v>
      </c>
      <c r="D1879" s="0" t="s">
        <v>16</v>
      </c>
      <c r="E1879" s="0" t="n">
        <v>32378.74</v>
      </c>
      <c r="F1879" s="0" t="n">
        <v>21</v>
      </c>
      <c r="G1879" s="0" t="str">
        <f aca="false">IF(F1879&lt;=30,"Current",IF(F1879&lt;=60,"31 to 60 days",IF(F1879&lt;=90,"61 to 90 days",IF(F1879&lt;=120,"91 to 120 days","Over 120 days"))))</f>
        <v>Current</v>
      </c>
      <c r="H1879" s="0" t="n">
        <f aca="false">VLOOKUP(D1879,Rates!$A$4:$B$7,2,FALSE())</f>
        <v>0.085</v>
      </c>
      <c r="I1879" s="0" t="n">
        <f aca="false">VLOOKUP(F1879,Rates!$D$4:$E$8,2)</f>
        <v>0.02</v>
      </c>
      <c r="J1879" s="0" t="n">
        <f aca="false">ROUND(E1879*I1879,2)</f>
        <v>647.57</v>
      </c>
      <c r="K1879" s="1" t="n">
        <f aca="false">PV(H1879/12,F1879/30,0,-E1879)</f>
        <v>32219.1559043157</v>
      </c>
      <c r="L1879" s="0" t="n">
        <f aca="false">ROUND(E1879-K1879,2)</f>
        <v>159.58</v>
      </c>
      <c r="M1879" s="0" t="n">
        <f aca="false">F1879/E1879</f>
        <v>0.000648573724610655</v>
      </c>
    </row>
    <row r="1880" customFormat="false" ht="12.8" hidden="false" customHeight="false" outlineLevel="0" collapsed="false">
      <c r="A1880" s="0" t="s">
        <v>2716</v>
      </c>
      <c r="B1880" s="0" t="s">
        <v>28</v>
      </c>
      <c r="C1880" s="0" t="s">
        <v>15</v>
      </c>
      <c r="D1880" s="0" t="s">
        <v>20</v>
      </c>
      <c r="E1880" s="0" t="n">
        <v>23539.62</v>
      </c>
      <c r="F1880" s="0" t="n">
        <v>5</v>
      </c>
      <c r="G1880" s="0" t="str">
        <f aca="false">IF(F1880&lt;=30,"Current",IF(F1880&lt;=60,"31 to 60 days",IF(F1880&lt;=90,"61 to 90 days",IF(F1880&lt;=120,"91 to 120 days","Over 120 days"))))</f>
        <v>Current</v>
      </c>
      <c r="H1880" s="0" t="n">
        <f aca="false">VLOOKUP(D1880,Rates!$A$4:$B$7,2,FALSE())</f>
        <v>0.05</v>
      </c>
      <c r="I1880" s="0" t="n">
        <f aca="false">VLOOKUP(F1880,Rates!$D$4:$E$8,2)</f>
        <v>0.02</v>
      </c>
      <c r="J1880" s="0" t="n">
        <f aca="false">ROUND(E1880*I1880,2)</f>
        <v>470.79</v>
      </c>
      <c r="K1880" s="1" t="n">
        <f aca="false">PV(H1880/12,F1880/30,0,-E1880)</f>
        <v>23523.3126546856</v>
      </c>
      <c r="L1880" s="0" t="n">
        <f aca="false">ROUND(E1880-K1880,2)</f>
        <v>16.31</v>
      </c>
      <c r="M1880" s="0" t="n">
        <f aca="false">F1880/E1880</f>
        <v>0.000212407846855642</v>
      </c>
    </row>
    <row r="1881" customFormat="false" ht="12.8" hidden="false" customHeight="false" outlineLevel="0" collapsed="false">
      <c r="A1881" s="0" t="s">
        <v>2717</v>
      </c>
      <c r="B1881" s="0" t="s">
        <v>55</v>
      </c>
      <c r="C1881" s="0" t="s">
        <v>26</v>
      </c>
      <c r="D1881" s="0" t="s">
        <v>23</v>
      </c>
      <c r="E1881" s="0" t="n">
        <v>5736.58</v>
      </c>
      <c r="F1881" s="0" t="n">
        <v>138</v>
      </c>
      <c r="G1881" s="0" t="str">
        <f aca="false">IF(F1881&lt;=30,"Current",IF(F1881&lt;=60,"31 to 60 days",IF(F1881&lt;=90,"61 to 90 days",IF(F1881&lt;=120,"91 to 120 days","Over 120 days"))))</f>
        <v>Over 120 days</v>
      </c>
      <c r="H1881" s="0" t="n">
        <f aca="false">VLOOKUP(D1881,Rates!$A$4:$B$7,2,FALSE())</f>
        <v>0.115</v>
      </c>
      <c r="I1881" s="0" t="n">
        <f aca="false">VLOOKUP(F1881,Rates!$D$4:$E$8,2)</f>
        <v>0.85</v>
      </c>
      <c r="J1881" s="0" t="n">
        <f aca="false">ROUND(E1881*I1881,2)</f>
        <v>4876.09</v>
      </c>
      <c r="K1881" s="1" t="n">
        <f aca="false">PV(H1881/12,F1881/30,0,-E1881)</f>
        <v>5490.33774318676</v>
      </c>
      <c r="L1881" s="0" t="n">
        <f aca="false">ROUND(E1881-K1881,2)</f>
        <v>246.24</v>
      </c>
      <c r="M1881" s="0" t="n">
        <f aca="false">F1881/E1881</f>
        <v>0.0240561449504757</v>
      </c>
    </row>
    <row r="1882" customFormat="false" ht="12.8" hidden="false" customHeight="false" outlineLevel="0" collapsed="false">
      <c r="A1882" s="0" t="s">
        <v>2718</v>
      </c>
      <c r="B1882" s="0" t="s">
        <v>2719</v>
      </c>
      <c r="C1882" s="0" t="s">
        <v>19</v>
      </c>
      <c r="D1882" s="0" t="s">
        <v>16</v>
      </c>
      <c r="E1882" s="0" t="n">
        <v>0</v>
      </c>
      <c r="F1882" s="0" t="n">
        <v>270</v>
      </c>
      <c r="G1882" s="0" t="str">
        <f aca="false">IF(F1882&lt;=30,"Current",IF(F1882&lt;=60,"31 to 60 days",IF(F1882&lt;=90,"61 to 90 days",IF(F1882&lt;=120,"91 to 120 days","Over 120 days"))))</f>
        <v>Over 120 days</v>
      </c>
      <c r="H1882" s="0" t="n">
        <f aca="false">VLOOKUP(D1882,Rates!$A$4:$B$7,2,FALSE())</f>
        <v>0.085</v>
      </c>
      <c r="I1882" s="0" t="n">
        <f aca="false">VLOOKUP(F1882,Rates!$D$4:$E$8,2)</f>
        <v>0.85</v>
      </c>
      <c r="J1882" s="0" t="n">
        <f aca="false">ROUND(E1882*I1882,2)</f>
        <v>0</v>
      </c>
      <c r="K1882" s="1" t="n">
        <f aca="false">PV(H1882/12,F1882/30,0,-E1882)</f>
        <v>-0</v>
      </c>
      <c r="L1882" s="0" t="n">
        <f aca="false">ROUND(E1882-K1882,2)</f>
        <v>0</v>
      </c>
      <c r="M1882" s="0" t="e">
        <f aca="false">F1882/E1882</f>
        <v>#DIV/0!</v>
      </c>
    </row>
    <row r="1883" customFormat="false" ht="12.8" hidden="false" customHeight="false" outlineLevel="0" collapsed="false">
      <c r="A1883" s="0" t="s">
        <v>2720</v>
      </c>
      <c r="B1883" s="0" t="s">
        <v>1323</v>
      </c>
      <c r="C1883" s="0" t="s">
        <v>15</v>
      </c>
      <c r="D1883" s="0" t="s">
        <v>49</v>
      </c>
      <c r="E1883" s="0" t="n">
        <v>38961.04</v>
      </c>
      <c r="F1883" s="0" t="n">
        <v>16</v>
      </c>
      <c r="G1883" s="0" t="str">
        <f aca="false">IF(F1883&lt;=30,"Current",IF(F1883&lt;=60,"31 to 60 days",IF(F1883&lt;=90,"61 to 90 days",IF(F1883&lt;=120,"91 to 120 days","Over 120 days"))))</f>
        <v>Current</v>
      </c>
      <c r="H1883" s="0" t="n">
        <f aca="false">VLOOKUP(D1883,Rates!$A$4:$B$7,2,FALSE())</f>
        <v>0.02</v>
      </c>
      <c r="I1883" s="0" t="n">
        <f aca="false">VLOOKUP(F1883,Rates!$D$4:$E$8,2)</f>
        <v>0.02</v>
      </c>
      <c r="J1883" s="0" t="n">
        <f aca="false">ROUND(E1883*I1883,2)</f>
        <v>779.22</v>
      </c>
      <c r="K1883" s="1" t="n">
        <f aca="false">PV(H1883/12,F1883/30,0,-E1883)</f>
        <v>38926.4521543008</v>
      </c>
      <c r="L1883" s="0" t="n">
        <f aca="false">ROUND(E1883-K1883,2)</f>
        <v>34.59</v>
      </c>
      <c r="M1883" s="0" t="n">
        <f aca="false">F1883/E1883</f>
        <v>0.000410666655715556</v>
      </c>
    </row>
    <row r="1884" customFormat="false" ht="12.8" hidden="false" customHeight="false" outlineLevel="0" collapsed="false">
      <c r="A1884" s="0" t="s">
        <v>2721</v>
      </c>
      <c r="B1884" s="0" t="s">
        <v>148</v>
      </c>
      <c r="C1884" s="0" t="s">
        <v>31</v>
      </c>
      <c r="D1884" s="0" t="s">
        <v>23</v>
      </c>
      <c r="E1884" s="0" t="n">
        <v>5795.11</v>
      </c>
      <c r="F1884" s="0" t="n">
        <v>83</v>
      </c>
      <c r="G1884" s="0" t="str">
        <f aca="false">IF(F1884&lt;=30,"Current",IF(F1884&lt;=60,"31 to 60 days",IF(F1884&lt;=90,"61 to 90 days",IF(F1884&lt;=120,"91 to 120 days","Over 120 days"))))</f>
        <v>61 to 90 days</v>
      </c>
      <c r="H1884" s="0" t="n">
        <f aca="false">VLOOKUP(D1884,Rates!$A$4:$B$7,2,FALSE())</f>
        <v>0.115</v>
      </c>
      <c r="I1884" s="0" t="n">
        <f aca="false">VLOOKUP(F1884,Rates!$D$4:$E$8,2)</f>
        <v>0.25</v>
      </c>
      <c r="J1884" s="0" t="n">
        <f aca="false">ROUND(E1884*I1884,2)</f>
        <v>1448.78</v>
      </c>
      <c r="K1884" s="1" t="n">
        <f aca="false">PV(H1884/12,F1884/30,0,-E1884)</f>
        <v>5644.19063179839</v>
      </c>
      <c r="L1884" s="0" t="n">
        <f aca="false">ROUND(E1884-K1884,2)</f>
        <v>150.92</v>
      </c>
      <c r="M1884" s="0" t="n">
        <f aca="false">F1884/E1884</f>
        <v>0.0143224201093681</v>
      </c>
    </row>
    <row r="1885" customFormat="false" ht="12.8" hidden="false" customHeight="false" outlineLevel="0" collapsed="false">
      <c r="A1885" s="0" t="s">
        <v>2722</v>
      </c>
      <c r="B1885" s="0" t="s">
        <v>28</v>
      </c>
      <c r="C1885" s="0" t="s">
        <v>15</v>
      </c>
      <c r="D1885" s="0" t="s">
        <v>20</v>
      </c>
      <c r="E1885" s="0" t="n">
        <v>43024.21</v>
      </c>
      <c r="F1885" s="0" t="n">
        <v>91</v>
      </c>
      <c r="G1885" s="0" t="str">
        <f aca="false">IF(F1885&lt;=30,"Current",IF(F1885&lt;=60,"31 to 60 days",IF(F1885&lt;=90,"61 to 90 days",IF(F1885&lt;=120,"91 to 120 days","Over 120 days"))))</f>
        <v>91 to 120 days</v>
      </c>
      <c r="H1885" s="0" t="n">
        <f aca="false">VLOOKUP(D1885,Rates!$A$4:$B$7,2,FALSE())</f>
        <v>0.05</v>
      </c>
      <c r="I1885" s="0" t="n">
        <f aca="false">VLOOKUP(F1885,Rates!$D$4:$E$8,2)</f>
        <v>0.5</v>
      </c>
      <c r="J1885" s="0" t="n">
        <f aca="false">ROUND(E1885*I1885,2)</f>
        <v>21512.11</v>
      </c>
      <c r="K1885" s="1" t="n">
        <f aca="false">PV(H1885/12,F1885/30,0,-E1885)</f>
        <v>42484.9692948893</v>
      </c>
      <c r="L1885" s="0" t="n">
        <f aca="false">ROUND(E1885-K1885,2)</f>
        <v>539.24</v>
      </c>
      <c r="M1885" s="0" t="n">
        <f aca="false">F1885/E1885</f>
        <v>0.00211508822590816</v>
      </c>
    </row>
    <row r="1886" customFormat="false" ht="12.8" hidden="false" customHeight="false" outlineLevel="0" collapsed="false">
      <c r="A1886" s="0" t="s">
        <v>2723</v>
      </c>
      <c r="B1886" s="0" t="s">
        <v>186</v>
      </c>
      <c r="C1886" s="0" t="s">
        <v>31</v>
      </c>
      <c r="D1886" s="0" t="s">
        <v>23</v>
      </c>
      <c r="E1886" s="0" t="n">
        <v>37425.55</v>
      </c>
      <c r="F1886" s="0" t="n">
        <v>274</v>
      </c>
      <c r="G1886" s="0" t="str">
        <f aca="false">IF(F1886&lt;=30,"Current",IF(F1886&lt;=60,"31 to 60 days",IF(F1886&lt;=90,"61 to 90 days",IF(F1886&lt;=120,"91 to 120 days","Over 120 days"))))</f>
        <v>Over 120 days</v>
      </c>
      <c r="H1886" s="0" t="n">
        <f aca="false">VLOOKUP(D1886,Rates!$A$4:$B$7,2,FALSE())</f>
        <v>0.115</v>
      </c>
      <c r="I1886" s="0" t="n">
        <f aca="false">VLOOKUP(F1886,Rates!$D$4:$E$8,2)</f>
        <v>0.85</v>
      </c>
      <c r="J1886" s="0" t="n">
        <f aca="false">ROUND(E1886*I1886,2)</f>
        <v>31811.72</v>
      </c>
      <c r="K1886" s="1" t="n">
        <f aca="false">PV(H1886/12,F1886/30,0,-E1886)</f>
        <v>34303.3354197125</v>
      </c>
      <c r="L1886" s="0" t="n">
        <f aca="false">ROUND(E1886-K1886,2)</f>
        <v>3122.21</v>
      </c>
      <c r="M1886" s="0" t="n">
        <f aca="false">F1886/E1886</f>
        <v>0.0073212016924267</v>
      </c>
    </row>
    <row r="1887" customFormat="false" ht="12.8" hidden="false" customHeight="false" outlineLevel="0" collapsed="false">
      <c r="A1887" s="0" t="s">
        <v>2724</v>
      </c>
      <c r="B1887" s="0" t="s">
        <v>2570</v>
      </c>
      <c r="C1887" s="0" t="s">
        <v>26</v>
      </c>
      <c r="D1887" s="0" t="s">
        <v>49</v>
      </c>
      <c r="E1887" s="0" t="n">
        <v>30654.93</v>
      </c>
      <c r="F1887" s="0" t="n">
        <v>337</v>
      </c>
      <c r="G1887" s="0" t="str">
        <f aca="false">IF(F1887&lt;=30,"Current",IF(F1887&lt;=60,"31 to 60 days",IF(F1887&lt;=90,"61 to 90 days",IF(F1887&lt;=120,"91 to 120 days","Over 120 days"))))</f>
        <v>Over 120 days</v>
      </c>
      <c r="H1887" s="0" t="n">
        <f aca="false">VLOOKUP(D1887,Rates!$A$4:$B$7,2,FALSE())</f>
        <v>0.02</v>
      </c>
      <c r="I1887" s="0" t="n">
        <f aca="false">VLOOKUP(F1887,Rates!$D$4:$E$8,2)</f>
        <v>0.85</v>
      </c>
      <c r="J1887" s="0" t="n">
        <f aca="false">ROUND(E1887*I1887,2)</f>
        <v>26056.69</v>
      </c>
      <c r="K1887" s="1" t="n">
        <f aca="false">PV(H1887/12,F1887/30,0,-E1887)</f>
        <v>30086.8097086408</v>
      </c>
      <c r="L1887" s="0" t="n">
        <f aca="false">ROUND(E1887-K1887,2)</f>
        <v>568.12</v>
      </c>
      <c r="M1887" s="0" t="n">
        <f aca="false">F1887/E1887</f>
        <v>0.0109933377763381</v>
      </c>
    </row>
    <row r="1888" customFormat="false" ht="12.8" hidden="false" customHeight="false" outlineLevel="0" collapsed="false">
      <c r="A1888" s="0" t="s">
        <v>2725</v>
      </c>
      <c r="B1888" s="0" t="s">
        <v>53</v>
      </c>
      <c r="C1888" s="0" t="s">
        <v>19</v>
      </c>
      <c r="D1888" s="0" t="s">
        <v>23</v>
      </c>
      <c r="E1888" s="0" t="n">
        <v>35849.07</v>
      </c>
      <c r="F1888" s="0" t="n">
        <v>62</v>
      </c>
      <c r="G1888" s="0" t="str">
        <f aca="false">IF(F1888&lt;=30,"Current",IF(F1888&lt;=60,"31 to 60 days",IF(F1888&lt;=90,"61 to 90 days",IF(F1888&lt;=120,"91 to 120 days","Over 120 days"))))</f>
        <v>61 to 90 days</v>
      </c>
      <c r="H1888" s="0" t="n">
        <f aca="false">VLOOKUP(D1888,Rates!$A$4:$B$7,2,FALSE())</f>
        <v>0.115</v>
      </c>
      <c r="I1888" s="0" t="n">
        <f aca="false">VLOOKUP(F1888,Rates!$D$4:$E$8,2)</f>
        <v>0.25</v>
      </c>
      <c r="J1888" s="0" t="n">
        <f aca="false">ROUND(E1888*I1888,2)</f>
        <v>8962.27</v>
      </c>
      <c r="K1888" s="1" t="n">
        <f aca="false">PV(H1888/12,F1888/30,0,-E1888)</f>
        <v>35149.358557142</v>
      </c>
      <c r="L1888" s="0" t="n">
        <f aca="false">ROUND(E1888-K1888,2)</f>
        <v>699.71</v>
      </c>
      <c r="M1888" s="0" t="n">
        <f aca="false">F1888/E1888</f>
        <v>0.00172947303793376</v>
      </c>
    </row>
    <row r="1889" customFormat="false" ht="12.8" hidden="false" customHeight="false" outlineLevel="0" collapsed="false">
      <c r="A1889" s="0" t="s">
        <v>2726</v>
      </c>
      <c r="B1889" s="0" t="s">
        <v>44</v>
      </c>
      <c r="C1889" s="0" t="s">
        <v>36</v>
      </c>
      <c r="D1889" s="0" t="s">
        <v>23</v>
      </c>
      <c r="E1889" s="0" t="n">
        <v>8184.07</v>
      </c>
      <c r="F1889" s="0" t="n">
        <v>360</v>
      </c>
      <c r="G1889" s="0" t="str">
        <f aca="false">IF(F1889&lt;=30,"Current",IF(F1889&lt;=60,"31 to 60 days",IF(F1889&lt;=90,"61 to 90 days",IF(F1889&lt;=120,"91 to 120 days","Over 120 days"))))</f>
        <v>Over 120 days</v>
      </c>
      <c r="H1889" s="0" t="n">
        <f aca="false">VLOOKUP(D1889,Rates!$A$4:$B$7,2,FALSE())</f>
        <v>0.115</v>
      </c>
      <c r="I1889" s="0" t="n">
        <f aca="false">VLOOKUP(F1889,Rates!$D$4:$E$8,2)</f>
        <v>0.85</v>
      </c>
      <c r="J1889" s="0" t="n">
        <f aca="false">ROUND(E1889*I1889,2)</f>
        <v>6956.46</v>
      </c>
      <c r="K1889" s="1" t="n">
        <f aca="false">PV(H1889/12,F1889/30,0,-E1889)</f>
        <v>7298.99836248464</v>
      </c>
      <c r="L1889" s="0" t="n">
        <f aca="false">ROUND(E1889-K1889,2)</f>
        <v>885.07</v>
      </c>
      <c r="M1889" s="0" t="n">
        <f aca="false">F1889/E1889</f>
        <v>0.0439878935541851</v>
      </c>
    </row>
    <row r="1890" customFormat="false" ht="12.8" hidden="false" customHeight="false" outlineLevel="0" collapsed="false">
      <c r="A1890" s="0" t="s">
        <v>2727</v>
      </c>
      <c r="B1890" s="0" t="s">
        <v>2728</v>
      </c>
      <c r="C1890" s="0" t="s">
        <v>31</v>
      </c>
      <c r="D1890" s="0" t="s">
        <v>16</v>
      </c>
      <c r="E1890" s="0" t="n">
        <v>5117.87</v>
      </c>
      <c r="F1890" s="0" t="n">
        <v>98</v>
      </c>
      <c r="G1890" s="0" t="str">
        <f aca="false">IF(F1890&lt;=30,"Current",IF(F1890&lt;=60,"31 to 60 days",IF(F1890&lt;=90,"61 to 90 days",IF(F1890&lt;=120,"91 to 120 days","Over 120 days"))))</f>
        <v>91 to 120 days</v>
      </c>
      <c r="H1890" s="0" t="n">
        <f aca="false">VLOOKUP(D1890,Rates!$A$4:$B$7,2,FALSE())</f>
        <v>0.085</v>
      </c>
      <c r="I1890" s="0" t="n">
        <f aca="false">VLOOKUP(F1890,Rates!$D$4:$E$8,2)</f>
        <v>0.5</v>
      </c>
      <c r="J1890" s="0" t="n">
        <f aca="false">ROUND(E1890*I1890,2)</f>
        <v>2558.94</v>
      </c>
      <c r="K1890" s="1" t="n">
        <f aca="false">PV(H1890/12,F1890/30,0,-E1890)</f>
        <v>5001.21565192444</v>
      </c>
      <c r="L1890" s="0" t="n">
        <f aca="false">ROUND(E1890-K1890,2)</f>
        <v>116.65</v>
      </c>
      <c r="M1890" s="0" t="n">
        <f aca="false">F1890/E1890</f>
        <v>0.0191485911130998</v>
      </c>
    </row>
    <row r="1891" customFormat="false" ht="12.8" hidden="false" customHeight="false" outlineLevel="0" collapsed="false">
      <c r="A1891" s="0" t="s">
        <v>2729</v>
      </c>
      <c r="B1891" s="0" t="s">
        <v>269</v>
      </c>
      <c r="C1891" s="0" t="s">
        <v>42</v>
      </c>
      <c r="D1891" s="0" t="s">
        <v>23</v>
      </c>
      <c r="E1891" s="0" t="n">
        <v>22280.91</v>
      </c>
      <c r="F1891" s="0" t="n">
        <v>223</v>
      </c>
      <c r="G1891" s="0" t="str">
        <f aca="false">IF(F1891&lt;=30,"Current",IF(F1891&lt;=60,"31 to 60 days",IF(F1891&lt;=90,"61 to 90 days",IF(F1891&lt;=120,"91 to 120 days","Over 120 days"))))</f>
        <v>Over 120 days</v>
      </c>
      <c r="H1891" s="0" t="n">
        <f aca="false">VLOOKUP(D1891,Rates!$A$4:$B$7,2,FALSE())</f>
        <v>0.115</v>
      </c>
      <c r="I1891" s="0" t="n">
        <f aca="false">VLOOKUP(F1891,Rates!$D$4:$E$8,2)</f>
        <v>0.85</v>
      </c>
      <c r="J1891" s="0" t="n">
        <f aca="false">ROUND(E1891*I1891,2)</f>
        <v>18938.77</v>
      </c>
      <c r="K1891" s="1" t="n">
        <f aca="false">PV(H1891/12,F1891/30,0,-E1891)</f>
        <v>20755.9576554642</v>
      </c>
      <c r="L1891" s="0" t="n">
        <f aca="false">ROUND(E1891-K1891,2)</f>
        <v>1524.95</v>
      </c>
      <c r="M1891" s="0" t="n">
        <f aca="false">F1891/E1891</f>
        <v>0.0100085678726767</v>
      </c>
    </row>
    <row r="1892" customFormat="false" ht="12.8" hidden="false" customHeight="false" outlineLevel="0" collapsed="false">
      <c r="A1892" s="0" t="s">
        <v>2730</v>
      </c>
      <c r="B1892" s="0" t="s">
        <v>97</v>
      </c>
      <c r="C1892" s="0" t="s">
        <v>42</v>
      </c>
      <c r="D1892" s="0" t="s">
        <v>20</v>
      </c>
      <c r="E1892" s="0" t="n">
        <v>16787.8</v>
      </c>
      <c r="F1892" s="0" t="n">
        <v>382</v>
      </c>
      <c r="G1892" s="0" t="str">
        <f aca="false">IF(F1892&lt;=30,"Current",IF(F1892&lt;=60,"31 to 60 days",IF(F1892&lt;=90,"61 to 90 days",IF(F1892&lt;=120,"91 to 120 days","Over 120 days"))))</f>
        <v>Over 120 days</v>
      </c>
      <c r="H1892" s="0" t="n">
        <f aca="false">VLOOKUP(D1892,Rates!$A$4:$B$7,2,FALSE())</f>
        <v>0.05</v>
      </c>
      <c r="I1892" s="0" t="n">
        <f aca="false">VLOOKUP(F1892,Rates!$D$4:$E$8,2)</f>
        <v>0.85</v>
      </c>
      <c r="J1892" s="0" t="n">
        <f aca="false">ROUND(E1892*I1892,2)</f>
        <v>14269.63</v>
      </c>
      <c r="K1892" s="1" t="n">
        <f aca="false">PV(H1892/12,F1892/30,0,-E1892)</f>
        <v>15922.0844224301</v>
      </c>
      <c r="L1892" s="0" t="n">
        <f aca="false">ROUND(E1892-K1892,2)</f>
        <v>865.72</v>
      </c>
      <c r="M1892" s="0" t="n">
        <f aca="false">F1892/E1892</f>
        <v>0.0227546194260117</v>
      </c>
    </row>
    <row r="1893" customFormat="false" ht="12.8" hidden="false" customHeight="false" outlineLevel="0" collapsed="false">
      <c r="A1893" s="0" t="s">
        <v>2731</v>
      </c>
      <c r="B1893" s="0" t="s">
        <v>51</v>
      </c>
      <c r="C1893" s="0" t="s">
        <v>36</v>
      </c>
      <c r="D1893" s="0" t="s">
        <v>20</v>
      </c>
      <c r="E1893" s="0" t="n">
        <v>44687.48</v>
      </c>
      <c r="F1893" s="0" t="n">
        <v>135</v>
      </c>
      <c r="G1893" s="0" t="str">
        <f aca="false">IF(F1893&lt;=30,"Current",IF(F1893&lt;=60,"31 to 60 days",IF(F1893&lt;=90,"61 to 90 days",IF(F1893&lt;=120,"91 to 120 days","Over 120 days"))))</f>
        <v>Over 120 days</v>
      </c>
      <c r="H1893" s="0" t="n">
        <f aca="false">VLOOKUP(D1893,Rates!$A$4:$B$7,2,FALSE())</f>
        <v>0.05</v>
      </c>
      <c r="I1893" s="0" t="n">
        <f aca="false">VLOOKUP(F1893,Rates!$D$4:$E$8,2)</f>
        <v>0.85</v>
      </c>
      <c r="J1893" s="0" t="n">
        <f aca="false">ROUND(E1893*I1893,2)</f>
        <v>37984.36</v>
      </c>
      <c r="K1893" s="1" t="n">
        <f aca="false">PV(H1893/12,F1893/30,0,-E1893)</f>
        <v>43859.1045740362</v>
      </c>
      <c r="L1893" s="0" t="n">
        <f aca="false">ROUND(E1893-K1893,2)</f>
        <v>828.38</v>
      </c>
      <c r="M1893" s="0" t="n">
        <f aca="false">F1893/E1893</f>
        <v>0.00302098037302618</v>
      </c>
    </row>
    <row r="1894" customFormat="false" ht="12.8" hidden="false" customHeight="false" outlineLevel="0" collapsed="false">
      <c r="A1894" s="0" t="s">
        <v>2732</v>
      </c>
      <c r="B1894" s="0" t="s">
        <v>2733</v>
      </c>
      <c r="C1894" s="0" t="s">
        <v>31</v>
      </c>
      <c r="D1894" s="0" t="s">
        <v>49</v>
      </c>
      <c r="E1894" s="0" t="n">
        <v>19438.46</v>
      </c>
      <c r="F1894" s="0" t="n">
        <v>213</v>
      </c>
      <c r="G1894" s="0" t="str">
        <f aca="false">IF(F1894&lt;=30,"Current",IF(F1894&lt;=60,"31 to 60 days",IF(F1894&lt;=90,"61 to 90 days",IF(F1894&lt;=120,"91 to 120 days","Over 120 days"))))</f>
        <v>Over 120 days</v>
      </c>
      <c r="H1894" s="0" t="n">
        <f aca="false">VLOOKUP(D1894,Rates!$A$4:$B$7,2,FALSE())</f>
        <v>0.02</v>
      </c>
      <c r="I1894" s="0" t="n">
        <f aca="false">VLOOKUP(F1894,Rates!$D$4:$E$8,2)</f>
        <v>0.85</v>
      </c>
      <c r="J1894" s="0" t="n">
        <f aca="false">ROUND(E1894*I1894,2)</f>
        <v>16522.69</v>
      </c>
      <c r="K1894" s="1" t="n">
        <f aca="false">PV(H1894/12,F1894/30,0,-E1894)</f>
        <v>19209.9830537442</v>
      </c>
      <c r="L1894" s="0" t="n">
        <f aca="false">ROUND(E1894-K1894,2)</f>
        <v>228.48</v>
      </c>
      <c r="M1894" s="0" t="n">
        <f aca="false">F1894/E1894</f>
        <v>0.010957658168394</v>
      </c>
    </row>
    <row r="1895" customFormat="false" ht="12.8" hidden="false" customHeight="false" outlineLevel="0" collapsed="false">
      <c r="A1895" s="0" t="s">
        <v>2734</v>
      </c>
      <c r="B1895" s="0" t="s">
        <v>22</v>
      </c>
      <c r="C1895" s="0" t="s">
        <v>15</v>
      </c>
      <c r="D1895" s="0" t="s">
        <v>23</v>
      </c>
      <c r="E1895" s="0" t="n">
        <v>13206.07</v>
      </c>
      <c r="F1895" s="0" t="n">
        <v>263</v>
      </c>
      <c r="G1895" s="0" t="str">
        <f aca="false">IF(F1895&lt;=30,"Current",IF(F1895&lt;=60,"31 to 60 days",IF(F1895&lt;=90,"61 to 90 days",IF(F1895&lt;=120,"91 to 120 days","Over 120 days"))))</f>
        <v>Over 120 days</v>
      </c>
      <c r="H1895" s="0" t="n">
        <f aca="false">VLOOKUP(D1895,Rates!$A$4:$B$7,2,FALSE())</f>
        <v>0.115</v>
      </c>
      <c r="I1895" s="0" t="n">
        <f aca="false">VLOOKUP(F1895,Rates!$D$4:$E$8,2)</f>
        <v>0.85</v>
      </c>
      <c r="J1895" s="0" t="n">
        <f aca="false">ROUND(E1895*I1895,2)</f>
        <v>11225.16</v>
      </c>
      <c r="K1895" s="1" t="n">
        <f aca="false">PV(H1895/12,F1895/30,0,-E1895)</f>
        <v>12146.7627800977</v>
      </c>
      <c r="L1895" s="0" t="n">
        <f aca="false">ROUND(E1895-K1895,2)</f>
        <v>1059.31</v>
      </c>
      <c r="M1895" s="0" t="n">
        <f aca="false">F1895/E1895</f>
        <v>0.0199150845028082</v>
      </c>
    </row>
    <row r="1896" customFormat="false" ht="12.8" hidden="false" customHeight="false" outlineLevel="0" collapsed="false">
      <c r="A1896" s="0" t="s">
        <v>2735</v>
      </c>
      <c r="B1896" s="0" t="s">
        <v>30</v>
      </c>
      <c r="C1896" s="0" t="s">
        <v>31</v>
      </c>
      <c r="D1896" s="0" t="s">
        <v>20</v>
      </c>
      <c r="E1896" s="0" t="n">
        <v>36208</v>
      </c>
      <c r="F1896" s="0" t="n">
        <v>250</v>
      </c>
      <c r="G1896" s="0" t="str">
        <f aca="false">IF(F1896&lt;=30,"Current",IF(F1896&lt;=60,"31 to 60 days",IF(F1896&lt;=90,"61 to 90 days",IF(F1896&lt;=120,"91 to 120 days","Over 120 days"))))</f>
        <v>Over 120 days</v>
      </c>
      <c r="H1896" s="0" t="n">
        <f aca="false">VLOOKUP(D1896,Rates!$A$4:$B$7,2,FALSE())</f>
        <v>0.05</v>
      </c>
      <c r="I1896" s="0" t="n">
        <f aca="false">VLOOKUP(F1896,Rates!$D$4:$E$8,2)</f>
        <v>0.85</v>
      </c>
      <c r="J1896" s="0" t="n">
        <f aca="false">ROUND(E1896*I1896,2)</f>
        <v>30776.8</v>
      </c>
      <c r="K1896" s="1" t="n">
        <f aca="false">PV(H1896/12,F1896/30,0,-E1896)</f>
        <v>34974.8770199824</v>
      </c>
      <c r="L1896" s="0" t="n">
        <f aca="false">ROUND(E1896-K1896,2)</f>
        <v>1233.12</v>
      </c>
      <c r="M1896" s="0" t="n">
        <f aca="false">F1896/E1896</f>
        <v>0.00690455148033584</v>
      </c>
    </row>
    <row r="1897" customFormat="false" ht="12.8" hidden="false" customHeight="false" outlineLevel="0" collapsed="false">
      <c r="A1897" s="0" t="s">
        <v>2736</v>
      </c>
      <c r="B1897" s="0" t="s">
        <v>51</v>
      </c>
      <c r="C1897" s="0" t="s">
        <v>36</v>
      </c>
      <c r="D1897" s="0" t="s">
        <v>20</v>
      </c>
      <c r="E1897" s="0" t="n">
        <v>42163.17</v>
      </c>
      <c r="F1897" s="0" t="n">
        <v>116</v>
      </c>
      <c r="G1897" s="0" t="str">
        <f aca="false">IF(F1897&lt;=30,"Current",IF(F1897&lt;=60,"31 to 60 days",IF(F1897&lt;=90,"61 to 90 days",IF(F1897&lt;=120,"91 to 120 days","Over 120 days"))))</f>
        <v>91 to 120 days</v>
      </c>
      <c r="H1897" s="0" t="n">
        <f aca="false">VLOOKUP(D1897,Rates!$A$4:$B$7,2,FALSE())</f>
        <v>0.05</v>
      </c>
      <c r="I1897" s="0" t="n">
        <f aca="false">VLOOKUP(F1897,Rates!$D$4:$E$8,2)</f>
        <v>0.5</v>
      </c>
      <c r="J1897" s="0" t="n">
        <f aca="false">ROUND(E1897*I1897,2)</f>
        <v>21081.59</v>
      </c>
      <c r="K1897" s="1" t="n">
        <f aca="false">PV(H1897/12,F1897/30,0,-E1897)</f>
        <v>41490.7060651341</v>
      </c>
      <c r="L1897" s="0" t="n">
        <f aca="false">ROUND(E1897-K1897,2)</f>
        <v>672.46</v>
      </c>
      <c r="M1897" s="0" t="n">
        <f aca="false">F1897/E1897</f>
        <v>0.0027512162866312</v>
      </c>
    </row>
    <row r="1898" customFormat="false" ht="12.8" hidden="false" customHeight="false" outlineLevel="0" collapsed="false">
      <c r="A1898" s="0" t="s">
        <v>2737</v>
      </c>
      <c r="B1898" s="0" t="s">
        <v>357</v>
      </c>
      <c r="C1898" s="0" t="s">
        <v>19</v>
      </c>
      <c r="D1898" s="0" t="s">
        <v>23</v>
      </c>
      <c r="E1898" s="0" t="n">
        <v>34724.7</v>
      </c>
      <c r="F1898" s="0" t="n">
        <v>254</v>
      </c>
      <c r="G1898" s="0" t="str">
        <f aca="false">IF(F1898&lt;=30,"Current",IF(F1898&lt;=60,"31 to 60 days",IF(F1898&lt;=90,"61 to 90 days",IF(F1898&lt;=120,"91 to 120 days","Over 120 days"))))</f>
        <v>Over 120 days</v>
      </c>
      <c r="H1898" s="0" t="n">
        <f aca="false">VLOOKUP(D1898,Rates!$A$4:$B$7,2,FALSE())</f>
        <v>0.115</v>
      </c>
      <c r="I1898" s="0" t="n">
        <f aca="false">VLOOKUP(F1898,Rates!$D$4:$E$8,2)</f>
        <v>0.85</v>
      </c>
      <c r="J1898" s="0" t="n">
        <f aca="false">ROUND(E1898*I1898,2)</f>
        <v>29516</v>
      </c>
      <c r="K1898" s="1" t="n">
        <f aca="false">PV(H1898/12,F1898/30,0,-E1898)</f>
        <v>32030.8238565216</v>
      </c>
      <c r="L1898" s="0" t="n">
        <f aca="false">ROUND(E1898-K1898,2)</f>
        <v>2693.88</v>
      </c>
      <c r="M1898" s="0" t="n">
        <f aca="false">F1898/E1898</f>
        <v>0.00731467802457617</v>
      </c>
    </row>
    <row r="1899" customFormat="false" ht="12.8" hidden="false" customHeight="false" outlineLevel="0" collapsed="false">
      <c r="A1899" s="0" t="s">
        <v>2738</v>
      </c>
      <c r="B1899" s="0" t="s">
        <v>44</v>
      </c>
      <c r="C1899" s="0" t="s">
        <v>36</v>
      </c>
      <c r="D1899" s="0" t="s">
        <v>23</v>
      </c>
      <c r="E1899" s="0" t="n">
        <v>38291.68</v>
      </c>
      <c r="F1899" s="0" t="n">
        <v>352</v>
      </c>
      <c r="G1899" s="0" t="str">
        <f aca="false">IF(F1899&lt;=30,"Current",IF(F1899&lt;=60,"31 to 60 days",IF(F1899&lt;=90,"61 to 90 days",IF(F1899&lt;=120,"91 to 120 days","Over 120 days"))))</f>
        <v>Over 120 days</v>
      </c>
      <c r="H1899" s="0" t="n">
        <f aca="false">VLOOKUP(D1899,Rates!$A$4:$B$7,2,FALSE())</f>
        <v>0.115</v>
      </c>
      <c r="I1899" s="0" t="n">
        <f aca="false">VLOOKUP(F1899,Rates!$D$4:$E$8,2)</f>
        <v>0.85</v>
      </c>
      <c r="J1899" s="0" t="n">
        <f aca="false">ROUND(E1899*I1899,2)</f>
        <v>32547.93</v>
      </c>
      <c r="K1899" s="1" t="n">
        <f aca="false">PV(H1899/12,F1899/30,0,-E1899)</f>
        <v>34237.5698349386</v>
      </c>
      <c r="L1899" s="0" t="n">
        <f aca="false">ROUND(E1899-K1899,2)</f>
        <v>4054.11</v>
      </c>
      <c r="M1899" s="0" t="n">
        <f aca="false">F1899/E1899</f>
        <v>0.00919259745197913</v>
      </c>
    </row>
    <row r="1900" customFormat="false" ht="12.8" hidden="false" customHeight="false" outlineLevel="0" collapsed="false">
      <c r="A1900" s="0" t="s">
        <v>2739</v>
      </c>
      <c r="B1900" s="0" t="s">
        <v>2613</v>
      </c>
      <c r="C1900" s="0" t="s">
        <v>15</v>
      </c>
      <c r="D1900" s="0" t="s">
        <v>49</v>
      </c>
      <c r="E1900" s="0" t="n">
        <v>6985.5</v>
      </c>
      <c r="F1900" s="0" t="n">
        <v>104</v>
      </c>
      <c r="G1900" s="0" t="str">
        <f aca="false">IF(F1900&lt;=30,"Current",IF(F1900&lt;=60,"31 to 60 days",IF(F1900&lt;=90,"61 to 90 days",IF(F1900&lt;=120,"91 to 120 days","Over 120 days"))))</f>
        <v>91 to 120 days</v>
      </c>
      <c r="H1900" s="0" t="n">
        <f aca="false">VLOOKUP(D1900,Rates!$A$4:$B$7,2,FALSE())</f>
        <v>0.02</v>
      </c>
      <c r="I1900" s="0" t="n">
        <f aca="false">VLOOKUP(F1900,Rates!$D$4:$E$8,2)</f>
        <v>0.5</v>
      </c>
      <c r="J1900" s="0" t="n">
        <f aca="false">ROUND(E1900*I1900,2)</f>
        <v>3492.75</v>
      </c>
      <c r="K1900" s="1" t="n">
        <f aca="false">PV(H1900/12,F1900/30,0,-E1900)</f>
        <v>6945.28910967178</v>
      </c>
      <c r="L1900" s="0" t="n">
        <f aca="false">ROUND(E1900-K1900,2)</f>
        <v>40.21</v>
      </c>
      <c r="M1900" s="0" t="n">
        <f aca="false">F1900/E1900</f>
        <v>0.0148879822489442</v>
      </c>
    </row>
    <row r="1901" customFormat="false" ht="12.8" hidden="false" customHeight="false" outlineLevel="0" collapsed="false">
      <c r="A1901" s="0" t="s">
        <v>2740</v>
      </c>
      <c r="B1901" s="0" t="s">
        <v>239</v>
      </c>
      <c r="C1901" s="0" t="s">
        <v>42</v>
      </c>
      <c r="D1901" s="0" t="s">
        <v>23</v>
      </c>
      <c r="E1901" s="0" t="n">
        <v>35210.71</v>
      </c>
      <c r="F1901" s="0" t="n">
        <v>138</v>
      </c>
      <c r="G1901" s="0" t="str">
        <f aca="false">IF(F1901&lt;=30,"Current",IF(F1901&lt;=60,"31 to 60 days",IF(F1901&lt;=90,"61 to 90 days",IF(F1901&lt;=120,"91 to 120 days","Over 120 days"))))</f>
        <v>Over 120 days</v>
      </c>
      <c r="H1901" s="0" t="n">
        <f aca="false">VLOOKUP(D1901,Rates!$A$4:$B$7,2,FALSE())</f>
        <v>0.115</v>
      </c>
      <c r="I1901" s="0" t="n">
        <f aca="false">VLOOKUP(F1901,Rates!$D$4:$E$8,2)</f>
        <v>0.85</v>
      </c>
      <c r="J1901" s="0" t="n">
        <f aca="false">ROUND(E1901*I1901,2)</f>
        <v>29929.1</v>
      </c>
      <c r="K1901" s="1" t="n">
        <f aca="false">PV(H1901/12,F1901/30,0,-E1901)</f>
        <v>33699.2929720153</v>
      </c>
      <c r="L1901" s="0" t="n">
        <f aca="false">ROUND(E1901-K1901,2)</f>
        <v>1511.42</v>
      </c>
      <c r="M1901" s="0" t="n">
        <f aca="false">F1901/E1901</f>
        <v>0.00391926206543407</v>
      </c>
    </row>
    <row r="1902" customFormat="false" ht="12.8" hidden="false" customHeight="false" outlineLevel="0" collapsed="false">
      <c r="A1902" s="0" t="s">
        <v>2741</v>
      </c>
      <c r="B1902" s="0" t="s">
        <v>2595</v>
      </c>
      <c r="C1902" s="0" t="s">
        <v>15</v>
      </c>
      <c r="D1902" s="0" t="s">
        <v>49</v>
      </c>
      <c r="E1902" s="0" t="n">
        <v>33881.23</v>
      </c>
      <c r="F1902" s="0" t="n">
        <v>152</v>
      </c>
      <c r="G1902" s="0" t="str">
        <f aca="false">IF(F1902&lt;=30,"Current",IF(F1902&lt;=60,"31 to 60 days",IF(F1902&lt;=90,"61 to 90 days",IF(F1902&lt;=120,"91 to 120 days","Over 120 days"))))</f>
        <v>Over 120 days</v>
      </c>
      <c r="H1902" s="0" t="n">
        <f aca="false">VLOOKUP(D1902,Rates!$A$4:$B$7,2,FALSE())</f>
        <v>0.02</v>
      </c>
      <c r="I1902" s="0" t="n">
        <f aca="false">VLOOKUP(F1902,Rates!$D$4:$E$8,2)</f>
        <v>0.85</v>
      </c>
      <c r="J1902" s="0" t="n">
        <f aca="false">ROUND(E1902*I1902,2)</f>
        <v>28799.05</v>
      </c>
      <c r="K1902" s="1" t="n">
        <f aca="false">PV(H1902/12,F1902/30,0,-E1902)</f>
        <v>33596.5626117052</v>
      </c>
      <c r="L1902" s="0" t="n">
        <f aca="false">ROUND(E1902-K1902,2)</f>
        <v>284.67</v>
      </c>
      <c r="M1902" s="0" t="n">
        <f aca="false">F1902/E1902</f>
        <v>0.00448625979635332</v>
      </c>
    </row>
    <row r="1903" customFormat="false" ht="12.8" hidden="false" customHeight="false" outlineLevel="0" collapsed="false">
      <c r="A1903" s="0" t="s">
        <v>2742</v>
      </c>
      <c r="B1903" s="0" t="s">
        <v>2743</v>
      </c>
      <c r="C1903" s="0" t="s">
        <v>15</v>
      </c>
      <c r="D1903" s="0" t="s">
        <v>16</v>
      </c>
      <c r="E1903" s="0" t="n">
        <v>13656.76</v>
      </c>
      <c r="F1903" s="0" t="n">
        <v>346</v>
      </c>
      <c r="G1903" s="0" t="str">
        <f aca="false">IF(F1903&lt;=30,"Current",IF(F1903&lt;=60,"31 to 60 days",IF(F1903&lt;=90,"61 to 90 days",IF(F1903&lt;=120,"91 to 120 days","Over 120 days"))))</f>
        <v>Over 120 days</v>
      </c>
      <c r="H1903" s="0" t="n">
        <f aca="false">VLOOKUP(D1903,Rates!$A$4:$B$7,2,FALSE())</f>
        <v>0.085</v>
      </c>
      <c r="I1903" s="0" t="n">
        <f aca="false">VLOOKUP(F1903,Rates!$D$4:$E$8,2)</f>
        <v>0.85</v>
      </c>
      <c r="J1903" s="0" t="n">
        <f aca="false">ROUND(E1903*I1903,2)</f>
        <v>11608.25</v>
      </c>
      <c r="K1903" s="1" t="n">
        <f aca="false">PV(H1903/12,F1903/30,0,-E1903)</f>
        <v>12589.0598144377</v>
      </c>
      <c r="L1903" s="0" t="n">
        <f aca="false">ROUND(E1903-K1903,2)</f>
        <v>1067.7</v>
      </c>
      <c r="M1903" s="0" t="n">
        <f aca="false">F1903/E1903</f>
        <v>0.0253354382737926</v>
      </c>
    </row>
    <row r="1904" customFormat="false" ht="12.8" hidden="false" customHeight="false" outlineLevel="0" collapsed="false">
      <c r="A1904" s="0" t="s">
        <v>2744</v>
      </c>
      <c r="B1904" s="0" t="s">
        <v>30</v>
      </c>
      <c r="C1904" s="0" t="s">
        <v>31</v>
      </c>
      <c r="D1904" s="0" t="s">
        <v>20</v>
      </c>
      <c r="E1904" s="0" t="n">
        <v>26968.21</v>
      </c>
      <c r="F1904" s="0" t="n">
        <v>22</v>
      </c>
      <c r="G1904" s="0" t="str">
        <f aca="false">IF(F1904&lt;=30,"Current",IF(F1904&lt;=60,"31 to 60 days",IF(F1904&lt;=90,"61 to 90 days",IF(F1904&lt;=120,"91 to 120 days","Over 120 days"))))</f>
        <v>Current</v>
      </c>
      <c r="H1904" s="0" t="n">
        <f aca="false">VLOOKUP(D1904,Rates!$A$4:$B$7,2,FALSE())</f>
        <v>0.05</v>
      </c>
      <c r="I1904" s="0" t="n">
        <f aca="false">VLOOKUP(F1904,Rates!$D$4:$E$8,2)</f>
        <v>0.02</v>
      </c>
      <c r="J1904" s="0" t="n">
        <f aca="false">ROUND(E1904*I1904,2)</f>
        <v>539.36</v>
      </c>
      <c r="K1904" s="1" t="n">
        <f aca="false">PV(H1904/12,F1904/30,0,-E1904)</f>
        <v>26886.103576736</v>
      </c>
      <c r="L1904" s="0" t="n">
        <f aca="false">ROUND(E1904-K1904,2)</f>
        <v>82.11</v>
      </c>
      <c r="M1904" s="0" t="n">
        <f aca="false">F1904/E1904</f>
        <v>0.000815775314713138</v>
      </c>
    </row>
    <row r="1905" customFormat="false" ht="12.8" hidden="false" customHeight="false" outlineLevel="0" collapsed="false">
      <c r="A1905" s="0" t="s">
        <v>2745</v>
      </c>
      <c r="B1905" s="0" t="s">
        <v>55</v>
      </c>
      <c r="C1905" s="0" t="s">
        <v>26</v>
      </c>
      <c r="D1905" s="0" t="s">
        <v>23</v>
      </c>
      <c r="E1905" s="0" t="n">
        <v>11267.83</v>
      </c>
      <c r="F1905" s="0" t="n">
        <v>344</v>
      </c>
      <c r="G1905" s="0" t="str">
        <f aca="false">IF(F1905&lt;=30,"Current",IF(F1905&lt;=60,"31 to 60 days",IF(F1905&lt;=90,"61 to 90 days",IF(F1905&lt;=120,"91 to 120 days","Over 120 days"))))</f>
        <v>Over 120 days</v>
      </c>
      <c r="H1905" s="0" t="n">
        <f aca="false">VLOOKUP(D1905,Rates!$A$4:$B$7,2,FALSE())</f>
        <v>0.115</v>
      </c>
      <c r="I1905" s="0" t="n">
        <f aca="false">VLOOKUP(F1905,Rates!$D$4:$E$8,2)</f>
        <v>0.85</v>
      </c>
      <c r="J1905" s="0" t="n">
        <f aca="false">ROUND(E1905*I1905,2)</f>
        <v>9577.66</v>
      </c>
      <c r="K1905" s="1" t="n">
        <f aca="false">PV(H1905/12,F1905/30,0,-E1905)</f>
        <v>10100.5116894472</v>
      </c>
      <c r="L1905" s="0" t="n">
        <f aca="false">ROUND(E1905-K1905,2)</f>
        <v>1167.32</v>
      </c>
      <c r="M1905" s="0" t="n">
        <f aca="false">F1905/E1905</f>
        <v>0.0305293920834801</v>
      </c>
    </row>
    <row r="1906" customFormat="false" ht="12.8" hidden="false" customHeight="false" outlineLevel="0" collapsed="false">
      <c r="A1906" s="0" t="s">
        <v>2746</v>
      </c>
      <c r="B1906" s="0" t="s">
        <v>53</v>
      </c>
      <c r="C1906" s="0" t="s">
        <v>19</v>
      </c>
      <c r="D1906" s="0" t="s">
        <v>23</v>
      </c>
      <c r="E1906" s="0" t="n">
        <v>19256.86</v>
      </c>
      <c r="F1906" s="0" t="n">
        <v>99</v>
      </c>
      <c r="G1906" s="0" t="str">
        <f aca="false">IF(F1906&lt;=30,"Current",IF(F1906&lt;=60,"31 to 60 days",IF(F1906&lt;=90,"61 to 90 days",IF(F1906&lt;=120,"91 to 120 days","Over 120 days"))))</f>
        <v>91 to 120 days</v>
      </c>
      <c r="H1906" s="0" t="n">
        <f aca="false">VLOOKUP(D1906,Rates!$A$4:$B$7,2,FALSE())</f>
        <v>0.115</v>
      </c>
      <c r="I1906" s="0" t="n">
        <f aca="false">VLOOKUP(F1906,Rates!$D$4:$E$8,2)</f>
        <v>0.5</v>
      </c>
      <c r="J1906" s="0" t="n">
        <f aca="false">ROUND(E1906*I1906,2)</f>
        <v>9628.43</v>
      </c>
      <c r="K1906" s="1" t="n">
        <f aca="false">PV(H1906/12,F1906/30,0,-E1906)</f>
        <v>18660.2004222194</v>
      </c>
      <c r="L1906" s="0" t="n">
        <f aca="false">ROUND(E1906-K1906,2)</f>
        <v>596.66</v>
      </c>
      <c r="M1906" s="0" t="n">
        <f aca="false">F1906/E1906</f>
        <v>0.00514102506846911</v>
      </c>
    </row>
    <row r="1907" customFormat="false" ht="12.8" hidden="false" customHeight="false" outlineLevel="0" collapsed="false">
      <c r="A1907" s="0" t="s">
        <v>2747</v>
      </c>
      <c r="B1907" s="0" t="s">
        <v>28</v>
      </c>
      <c r="C1907" s="0" t="s">
        <v>15</v>
      </c>
      <c r="D1907" s="0" t="s">
        <v>20</v>
      </c>
      <c r="E1907" s="0" t="n">
        <v>8367.4</v>
      </c>
      <c r="F1907" s="0" t="n">
        <v>310</v>
      </c>
      <c r="G1907" s="0" t="str">
        <f aca="false">IF(F1907&lt;=30,"Current",IF(F1907&lt;=60,"31 to 60 days",IF(F1907&lt;=90,"61 to 90 days",IF(F1907&lt;=120,"91 to 120 days","Over 120 days"))))</f>
        <v>Over 120 days</v>
      </c>
      <c r="H1907" s="0" t="n">
        <f aca="false">VLOOKUP(D1907,Rates!$A$4:$B$7,2,FALSE())</f>
        <v>0.05</v>
      </c>
      <c r="I1907" s="0" t="n">
        <f aca="false">VLOOKUP(F1907,Rates!$D$4:$E$8,2)</f>
        <v>0.85</v>
      </c>
      <c r="J1907" s="0" t="n">
        <f aca="false">ROUND(E1907*I1907,2)</f>
        <v>7112.29</v>
      </c>
      <c r="K1907" s="1" t="n">
        <f aca="false">PV(H1907/12,F1907/30,0,-E1907)</f>
        <v>8015.49944704208</v>
      </c>
      <c r="L1907" s="0" t="n">
        <f aca="false">ROUND(E1907-K1907,2)</f>
        <v>351.9</v>
      </c>
      <c r="M1907" s="0" t="n">
        <f aca="false">F1907/E1907</f>
        <v>0.0370485455458087</v>
      </c>
    </row>
    <row r="1908" customFormat="false" ht="12.8" hidden="false" customHeight="false" outlineLevel="0" collapsed="false">
      <c r="A1908" s="0" t="s">
        <v>2748</v>
      </c>
      <c r="B1908" s="0" t="s">
        <v>475</v>
      </c>
      <c r="C1908" s="0" t="s">
        <v>31</v>
      </c>
      <c r="D1908" s="0" t="s">
        <v>23</v>
      </c>
      <c r="E1908" s="0" t="n">
        <v>5640.31</v>
      </c>
      <c r="F1908" s="0" t="n">
        <v>0</v>
      </c>
      <c r="G1908" s="0" t="str">
        <f aca="false">IF(F1908&lt;=30,"Current",IF(F1908&lt;=60,"31 to 60 days",IF(F1908&lt;=90,"61 to 90 days",IF(F1908&lt;=120,"91 to 120 days","Over 120 days"))))</f>
        <v>Current</v>
      </c>
      <c r="H1908" s="0" t="n">
        <f aca="false">VLOOKUP(D1908,Rates!$A$4:$B$7,2,FALSE())</f>
        <v>0.115</v>
      </c>
      <c r="I1908" s="0" t="n">
        <f aca="false">VLOOKUP(F1908,Rates!$D$4:$E$8,2)</f>
        <v>0.02</v>
      </c>
      <c r="J1908" s="0" t="n">
        <f aca="false">ROUND(E1908*I1908,2)</f>
        <v>112.81</v>
      </c>
      <c r="K1908" s="1" t="n">
        <f aca="false">PV(H1908/12,F1908/30,0,-E1908)</f>
        <v>5640.31</v>
      </c>
      <c r="L1908" s="0" t="n">
        <f aca="false">ROUND(E1908-K1908,2)</f>
        <v>0</v>
      </c>
      <c r="M1908" s="0" t="n">
        <f aca="false">F1908/E1908</f>
        <v>0</v>
      </c>
    </row>
    <row r="1909" customFormat="false" ht="12.8" hidden="false" customHeight="false" outlineLevel="0" collapsed="false">
      <c r="A1909" s="0" t="s">
        <v>2749</v>
      </c>
      <c r="B1909" s="0" t="s">
        <v>74</v>
      </c>
      <c r="C1909" s="0" t="s">
        <v>31</v>
      </c>
      <c r="D1909" s="0" t="s">
        <v>23</v>
      </c>
      <c r="E1909" s="0" t="n">
        <v>8605.81</v>
      </c>
      <c r="F1909" s="0" t="n">
        <v>88</v>
      </c>
      <c r="G1909" s="0" t="str">
        <f aca="false">IF(F1909&lt;=30,"Current",IF(F1909&lt;=60,"31 to 60 days",IF(F1909&lt;=90,"61 to 90 days",IF(F1909&lt;=120,"91 to 120 days","Over 120 days"))))</f>
        <v>61 to 90 days</v>
      </c>
      <c r="H1909" s="0" t="n">
        <f aca="false">VLOOKUP(D1909,Rates!$A$4:$B$7,2,FALSE())</f>
        <v>0.115</v>
      </c>
      <c r="I1909" s="0" t="n">
        <f aca="false">VLOOKUP(F1909,Rates!$D$4:$E$8,2)</f>
        <v>0.25</v>
      </c>
      <c r="J1909" s="0" t="n">
        <f aca="false">ROUND(E1909*I1909,2)</f>
        <v>2151.45</v>
      </c>
      <c r="K1909" s="1" t="n">
        <f aca="false">PV(H1909/12,F1909/30,0,-E1909)</f>
        <v>8368.37977150095</v>
      </c>
      <c r="L1909" s="0" t="n">
        <f aca="false">ROUND(E1909-K1909,2)</f>
        <v>237.43</v>
      </c>
      <c r="M1909" s="0" t="n">
        <f aca="false">F1909/E1909</f>
        <v>0.0102256498807201</v>
      </c>
    </row>
    <row r="1910" customFormat="false" ht="12.8" hidden="false" customHeight="false" outlineLevel="0" collapsed="false">
      <c r="A1910" s="0" t="s">
        <v>2750</v>
      </c>
      <c r="B1910" s="0" t="s">
        <v>18</v>
      </c>
      <c r="C1910" s="0" t="s">
        <v>19</v>
      </c>
      <c r="D1910" s="0" t="s">
        <v>20</v>
      </c>
      <c r="E1910" s="0" t="n">
        <v>35196.49</v>
      </c>
      <c r="F1910" s="0" t="n">
        <v>60</v>
      </c>
      <c r="G1910" s="0" t="str">
        <f aca="false">IF(F1910&lt;=30,"Current",IF(F1910&lt;=60,"31 to 60 days",IF(F1910&lt;=90,"61 to 90 days",IF(F1910&lt;=120,"91 to 120 days","Over 120 days"))))</f>
        <v>31 to 60 days</v>
      </c>
      <c r="H1910" s="0" t="n">
        <f aca="false">VLOOKUP(D1910,Rates!$A$4:$B$7,2,FALSE())</f>
        <v>0.05</v>
      </c>
      <c r="I1910" s="0" t="n">
        <f aca="false">VLOOKUP(F1910,Rates!$D$4:$E$8,2)</f>
        <v>0.1</v>
      </c>
      <c r="J1910" s="0" t="n">
        <f aca="false">ROUND(E1910*I1910,2)</f>
        <v>3519.65</v>
      </c>
      <c r="K1910" s="1" t="n">
        <f aca="false">PV(H1910/12,F1910/30,0,-E1910)</f>
        <v>34905.0089357966</v>
      </c>
      <c r="L1910" s="0" t="n">
        <f aca="false">ROUND(E1910-K1910,2)</f>
        <v>291.48</v>
      </c>
      <c r="M1910" s="0" t="n">
        <f aca="false">F1910/E1910</f>
        <v>0.00170471544179547</v>
      </c>
    </row>
    <row r="1911" customFormat="false" ht="12.8" hidden="false" customHeight="false" outlineLevel="0" collapsed="false">
      <c r="A1911" s="0" t="s">
        <v>2751</v>
      </c>
      <c r="B1911" s="0" t="s">
        <v>513</v>
      </c>
      <c r="C1911" s="0" t="s">
        <v>36</v>
      </c>
      <c r="D1911" s="0" t="s">
        <v>16</v>
      </c>
      <c r="E1911" s="0" t="n">
        <v>8669.82</v>
      </c>
      <c r="F1911" s="0" t="n">
        <v>105</v>
      </c>
      <c r="G1911" s="0" t="str">
        <f aca="false">IF(F1911&lt;=30,"Current",IF(F1911&lt;=60,"31 to 60 days",IF(F1911&lt;=90,"61 to 90 days",IF(F1911&lt;=120,"91 to 120 days","Over 120 days"))))</f>
        <v>91 to 120 days</v>
      </c>
      <c r="H1911" s="0" t="n">
        <f aca="false">VLOOKUP(D1911,Rates!$A$4:$B$7,2,FALSE())</f>
        <v>0.085</v>
      </c>
      <c r="I1911" s="0" t="n">
        <f aca="false">VLOOKUP(F1911,Rates!$D$4:$E$8,2)</f>
        <v>0.5</v>
      </c>
      <c r="J1911" s="0" t="n">
        <f aca="false">ROUND(E1911*I1911,2)</f>
        <v>4334.91</v>
      </c>
      <c r="K1911" s="1" t="n">
        <f aca="false">PV(H1911/12,F1911/30,0,-E1911)</f>
        <v>8458.26232889491</v>
      </c>
      <c r="L1911" s="0" t="n">
        <f aca="false">ROUND(E1911-K1911,2)</f>
        <v>211.56</v>
      </c>
      <c r="M1911" s="0" t="n">
        <f aca="false">F1911/E1911</f>
        <v>0.01211097808259</v>
      </c>
    </row>
    <row r="1912" customFormat="false" ht="12.8" hidden="false" customHeight="false" outlineLevel="0" collapsed="false">
      <c r="A1912" s="0" t="s">
        <v>2752</v>
      </c>
      <c r="B1912" s="0" t="s">
        <v>2753</v>
      </c>
      <c r="C1912" s="0" t="s">
        <v>36</v>
      </c>
      <c r="D1912" s="0" t="s">
        <v>16</v>
      </c>
      <c r="E1912" s="0" t="n">
        <v>549.76</v>
      </c>
      <c r="F1912" s="0" t="n">
        <v>227</v>
      </c>
      <c r="G1912" s="0" t="str">
        <f aca="false">IF(F1912&lt;=30,"Current",IF(F1912&lt;=60,"31 to 60 days",IF(F1912&lt;=90,"61 to 90 days",IF(F1912&lt;=120,"91 to 120 days","Over 120 days"))))</f>
        <v>Over 120 days</v>
      </c>
      <c r="H1912" s="0" t="n">
        <f aca="false">VLOOKUP(D1912,Rates!$A$4:$B$7,2,FALSE())</f>
        <v>0.085</v>
      </c>
      <c r="I1912" s="0" t="n">
        <f aca="false">VLOOKUP(F1912,Rates!$D$4:$E$8,2)</f>
        <v>0.85</v>
      </c>
      <c r="J1912" s="0" t="n">
        <f aca="false">ROUND(E1912*I1912,2)</f>
        <v>467.3</v>
      </c>
      <c r="K1912" s="1" t="n">
        <f aca="false">PV(H1912/12,F1912/30,0,-E1912)</f>
        <v>521.168564105426</v>
      </c>
      <c r="L1912" s="0" t="n">
        <f aca="false">ROUND(E1912-K1912,2)</f>
        <v>28.59</v>
      </c>
      <c r="M1912" s="0" t="n">
        <f aca="false">F1912/E1912</f>
        <v>0.412907450523865</v>
      </c>
    </row>
    <row r="1913" customFormat="false" ht="12.8" hidden="false" customHeight="false" outlineLevel="0" collapsed="false">
      <c r="A1913" s="0" t="s">
        <v>2754</v>
      </c>
      <c r="B1913" s="0" t="s">
        <v>1982</v>
      </c>
      <c r="C1913" s="0" t="s">
        <v>42</v>
      </c>
      <c r="D1913" s="0" t="s">
        <v>16</v>
      </c>
      <c r="E1913" s="0" t="n">
        <v>29682.31</v>
      </c>
      <c r="F1913" s="0" t="n">
        <v>44</v>
      </c>
      <c r="G1913" s="0" t="str">
        <f aca="false">IF(F1913&lt;=30,"Current",IF(F1913&lt;=60,"31 to 60 days",IF(F1913&lt;=90,"61 to 90 days",IF(F1913&lt;=120,"91 to 120 days","Over 120 days"))))</f>
        <v>31 to 60 days</v>
      </c>
      <c r="H1913" s="0" t="n">
        <f aca="false">VLOOKUP(D1913,Rates!$A$4:$B$7,2,FALSE())</f>
        <v>0.085</v>
      </c>
      <c r="I1913" s="0" t="n">
        <f aca="false">VLOOKUP(F1913,Rates!$D$4:$E$8,2)</f>
        <v>0.1</v>
      </c>
      <c r="J1913" s="0" t="n">
        <f aca="false">ROUND(E1913*I1913,2)</f>
        <v>2968.23</v>
      </c>
      <c r="K1913" s="1" t="n">
        <f aca="false">PV(H1913/12,F1913/30,0,-E1913)</f>
        <v>29376.6158238341</v>
      </c>
      <c r="L1913" s="0" t="n">
        <f aca="false">ROUND(E1913-K1913,2)</f>
        <v>305.69</v>
      </c>
      <c r="M1913" s="0" t="n">
        <f aca="false">F1913/E1913</f>
        <v>0.00148236441166473</v>
      </c>
    </row>
    <row r="1914" customFormat="false" ht="12.8" hidden="false" customHeight="false" outlineLevel="0" collapsed="false">
      <c r="A1914" s="0" t="s">
        <v>2755</v>
      </c>
      <c r="B1914" s="0" t="s">
        <v>357</v>
      </c>
      <c r="C1914" s="0" t="s">
        <v>19</v>
      </c>
      <c r="D1914" s="0" t="s">
        <v>23</v>
      </c>
      <c r="E1914" s="0" t="n">
        <v>26104.97</v>
      </c>
      <c r="F1914" s="0" t="n">
        <v>30</v>
      </c>
      <c r="G1914" s="0" t="str">
        <f aca="false">IF(F1914&lt;=30,"Current",IF(F1914&lt;=60,"31 to 60 days",IF(F1914&lt;=90,"61 to 90 days",IF(F1914&lt;=120,"91 to 120 days","Over 120 days"))))</f>
        <v>Current</v>
      </c>
      <c r="H1914" s="0" t="n">
        <f aca="false">VLOOKUP(D1914,Rates!$A$4:$B$7,2,FALSE())</f>
        <v>0.115</v>
      </c>
      <c r="I1914" s="0" t="n">
        <f aca="false">VLOOKUP(F1914,Rates!$D$4:$E$8,2)</f>
        <v>0.02</v>
      </c>
      <c r="J1914" s="0" t="n">
        <f aca="false">ROUND(E1914*I1914,2)</f>
        <v>522.1</v>
      </c>
      <c r="K1914" s="1" t="n">
        <f aca="false">PV(H1914/12,F1914/30,0,-E1914)</f>
        <v>25857.1721007016</v>
      </c>
      <c r="L1914" s="0" t="n">
        <f aca="false">ROUND(E1914-K1914,2)</f>
        <v>247.8</v>
      </c>
      <c r="M1914" s="0" t="n">
        <f aca="false">F1914/E1914</f>
        <v>0.00114920645379022</v>
      </c>
    </row>
    <row r="1915" customFormat="false" ht="12.8" hidden="false" customHeight="false" outlineLevel="0" collapsed="false">
      <c r="A1915" s="0" t="s">
        <v>2756</v>
      </c>
      <c r="B1915" s="0" t="s">
        <v>120</v>
      </c>
      <c r="C1915" s="0" t="s">
        <v>31</v>
      </c>
      <c r="D1915" s="0" t="s">
        <v>23</v>
      </c>
      <c r="E1915" s="0" t="n">
        <v>40523.19</v>
      </c>
      <c r="F1915" s="0" t="n">
        <v>117</v>
      </c>
      <c r="G1915" s="0" t="str">
        <f aca="false">IF(F1915&lt;=30,"Current",IF(F1915&lt;=60,"31 to 60 days",IF(F1915&lt;=90,"61 to 90 days",IF(F1915&lt;=120,"91 to 120 days","Over 120 days"))))</f>
        <v>91 to 120 days</v>
      </c>
      <c r="H1915" s="0" t="n">
        <f aca="false">VLOOKUP(D1915,Rates!$A$4:$B$7,2,FALSE())</f>
        <v>0.115</v>
      </c>
      <c r="I1915" s="0" t="n">
        <f aca="false">VLOOKUP(F1915,Rates!$D$4:$E$8,2)</f>
        <v>0.5</v>
      </c>
      <c r="J1915" s="0" t="n">
        <f aca="false">ROUND(E1915*I1915,2)</f>
        <v>20261.6</v>
      </c>
      <c r="K1915" s="1" t="n">
        <f aca="false">PV(H1915/12,F1915/30,0,-E1915)</f>
        <v>39043.5369428532</v>
      </c>
      <c r="L1915" s="0" t="n">
        <f aca="false">ROUND(E1915-K1915,2)</f>
        <v>1479.65</v>
      </c>
      <c r="M1915" s="0" t="n">
        <f aca="false">F1915/E1915</f>
        <v>0.00288723567912595</v>
      </c>
    </row>
    <row r="1916" customFormat="false" ht="12.8" hidden="false" customHeight="false" outlineLevel="0" collapsed="false">
      <c r="A1916" s="0" t="s">
        <v>2757</v>
      </c>
      <c r="B1916" s="0" t="s">
        <v>1868</v>
      </c>
      <c r="C1916" s="0" t="s">
        <v>15</v>
      </c>
      <c r="D1916" s="0" t="s">
        <v>16</v>
      </c>
      <c r="E1916" s="0" t="n">
        <v>42871.76</v>
      </c>
      <c r="F1916" s="0" t="n">
        <v>349</v>
      </c>
      <c r="G1916" s="0" t="str">
        <f aca="false">IF(F1916&lt;=30,"Current",IF(F1916&lt;=60,"31 to 60 days",IF(F1916&lt;=90,"61 to 90 days",IF(F1916&lt;=120,"91 to 120 days","Over 120 days"))))</f>
        <v>Over 120 days</v>
      </c>
      <c r="H1916" s="0" t="n">
        <f aca="false">VLOOKUP(D1916,Rates!$A$4:$B$7,2,FALSE())</f>
        <v>0.085</v>
      </c>
      <c r="I1916" s="0" t="n">
        <f aca="false">VLOOKUP(F1916,Rates!$D$4:$E$8,2)</f>
        <v>0.85</v>
      </c>
      <c r="J1916" s="0" t="n">
        <f aca="false">ROUND(E1916*I1916,2)</f>
        <v>36441</v>
      </c>
      <c r="K1916" s="1" t="n">
        <f aca="false">PV(H1916/12,F1916/30,0,-E1916)</f>
        <v>39492.1148781977</v>
      </c>
      <c r="L1916" s="0" t="n">
        <f aca="false">ROUND(E1916-K1916,2)</f>
        <v>3379.65</v>
      </c>
      <c r="M1916" s="0" t="n">
        <f aca="false">F1916/E1916</f>
        <v>0.00814055686074003</v>
      </c>
    </row>
    <row r="1917" customFormat="false" ht="12.8" hidden="false" customHeight="false" outlineLevel="0" collapsed="false">
      <c r="A1917" s="0" t="s">
        <v>2758</v>
      </c>
      <c r="B1917" s="0" t="s">
        <v>35</v>
      </c>
      <c r="C1917" s="0" t="s">
        <v>36</v>
      </c>
      <c r="D1917" s="0" t="s">
        <v>23</v>
      </c>
      <c r="E1917" s="0" t="n">
        <v>16189.25</v>
      </c>
      <c r="F1917" s="0" t="n">
        <v>128</v>
      </c>
      <c r="G1917" s="0" t="str">
        <f aca="false">IF(F1917&lt;=30,"Current",IF(F1917&lt;=60,"31 to 60 days",IF(F1917&lt;=90,"61 to 90 days",IF(F1917&lt;=120,"91 to 120 days","Over 120 days"))))</f>
        <v>Over 120 days</v>
      </c>
      <c r="H1917" s="0" t="n">
        <f aca="false">VLOOKUP(D1917,Rates!$A$4:$B$7,2,FALSE())</f>
        <v>0.115</v>
      </c>
      <c r="I1917" s="0" t="n">
        <f aca="false">VLOOKUP(F1917,Rates!$D$4:$E$8,2)</f>
        <v>0.85</v>
      </c>
      <c r="J1917" s="0" t="n">
        <f aca="false">ROUND(E1917*I1917,2)</f>
        <v>13760.86</v>
      </c>
      <c r="K1917" s="1" t="n">
        <f aca="false">PV(H1917/12,F1917/30,0,-E1917)</f>
        <v>15543.6661785584</v>
      </c>
      <c r="L1917" s="0" t="n">
        <f aca="false">ROUND(E1917-K1917,2)</f>
        <v>645.58</v>
      </c>
      <c r="M1917" s="0" t="n">
        <f aca="false">F1917/E1917</f>
        <v>0.00790648115261671</v>
      </c>
    </row>
    <row r="1918" customFormat="false" ht="12.8" hidden="false" customHeight="false" outlineLevel="0" collapsed="false">
      <c r="A1918" s="0" t="s">
        <v>2759</v>
      </c>
      <c r="B1918" s="0" t="s">
        <v>385</v>
      </c>
      <c r="C1918" s="0" t="s">
        <v>36</v>
      </c>
      <c r="D1918" s="0" t="s">
        <v>16</v>
      </c>
      <c r="E1918" s="0" t="n">
        <v>2806.99</v>
      </c>
      <c r="F1918" s="0" t="n">
        <v>99</v>
      </c>
      <c r="G1918" s="0" t="str">
        <f aca="false">IF(F1918&lt;=30,"Current",IF(F1918&lt;=60,"31 to 60 days",IF(F1918&lt;=90,"61 to 90 days",IF(F1918&lt;=120,"91 to 120 days","Over 120 days"))))</f>
        <v>91 to 120 days</v>
      </c>
      <c r="H1918" s="0" t="n">
        <f aca="false">VLOOKUP(D1918,Rates!$A$4:$B$7,2,FALSE())</f>
        <v>0.085</v>
      </c>
      <c r="I1918" s="0" t="n">
        <f aca="false">VLOOKUP(F1918,Rates!$D$4:$E$8,2)</f>
        <v>0.5</v>
      </c>
      <c r="J1918" s="0" t="n">
        <f aca="false">ROUND(E1918*I1918,2)</f>
        <v>1403.5</v>
      </c>
      <c r="K1918" s="1" t="n">
        <f aca="false">PV(H1918/12,F1918/30,0,-E1918)</f>
        <v>2742.36347974964</v>
      </c>
      <c r="L1918" s="0" t="n">
        <f aca="false">ROUND(E1918-K1918,2)</f>
        <v>64.63</v>
      </c>
      <c r="M1918" s="0" t="n">
        <f aca="false">F1918/E1918</f>
        <v>0.0352690960780053</v>
      </c>
    </row>
    <row r="1919" customFormat="false" ht="12.8" hidden="false" customHeight="false" outlineLevel="0" collapsed="false">
      <c r="A1919" s="0" t="s">
        <v>2760</v>
      </c>
      <c r="B1919" s="0" t="s">
        <v>51</v>
      </c>
      <c r="C1919" s="0" t="s">
        <v>36</v>
      </c>
      <c r="D1919" s="0" t="s">
        <v>20</v>
      </c>
      <c r="E1919" s="0" t="n">
        <v>22227.13</v>
      </c>
      <c r="F1919" s="0" t="n">
        <v>37</v>
      </c>
      <c r="G1919" s="0" t="str">
        <f aca="false">IF(F1919&lt;=30,"Current",IF(F1919&lt;=60,"31 to 60 days",IF(F1919&lt;=90,"61 to 90 days",IF(F1919&lt;=120,"91 to 120 days","Over 120 days"))))</f>
        <v>31 to 60 days</v>
      </c>
      <c r="H1919" s="0" t="n">
        <f aca="false">VLOOKUP(D1919,Rates!$A$4:$B$7,2,FALSE())</f>
        <v>0.05</v>
      </c>
      <c r="I1919" s="0" t="n">
        <f aca="false">VLOOKUP(F1919,Rates!$D$4:$E$8,2)</f>
        <v>0.1</v>
      </c>
      <c r="J1919" s="0" t="n">
        <f aca="false">ROUND(E1919*I1919,2)</f>
        <v>2222.71</v>
      </c>
      <c r="K1919" s="1" t="n">
        <f aca="false">PV(H1919/12,F1919/30,0,-E1919)</f>
        <v>22113.4363255511</v>
      </c>
      <c r="L1919" s="0" t="n">
        <f aca="false">ROUND(E1919-K1919,2)</f>
        <v>113.69</v>
      </c>
      <c r="M1919" s="0" t="n">
        <f aca="false">F1919/E1919</f>
        <v>0.00166463236594198</v>
      </c>
    </row>
    <row r="1920" customFormat="false" ht="12.8" hidden="false" customHeight="false" outlineLevel="0" collapsed="false">
      <c r="A1920" s="0" t="s">
        <v>2761</v>
      </c>
      <c r="B1920" s="0" t="s">
        <v>97</v>
      </c>
      <c r="C1920" s="0" t="s">
        <v>42</v>
      </c>
      <c r="D1920" s="0" t="s">
        <v>20</v>
      </c>
      <c r="E1920" s="0" t="n">
        <v>38291.16</v>
      </c>
      <c r="F1920" s="0" t="n">
        <v>372</v>
      </c>
      <c r="G1920" s="0" t="str">
        <f aca="false">IF(F1920&lt;=30,"Current",IF(F1920&lt;=60,"31 to 60 days",IF(F1920&lt;=90,"61 to 90 days",IF(F1920&lt;=120,"91 to 120 days","Over 120 days"))))</f>
        <v>Over 120 days</v>
      </c>
      <c r="H1920" s="0" t="n">
        <f aca="false">VLOOKUP(D1920,Rates!$A$4:$B$7,2,FALSE())</f>
        <v>0.05</v>
      </c>
      <c r="I1920" s="0" t="n">
        <f aca="false">VLOOKUP(F1920,Rates!$D$4:$E$8,2)</f>
        <v>0.85</v>
      </c>
      <c r="J1920" s="0" t="n">
        <f aca="false">ROUND(E1920*I1920,2)</f>
        <v>32547.49</v>
      </c>
      <c r="K1920" s="1" t="n">
        <f aca="false">PV(H1920/12,F1920/30,0,-E1920)</f>
        <v>36366.9259667317</v>
      </c>
      <c r="L1920" s="0" t="n">
        <f aca="false">ROUND(E1920-K1920,2)</f>
        <v>1924.23</v>
      </c>
      <c r="M1920" s="0" t="n">
        <f aca="false">F1920/E1920</f>
        <v>0.00971503605531929</v>
      </c>
    </row>
    <row r="1921" customFormat="false" ht="12.8" hidden="false" customHeight="false" outlineLevel="0" collapsed="false">
      <c r="A1921" s="0" t="s">
        <v>2762</v>
      </c>
      <c r="B1921" s="0" t="s">
        <v>357</v>
      </c>
      <c r="C1921" s="0" t="s">
        <v>19</v>
      </c>
      <c r="D1921" s="0" t="s">
        <v>23</v>
      </c>
      <c r="E1921" s="0" t="n">
        <v>29785.91</v>
      </c>
      <c r="F1921" s="0" t="n">
        <v>167</v>
      </c>
      <c r="G1921" s="0" t="str">
        <f aca="false">IF(F1921&lt;=30,"Current",IF(F1921&lt;=60,"31 to 60 days",IF(F1921&lt;=90,"61 to 90 days",IF(F1921&lt;=120,"91 to 120 days","Over 120 days"))))</f>
        <v>Over 120 days</v>
      </c>
      <c r="H1921" s="0" t="n">
        <f aca="false">VLOOKUP(D1921,Rates!$A$4:$B$7,2,FALSE())</f>
        <v>0.115</v>
      </c>
      <c r="I1921" s="0" t="n">
        <f aca="false">VLOOKUP(F1921,Rates!$D$4:$E$8,2)</f>
        <v>0.85</v>
      </c>
      <c r="J1921" s="0" t="n">
        <f aca="false">ROUND(E1921*I1921,2)</f>
        <v>25318.02</v>
      </c>
      <c r="K1921" s="1" t="n">
        <f aca="false">PV(H1921/12,F1921/30,0,-E1921)</f>
        <v>28245.7284626334</v>
      </c>
      <c r="L1921" s="0" t="n">
        <f aca="false">ROUND(E1921-K1921,2)</f>
        <v>1540.18</v>
      </c>
      <c r="M1921" s="0" t="n">
        <f aca="false">F1921/E1921</f>
        <v>0.00560667778825626</v>
      </c>
    </row>
    <row r="1922" customFormat="false" ht="12.8" hidden="false" customHeight="false" outlineLevel="0" collapsed="false">
      <c r="A1922" s="0" t="s">
        <v>2763</v>
      </c>
      <c r="B1922" s="0" t="s">
        <v>2688</v>
      </c>
      <c r="C1922" s="0" t="s">
        <v>26</v>
      </c>
      <c r="D1922" s="0" t="s">
        <v>49</v>
      </c>
      <c r="E1922" s="0" t="n">
        <v>24454.89</v>
      </c>
      <c r="F1922" s="0" t="n">
        <v>193</v>
      </c>
      <c r="G1922" s="0" t="str">
        <f aca="false">IF(F1922&lt;=30,"Current",IF(F1922&lt;=60,"31 to 60 days",IF(F1922&lt;=90,"61 to 90 days",IF(F1922&lt;=120,"91 to 120 days","Over 120 days"))))</f>
        <v>Over 120 days</v>
      </c>
      <c r="H1922" s="0" t="n">
        <f aca="false">VLOOKUP(D1922,Rates!$A$4:$B$7,2,FALSE())</f>
        <v>0.02</v>
      </c>
      <c r="I1922" s="0" t="n">
        <f aca="false">VLOOKUP(F1922,Rates!$D$4:$E$8,2)</f>
        <v>0.85</v>
      </c>
      <c r="J1922" s="0" t="n">
        <f aca="false">ROUND(E1922*I1922,2)</f>
        <v>20786.66</v>
      </c>
      <c r="K1922" s="1" t="n">
        <f aca="false">PV(H1922/12,F1922/30,0,-E1922)</f>
        <v>24194.2959049119</v>
      </c>
      <c r="L1922" s="0" t="n">
        <f aca="false">ROUND(E1922-K1922,2)</f>
        <v>260.59</v>
      </c>
      <c r="M1922" s="0" t="n">
        <f aca="false">F1922/E1922</f>
        <v>0.00789208211527429</v>
      </c>
    </row>
    <row r="1923" customFormat="false" ht="12.8" hidden="false" customHeight="false" outlineLevel="0" collapsed="false">
      <c r="A1923" s="0" t="s">
        <v>2764</v>
      </c>
      <c r="B1923" s="0" t="s">
        <v>2692</v>
      </c>
      <c r="C1923" s="0" t="s">
        <v>15</v>
      </c>
      <c r="D1923" s="0" t="s">
        <v>16</v>
      </c>
      <c r="E1923" s="0" t="n">
        <v>40638.45</v>
      </c>
      <c r="F1923" s="0" t="n">
        <v>315</v>
      </c>
      <c r="G1923" s="0" t="str">
        <f aca="false">IF(F1923&lt;=30,"Current",IF(F1923&lt;=60,"31 to 60 days",IF(F1923&lt;=90,"61 to 90 days",IF(F1923&lt;=120,"91 to 120 days","Over 120 days"))))</f>
        <v>Over 120 days</v>
      </c>
      <c r="H1923" s="0" t="n">
        <f aca="false">VLOOKUP(D1923,Rates!$A$4:$B$7,2,FALSE())</f>
        <v>0.085</v>
      </c>
      <c r="I1923" s="0" t="n">
        <f aca="false">VLOOKUP(F1923,Rates!$D$4:$E$8,2)</f>
        <v>0.85</v>
      </c>
      <c r="J1923" s="0" t="n">
        <f aca="false">ROUND(E1923*I1923,2)</f>
        <v>34542.68</v>
      </c>
      <c r="K1923" s="1" t="n">
        <f aca="false">PV(H1923/12,F1923/30,0,-E1923)</f>
        <v>37735.5204139203</v>
      </c>
      <c r="L1923" s="0" t="n">
        <f aca="false">ROUND(E1923-K1923,2)</f>
        <v>2902.93</v>
      </c>
      <c r="M1923" s="0" t="n">
        <f aca="false">F1923/E1923</f>
        <v>0.00775127988395227</v>
      </c>
    </row>
    <row r="1924" customFormat="false" ht="12.8" hidden="false" customHeight="false" outlineLevel="0" collapsed="false">
      <c r="A1924" s="0" t="s">
        <v>2765</v>
      </c>
      <c r="B1924" s="0" t="s">
        <v>2766</v>
      </c>
      <c r="C1924" s="0" t="s">
        <v>42</v>
      </c>
      <c r="D1924" s="0" t="s">
        <v>16</v>
      </c>
      <c r="E1924" s="0" t="n">
        <v>11491.91</v>
      </c>
      <c r="F1924" s="0" t="n">
        <v>21</v>
      </c>
      <c r="G1924" s="0" t="str">
        <f aca="false">IF(F1924&lt;=30,"Current",IF(F1924&lt;=60,"31 to 60 days",IF(F1924&lt;=90,"61 to 90 days",IF(F1924&lt;=120,"91 to 120 days","Over 120 days"))))</f>
        <v>Current</v>
      </c>
      <c r="H1924" s="0" t="n">
        <f aca="false">VLOOKUP(D1924,Rates!$A$4:$B$7,2,FALSE())</f>
        <v>0.085</v>
      </c>
      <c r="I1924" s="0" t="n">
        <f aca="false">VLOOKUP(F1924,Rates!$D$4:$E$8,2)</f>
        <v>0.02</v>
      </c>
      <c r="J1924" s="0" t="n">
        <f aca="false">ROUND(E1924*I1924,2)</f>
        <v>229.84</v>
      </c>
      <c r="K1924" s="1" t="n">
        <f aca="false">PV(H1924/12,F1924/30,0,-E1924)</f>
        <v>11435.270178159</v>
      </c>
      <c r="L1924" s="0" t="n">
        <f aca="false">ROUND(E1924-K1924,2)</f>
        <v>56.64</v>
      </c>
      <c r="M1924" s="0" t="n">
        <f aca="false">F1924/E1924</f>
        <v>0.00182737247333124</v>
      </c>
    </row>
    <row r="1925" customFormat="false" ht="12.8" hidden="false" customHeight="false" outlineLevel="0" collapsed="false">
      <c r="A1925" s="0" t="s">
        <v>2767</v>
      </c>
      <c r="B1925" s="0" t="s">
        <v>28</v>
      </c>
      <c r="C1925" s="0" t="s">
        <v>15</v>
      </c>
      <c r="D1925" s="0" t="s">
        <v>20</v>
      </c>
      <c r="E1925" s="0" t="n">
        <v>21158.65</v>
      </c>
      <c r="F1925" s="0" t="n">
        <v>113</v>
      </c>
      <c r="G1925" s="0" t="str">
        <f aca="false">IF(F1925&lt;=30,"Current",IF(F1925&lt;=60,"31 to 60 days",IF(F1925&lt;=90,"61 to 90 days",IF(F1925&lt;=120,"91 to 120 days","Over 120 days"))))</f>
        <v>91 to 120 days</v>
      </c>
      <c r="H1925" s="0" t="n">
        <f aca="false">VLOOKUP(D1925,Rates!$A$4:$B$7,2,FALSE())</f>
        <v>0.05</v>
      </c>
      <c r="I1925" s="0" t="n">
        <f aca="false">VLOOKUP(F1925,Rates!$D$4:$E$8,2)</f>
        <v>0.5</v>
      </c>
      <c r="J1925" s="0" t="n">
        <f aca="false">ROUND(E1925*I1925,2)</f>
        <v>10579.33</v>
      </c>
      <c r="K1925" s="1" t="n">
        <f aca="false">PV(H1925/12,F1925/30,0,-E1925)</f>
        <v>20829.8481880424</v>
      </c>
      <c r="L1925" s="0" t="n">
        <f aca="false">ROUND(E1925-K1925,2)</f>
        <v>328.8</v>
      </c>
      <c r="M1925" s="0" t="n">
        <f aca="false">F1925/E1925</f>
        <v>0.00534060537888759</v>
      </c>
    </row>
    <row r="1926" customFormat="false" ht="12.8" hidden="false" customHeight="false" outlineLevel="0" collapsed="false">
      <c r="A1926" s="0" t="s">
        <v>2768</v>
      </c>
      <c r="B1926" s="0" t="s">
        <v>97</v>
      </c>
      <c r="C1926" s="0" t="s">
        <v>42</v>
      </c>
      <c r="D1926" s="0" t="s">
        <v>20</v>
      </c>
      <c r="E1926" s="0" t="n">
        <v>15412.73</v>
      </c>
      <c r="F1926" s="0" t="n">
        <v>388</v>
      </c>
      <c r="G1926" s="0" t="str">
        <f aca="false">IF(F1926&lt;=30,"Current",IF(F1926&lt;=60,"31 to 60 days",IF(F1926&lt;=90,"61 to 90 days",IF(F1926&lt;=120,"91 to 120 days","Over 120 days"))))</f>
        <v>Over 120 days</v>
      </c>
      <c r="H1926" s="0" t="n">
        <f aca="false">VLOOKUP(D1926,Rates!$A$4:$B$7,2,FALSE())</f>
        <v>0.05</v>
      </c>
      <c r="I1926" s="0" t="n">
        <f aca="false">VLOOKUP(F1926,Rates!$D$4:$E$8,2)</f>
        <v>0.85</v>
      </c>
      <c r="J1926" s="0" t="n">
        <f aca="false">ROUND(E1926*I1926,2)</f>
        <v>13100.82</v>
      </c>
      <c r="K1926" s="1" t="n">
        <f aca="false">PV(H1926/12,F1926/30,0,-E1926)</f>
        <v>14605.7729789141</v>
      </c>
      <c r="L1926" s="0" t="n">
        <f aca="false">ROUND(E1926-K1926,2)</f>
        <v>806.96</v>
      </c>
      <c r="M1926" s="0" t="n">
        <f aca="false">F1926/E1926</f>
        <v>0.0251739957814093</v>
      </c>
    </row>
    <row r="1927" customFormat="false" ht="12.8" hidden="false" customHeight="false" outlineLevel="0" collapsed="false">
      <c r="A1927" s="0" t="s">
        <v>2769</v>
      </c>
      <c r="B1927" s="0" t="s">
        <v>609</v>
      </c>
      <c r="C1927" s="0" t="s">
        <v>31</v>
      </c>
      <c r="D1927" s="0" t="s">
        <v>23</v>
      </c>
      <c r="E1927" s="0" t="n">
        <v>2459.85</v>
      </c>
      <c r="F1927" s="0" t="n">
        <v>196</v>
      </c>
      <c r="G1927" s="0" t="str">
        <f aca="false">IF(F1927&lt;=30,"Current",IF(F1927&lt;=60,"31 to 60 days",IF(F1927&lt;=90,"61 to 90 days",IF(F1927&lt;=120,"91 to 120 days","Over 120 days"))))</f>
        <v>Over 120 days</v>
      </c>
      <c r="H1927" s="0" t="n">
        <f aca="false">VLOOKUP(D1927,Rates!$A$4:$B$7,2,FALSE())</f>
        <v>0.115</v>
      </c>
      <c r="I1927" s="0" t="n">
        <f aca="false">VLOOKUP(F1927,Rates!$D$4:$E$8,2)</f>
        <v>0.85</v>
      </c>
      <c r="J1927" s="0" t="n">
        <f aca="false">ROUND(E1927*I1927,2)</f>
        <v>2090.87</v>
      </c>
      <c r="K1927" s="1" t="n">
        <f aca="false">PV(H1927/12,F1927/30,0,-E1927)</f>
        <v>2311.24737939153</v>
      </c>
      <c r="L1927" s="0" t="n">
        <f aca="false">ROUND(E1927-K1927,2)</f>
        <v>148.6</v>
      </c>
      <c r="M1927" s="0" t="n">
        <f aca="false">F1927/E1927</f>
        <v>0.0796796552635323</v>
      </c>
    </row>
    <row r="1928" customFormat="false" ht="12.8" hidden="false" customHeight="false" outlineLevel="0" collapsed="false">
      <c r="A1928" s="0" t="s">
        <v>2770</v>
      </c>
      <c r="B1928" s="0" t="s">
        <v>2771</v>
      </c>
      <c r="C1928" s="0" t="s">
        <v>42</v>
      </c>
      <c r="D1928" s="0" t="s">
        <v>16</v>
      </c>
      <c r="E1928" s="0" t="n">
        <v>41818.73</v>
      </c>
      <c r="F1928" s="0" t="n">
        <v>307</v>
      </c>
      <c r="G1928" s="0" t="str">
        <f aca="false">IF(F1928&lt;=30,"Current",IF(F1928&lt;=60,"31 to 60 days",IF(F1928&lt;=90,"61 to 90 days",IF(F1928&lt;=120,"91 to 120 days","Over 120 days"))))</f>
        <v>Over 120 days</v>
      </c>
      <c r="H1928" s="0" t="n">
        <f aca="false">VLOOKUP(D1928,Rates!$A$4:$B$7,2,FALSE())</f>
        <v>0.085</v>
      </c>
      <c r="I1928" s="0" t="n">
        <f aca="false">VLOOKUP(F1928,Rates!$D$4:$E$8,2)</f>
        <v>0.85</v>
      </c>
      <c r="J1928" s="0" t="n">
        <f aca="false">ROUND(E1928*I1928,2)</f>
        <v>35545.92</v>
      </c>
      <c r="K1928" s="1" t="n">
        <f aca="false">PV(H1928/12,F1928/30,0,-E1928)</f>
        <v>38904.6480228211</v>
      </c>
      <c r="L1928" s="0" t="n">
        <f aca="false">ROUND(E1928-K1928,2)</f>
        <v>2914.08</v>
      </c>
      <c r="M1928" s="0" t="n">
        <f aca="false">F1928/E1928</f>
        <v>0.0073412081141632</v>
      </c>
    </row>
    <row r="1929" customFormat="false" ht="12.8" hidden="false" customHeight="false" outlineLevel="0" collapsed="false">
      <c r="A1929" s="0" t="s">
        <v>2772</v>
      </c>
      <c r="B1929" s="0" t="s">
        <v>418</v>
      </c>
      <c r="C1929" s="0" t="s">
        <v>15</v>
      </c>
      <c r="D1929" s="0" t="s">
        <v>16</v>
      </c>
      <c r="E1929" s="0" t="n">
        <v>0</v>
      </c>
      <c r="F1929" s="0" t="n">
        <v>380</v>
      </c>
      <c r="G1929" s="0" t="str">
        <f aca="false">IF(F1929&lt;=30,"Current",IF(F1929&lt;=60,"31 to 60 days",IF(F1929&lt;=90,"61 to 90 days",IF(F1929&lt;=120,"91 to 120 days","Over 120 days"))))</f>
        <v>Over 120 days</v>
      </c>
      <c r="H1929" s="0" t="n">
        <f aca="false">VLOOKUP(D1929,Rates!$A$4:$B$7,2,FALSE())</f>
        <v>0.085</v>
      </c>
      <c r="I1929" s="0" t="n">
        <f aca="false">VLOOKUP(F1929,Rates!$D$4:$E$8,2)</f>
        <v>0.85</v>
      </c>
      <c r="J1929" s="0" t="n">
        <f aca="false">ROUND(E1929*I1929,2)</f>
        <v>0</v>
      </c>
      <c r="K1929" s="1" t="n">
        <f aca="false">PV(H1929/12,F1929/30,0,-E1929)</f>
        <v>-0</v>
      </c>
      <c r="L1929" s="0" t="n">
        <f aca="false">ROUND(E1929-K1929,2)</f>
        <v>0</v>
      </c>
      <c r="M1929" s="0" t="e">
        <f aca="false">F1929/E1929</f>
        <v>#DIV/0!</v>
      </c>
    </row>
    <row r="1930" customFormat="false" ht="12.8" hidden="false" customHeight="false" outlineLevel="0" collapsed="false">
      <c r="A1930" s="0" t="s">
        <v>2773</v>
      </c>
      <c r="B1930" s="0" t="s">
        <v>30</v>
      </c>
      <c r="C1930" s="0" t="s">
        <v>31</v>
      </c>
      <c r="D1930" s="0" t="s">
        <v>20</v>
      </c>
      <c r="E1930" s="0" t="n">
        <v>16472.88</v>
      </c>
      <c r="F1930" s="0" t="n">
        <v>187</v>
      </c>
      <c r="G1930" s="0" t="str">
        <f aca="false">IF(F1930&lt;=30,"Current",IF(F1930&lt;=60,"31 to 60 days",IF(F1930&lt;=90,"61 to 90 days",IF(F1930&lt;=120,"91 to 120 days","Over 120 days"))))</f>
        <v>Over 120 days</v>
      </c>
      <c r="H1930" s="0" t="n">
        <f aca="false">VLOOKUP(D1930,Rates!$A$4:$B$7,2,FALSE())</f>
        <v>0.05</v>
      </c>
      <c r="I1930" s="0" t="n">
        <f aca="false">VLOOKUP(F1930,Rates!$D$4:$E$8,2)</f>
        <v>0.85</v>
      </c>
      <c r="J1930" s="0" t="n">
        <f aca="false">ROUND(E1930*I1930,2)</f>
        <v>14001.95</v>
      </c>
      <c r="K1930" s="1" t="n">
        <f aca="false">PV(H1930/12,F1930/30,0,-E1930)</f>
        <v>16051.4169477904</v>
      </c>
      <c r="L1930" s="0" t="n">
        <f aca="false">ROUND(E1930-K1930,2)</f>
        <v>421.46</v>
      </c>
      <c r="M1930" s="0" t="n">
        <f aca="false">F1930/E1930</f>
        <v>0.011351991879987</v>
      </c>
    </row>
    <row r="1931" customFormat="false" ht="12.8" hidden="false" customHeight="false" outlineLevel="0" collapsed="false">
      <c r="A1931" s="0" t="s">
        <v>2774</v>
      </c>
      <c r="B1931" s="0" t="s">
        <v>82</v>
      </c>
      <c r="C1931" s="0" t="s">
        <v>36</v>
      </c>
      <c r="D1931" s="0" t="s">
        <v>23</v>
      </c>
      <c r="E1931" s="0" t="n">
        <v>21008.84</v>
      </c>
      <c r="F1931" s="0" t="n">
        <v>214</v>
      </c>
      <c r="G1931" s="0" t="str">
        <f aca="false">IF(F1931&lt;=30,"Current",IF(F1931&lt;=60,"31 to 60 days",IF(F1931&lt;=90,"61 to 90 days",IF(F1931&lt;=120,"91 to 120 days","Over 120 days"))))</f>
        <v>Over 120 days</v>
      </c>
      <c r="H1931" s="0" t="n">
        <f aca="false">VLOOKUP(D1931,Rates!$A$4:$B$7,2,FALSE())</f>
        <v>0.115</v>
      </c>
      <c r="I1931" s="0" t="n">
        <f aca="false">VLOOKUP(F1931,Rates!$D$4:$E$8,2)</f>
        <v>0.85</v>
      </c>
      <c r="J1931" s="0" t="n">
        <f aca="false">ROUND(E1931*I1931,2)</f>
        <v>17857.51</v>
      </c>
      <c r="K1931" s="1" t="n">
        <f aca="false">PV(H1931/12,F1931/30,0,-E1931)</f>
        <v>19627.0295765508</v>
      </c>
      <c r="L1931" s="0" t="n">
        <f aca="false">ROUND(E1931-K1931,2)</f>
        <v>1381.81</v>
      </c>
      <c r="M1931" s="0" t="n">
        <f aca="false">F1931/E1931</f>
        <v>0.0101861882902626</v>
      </c>
    </row>
    <row r="1932" customFormat="false" ht="12.8" hidden="false" customHeight="false" outlineLevel="0" collapsed="false">
      <c r="A1932" s="0" t="s">
        <v>2775</v>
      </c>
      <c r="B1932" s="0" t="s">
        <v>2776</v>
      </c>
      <c r="C1932" s="0" t="s">
        <v>26</v>
      </c>
      <c r="D1932" s="0" t="s">
        <v>16</v>
      </c>
      <c r="E1932" s="0" t="n">
        <v>9686.91</v>
      </c>
      <c r="F1932" s="0" t="n">
        <v>245</v>
      </c>
      <c r="G1932" s="0" t="str">
        <f aca="false">IF(F1932&lt;=30,"Current",IF(F1932&lt;=60,"31 to 60 days",IF(F1932&lt;=90,"61 to 90 days",IF(F1932&lt;=120,"91 to 120 days","Over 120 days"))))</f>
        <v>Over 120 days</v>
      </c>
      <c r="H1932" s="0" t="n">
        <f aca="false">VLOOKUP(D1932,Rates!$A$4:$B$7,2,FALSE())</f>
        <v>0.085</v>
      </c>
      <c r="I1932" s="0" t="n">
        <f aca="false">VLOOKUP(F1932,Rates!$D$4:$E$8,2)</f>
        <v>0.85</v>
      </c>
      <c r="J1932" s="0" t="n">
        <f aca="false">ROUND(E1932*I1932,2)</f>
        <v>8233.87</v>
      </c>
      <c r="K1932" s="1" t="n">
        <f aca="false">PV(H1932/12,F1932/30,0,-E1932)</f>
        <v>9144.31322490678</v>
      </c>
      <c r="L1932" s="0" t="n">
        <f aca="false">ROUND(E1932-K1932,2)</f>
        <v>542.6</v>
      </c>
      <c r="M1932" s="0" t="n">
        <f aca="false">F1932/E1932</f>
        <v>0.0252918629366847</v>
      </c>
    </row>
    <row r="1933" customFormat="false" ht="12.8" hidden="false" customHeight="false" outlineLevel="0" collapsed="false">
      <c r="A1933" s="0" t="s">
        <v>2777</v>
      </c>
      <c r="B1933" s="0" t="s">
        <v>2778</v>
      </c>
      <c r="C1933" s="0" t="s">
        <v>26</v>
      </c>
      <c r="D1933" s="0" t="s">
        <v>16</v>
      </c>
      <c r="E1933" s="0" t="n">
        <v>33453.25</v>
      </c>
      <c r="F1933" s="0" t="n">
        <v>57</v>
      </c>
      <c r="G1933" s="0" t="str">
        <f aca="false">IF(F1933&lt;=30,"Current",IF(F1933&lt;=60,"31 to 60 days",IF(F1933&lt;=90,"61 to 90 days",IF(F1933&lt;=120,"91 to 120 days","Over 120 days"))))</f>
        <v>31 to 60 days</v>
      </c>
      <c r="H1933" s="0" t="n">
        <f aca="false">VLOOKUP(D1933,Rates!$A$4:$B$7,2,FALSE())</f>
        <v>0.085</v>
      </c>
      <c r="I1933" s="0" t="n">
        <f aca="false">VLOOKUP(F1933,Rates!$D$4:$E$8,2)</f>
        <v>0.1</v>
      </c>
      <c r="J1933" s="0" t="n">
        <f aca="false">ROUND(E1933*I1933,2)</f>
        <v>3345.33</v>
      </c>
      <c r="K1933" s="1" t="n">
        <f aca="false">PV(H1933/12,F1933/30,0,-E1933)</f>
        <v>33007.6069816187</v>
      </c>
      <c r="L1933" s="0" t="n">
        <f aca="false">ROUND(E1933-K1933,2)</f>
        <v>445.64</v>
      </c>
      <c r="M1933" s="0" t="n">
        <f aca="false">F1933/E1933</f>
        <v>0.00170387032650041</v>
      </c>
    </row>
    <row r="1934" customFormat="false" ht="12.8" hidden="false" customHeight="false" outlineLevel="0" collapsed="false">
      <c r="A1934" s="0" t="s">
        <v>2779</v>
      </c>
      <c r="B1934" s="0" t="s">
        <v>51</v>
      </c>
      <c r="C1934" s="0" t="s">
        <v>36</v>
      </c>
      <c r="D1934" s="0" t="s">
        <v>20</v>
      </c>
      <c r="E1934" s="0" t="n">
        <v>30063.97</v>
      </c>
      <c r="F1934" s="0" t="n">
        <v>126</v>
      </c>
      <c r="G1934" s="0" t="str">
        <f aca="false">IF(F1934&lt;=30,"Current",IF(F1934&lt;=60,"31 to 60 days",IF(F1934&lt;=90,"61 to 90 days",IF(F1934&lt;=120,"91 to 120 days","Over 120 days"))))</f>
        <v>Over 120 days</v>
      </c>
      <c r="H1934" s="0" t="n">
        <f aca="false">VLOOKUP(D1934,Rates!$A$4:$B$7,2,FALSE())</f>
        <v>0.05</v>
      </c>
      <c r="I1934" s="0" t="n">
        <f aca="false">VLOOKUP(F1934,Rates!$D$4:$E$8,2)</f>
        <v>0.85</v>
      </c>
      <c r="J1934" s="0" t="n">
        <f aca="false">ROUND(E1934*I1934,2)</f>
        <v>25554.37</v>
      </c>
      <c r="K1934" s="1" t="n">
        <f aca="false">PV(H1934/12,F1934/30,0,-E1934)</f>
        <v>29543.5014381205</v>
      </c>
      <c r="L1934" s="0" t="n">
        <f aca="false">ROUND(E1934-K1934,2)</f>
        <v>520.47</v>
      </c>
      <c r="M1934" s="0" t="n">
        <f aca="false">F1934/E1934</f>
        <v>0.00419106325611687</v>
      </c>
    </row>
    <row r="1935" customFormat="false" ht="12.8" hidden="false" customHeight="false" outlineLevel="0" collapsed="false">
      <c r="A1935" s="0" t="s">
        <v>2780</v>
      </c>
      <c r="B1935" s="0" t="s">
        <v>2570</v>
      </c>
      <c r="C1935" s="0" t="s">
        <v>26</v>
      </c>
      <c r="D1935" s="0" t="s">
        <v>49</v>
      </c>
      <c r="E1935" s="0" t="n">
        <v>20551.57</v>
      </c>
      <c r="F1935" s="0" t="n">
        <v>309</v>
      </c>
      <c r="G1935" s="0" t="str">
        <f aca="false">IF(F1935&lt;=30,"Current",IF(F1935&lt;=60,"31 to 60 days",IF(F1935&lt;=90,"61 to 90 days",IF(F1935&lt;=120,"91 to 120 days","Over 120 days"))))</f>
        <v>Over 120 days</v>
      </c>
      <c r="H1935" s="0" t="n">
        <f aca="false">VLOOKUP(D1935,Rates!$A$4:$B$7,2,FALSE())</f>
        <v>0.02</v>
      </c>
      <c r="I1935" s="0" t="n">
        <f aca="false">VLOOKUP(F1935,Rates!$D$4:$E$8,2)</f>
        <v>0.85</v>
      </c>
      <c r="J1935" s="0" t="n">
        <f aca="false">ROUND(E1935*I1935,2)</f>
        <v>17468.83</v>
      </c>
      <c r="K1935" s="1" t="n">
        <f aca="false">PV(H1935/12,F1935/30,0,-E1935)</f>
        <v>20202.0676900947</v>
      </c>
      <c r="L1935" s="0" t="n">
        <f aca="false">ROUND(E1935-K1935,2)</f>
        <v>349.5</v>
      </c>
      <c r="M1935" s="0" t="n">
        <f aca="false">F1935/E1935</f>
        <v>0.0150353476644363</v>
      </c>
    </row>
    <row r="1936" customFormat="false" ht="12.8" hidden="false" customHeight="false" outlineLevel="0" collapsed="false">
      <c r="A1936" s="0" t="s">
        <v>2781</v>
      </c>
      <c r="B1936" s="0" t="s">
        <v>2782</v>
      </c>
      <c r="C1936" s="0" t="s">
        <v>36</v>
      </c>
      <c r="D1936" s="0" t="s">
        <v>16</v>
      </c>
      <c r="E1936" s="0" t="n">
        <v>18501.99</v>
      </c>
      <c r="F1936" s="0" t="n">
        <v>160</v>
      </c>
      <c r="G1936" s="0" t="str">
        <f aca="false">IF(F1936&lt;=30,"Current",IF(F1936&lt;=60,"31 to 60 days",IF(F1936&lt;=90,"61 to 90 days",IF(F1936&lt;=120,"91 to 120 days","Over 120 days"))))</f>
        <v>Over 120 days</v>
      </c>
      <c r="H1936" s="0" t="n">
        <f aca="false">VLOOKUP(D1936,Rates!$A$4:$B$7,2,FALSE())</f>
        <v>0.085</v>
      </c>
      <c r="I1936" s="0" t="n">
        <f aca="false">VLOOKUP(F1936,Rates!$D$4:$E$8,2)</f>
        <v>0.85</v>
      </c>
      <c r="J1936" s="0" t="n">
        <f aca="false">ROUND(E1936*I1936,2)</f>
        <v>15726.69</v>
      </c>
      <c r="K1936" s="1" t="n">
        <f aca="false">PV(H1936/12,F1936/30,0,-E1936)</f>
        <v>17818.4365750123</v>
      </c>
      <c r="L1936" s="0" t="n">
        <f aca="false">ROUND(E1936-K1936,2)</f>
        <v>683.55</v>
      </c>
      <c r="M1936" s="0" t="n">
        <f aca="false">F1936/E1936</f>
        <v>0.00864771843461163</v>
      </c>
    </row>
    <row r="1937" customFormat="false" ht="12.8" hidden="false" customHeight="false" outlineLevel="0" collapsed="false">
      <c r="A1937" s="0" t="s">
        <v>2783</v>
      </c>
      <c r="B1937" s="0" t="s">
        <v>2784</v>
      </c>
      <c r="C1937" s="0" t="s">
        <v>15</v>
      </c>
      <c r="D1937" s="0" t="s">
        <v>49</v>
      </c>
      <c r="E1937" s="0" t="n">
        <v>17550.23</v>
      </c>
      <c r="F1937" s="0" t="n">
        <v>256</v>
      </c>
      <c r="G1937" s="0" t="str">
        <f aca="false">IF(F1937&lt;=30,"Current",IF(F1937&lt;=60,"31 to 60 days",IF(F1937&lt;=90,"61 to 90 days",IF(F1937&lt;=120,"91 to 120 days","Over 120 days"))))</f>
        <v>Over 120 days</v>
      </c>
      <c r="H1937" s="0" t="n">
        <f aca="false">VLOOKUP(D1937,Rates!$A$4:$B$7,2,FALSE())</f>
        <v>0.02</v>
      </c>
      <c r="I1937" s="0" t="n">
        <f aca="false">VLOOKUP(F1937,Rates!$D$4:$E$8,2)</f>
        <v>0.85</v>
      </c>
      <c r="J1937" s="0" t="n">
        <f aca="false">ROUND(E1937*I1937,2)</f>
        <v>14917.7</v>
      </c>
      <c r="K1937" s="1" t="n">
        <f aca="false">PV(H1937/12,F1937/30,0,-E1937)</f>
        <v>17302.5981397567</v>
      </c>
      <c r="L1937" s="0" t="n">
        <f aca="false">ROUND(E1937-K1937,2)</f>
        <v>247.63</v>
      </c>
      <c r="M1937" s="0" t="n">
        <f aca="false">F1937/E1937</f>
        <v>0.0145867034221204</v>
      </c>
    </row>
    <row r="1938" customFormat="false" ht="12.8" hidden="false" customHeight="false" outlineLevel="0" collapsed="false">
      <c r="A1938" s="0" t="s">
        <v>2785</v>
      </c>
      <c r="B1938" s="0" t="s">
        <v>150</v>
      </c>
      <c r="C1938" s="0" t="s">
        <v>31</v>
      </c>
      <c r="D1938" s="0" t="s">
        <v>23</v>
      </c>
      <c r="E1938" s="0" t="n">
        <v>6764.52</v>
      </c>
      <c r="F1938" s="0" t="n">
        <v>56</v>
      </c>
      <c r="G1938" s="0" t="str">
        <f aca="false">IF(F1938&lt;=30,"Current",IF(F1938&lt;=60,"31 to 60 days",IF(F1938&lt;=90,"61 to 90 days",IF(F1938&lt;=120,"91 to 120 days","Over 120 days"))))</f>
        <v>31 to 60 days</v>
      </c>
      <c r="H1938" s="0" t="n">
        <f aca="false">VLOOKUP(D1938,Rates!$A$4:$B$7,2,FALSE())</f>
        <v>0.115</v>
      </c>
      <c r="I1938" s="0" t="n">
        <f aca="false">VLOOKUP(F1938,Rates!$D$4:$E$8,2)</f>
        <v>0.1</v>
      </c>
      <c r="J1938" s="0" t="n">
        <f aca="false">ROUND(E1938*I1938,2)</f>
        <v>676.45</v>
      </c>
      <c r="K1938" s="1" t="n">
        <f aca="false">PV(H1938/12,F1938/30,0,-E1938)</f>
        <v>6645.15216209639</v>
      </c>
      <c r="L1938" s="0" t="n">
        <f aca="false">ROUND(E1938-K1938,2)</f>
        <v>119.37</v>
      </c>
      <c r="M1938" s="0" t="n">
        <f aca="false">F1938/E1938</f>
        <v>0.00827848834802765</v>
      </c>
    </row>
    <row r="1939" customFormat="false" ht="12.8" hidden="false" customHeight="false" outlineLevel="0" collapsed="false">
      <c r="A1939" s="0" t="s">
        <v>2786</v>
      </c>
      <c r="B1939" s="0" t="s">
        <v>97</v>
      </c>
      <c r="C1939" s="0" t="s">
        <v>42</v>
      </c>
      <c r="D1939" s="0" t="s">
        <v>20</v>
      </c>
      <c r="E1939" s="0" t="n">
        <v>9432.55</v>
      </c>
      <c r="F1939" s="0" t="n">
        <v>185</v>
      </c>
      <c r="G1939" s="0" t="str">
        <f aca="false">IF(F1939&lt;=30,"Current",IF(F1939&lt;=60,"31 to 60 days",IF(F1939&lt;=90,"61 to 90 days",IF(F1939&lt;=120,"91 to 120 days","Over 120 days"))))</f>
        <v>Over 120 days</v>
      </c>
      <c r="H1939" s="0" t="n">
        <f aca="false">VLOOKUP(D1939,Rates!$A$4:$B$7,2,FALSE())</f>
        <v>0.05</v>
      </c>
      <c r="I1939" s="0" t="n">
        <f aca="false">VLOOKUP(F1939,Rates!$D$4:$E$8,2)</f>
        <v>0.85</v>
      </c>
      <c r="J1939" s="0" t="n">
        <f aca="false">ROUND(E1939*I1939,2)</f>
        <v>8017.67</v>
      </c>
      <c r="K1939" s="1" t="n">
        <f aca="false">PV(H1939/12,F1939/30,0,-E1939)</f>
        <v>9193.76384315812</v>
      </c>
      <c r="L1939" s="0" t="n">
        <f aca="false">ROUND(E1939-K1939,2)</f>
        <v>238.79</v>
      </c>
      <c r="M1939" s="0" t="n">
        <f aca="false">F1939/E1939</f>
        <v>0.0196129360565277</v>
      </c>
    </row>
    <row r="1940" customFormat="false" ht="12.8" hidden="false" customHeight="false" outlineLevel="0" collapsed="false">
      <c r="A1940" s="0" t="s">
        <v>2787</v>
      </c>
      <c r="B1940" s="0" t="s">
        <v>2788</v>
      </c>
      <c r="C1940" s="0" t="s">
        <v>19</v>
      </c>
      <c r="D1940" s="0" t="s">
        <v>49</v>
      </c>
      <c r="E1940" s="0" t="n">
        <v>5748.41</v>
      </c>
      <c r="F1940" s="0" t="n">
        <v>75</v>
      </c>
      <c r="G1940" s="0" t="str">
        <f aca="false">IF(F1940&lt;=30,"Current",IF(F1940&lt;=60,"31 to 60 days",IF(F1940&lt;=90,"61 to 90 days",IF(F1940&lt;=120,"91 to 120 days","Over 120 days"))))</f>
        <v>61 to 90 days</v>
      </c>
      <c r="H1940" s="0" t="n">
        <f aca="false">VLOOKUP(D1940,Rates!$A$4:$B$7,2,FALSE())</f>
        <v>0.02</v>
      </c>
      <c r="I1940" s="0" t="n">
        <f aca="false">VLOOKUP(F1940,Rates!$D$4:$E$8,2)</f>
        <v>0.25</v>
      </c>
      <c r="J1940" s="0" t="n">
        <f aca="false">ROUND(E1940*I1940,2)</f>
        <v>1437.1</v>
      </c>
      <c r="K1940" s="1" t="n">
        <f aca="false">PV(H1940/12,F1940/30,0,-E1940)</f>
        <v>5724.52797656747</v>
      </c>
      <c r="L1940" s="0" t="n">
        <f aca="false">ROUND(E1940-K1940,2)</f>
        <v>23.88</v>
      </c>
      <c r="M1940" s="0" t="n">
        <f aca="false">F1940/E1940</f>
        <v>0.0130470860637985</v>
      </c>
    </row>
    <row r="1941" customFormat="false" ht="12.8" hidden="false" customHeight="false" outlineLevel="0" collapsed="false">
      <c r="A1941" s="0" t="s">
        <v>2789</v>
      </c>
      <c r="B1941" s="0" t="s">
        <v>30</v>
      </c>
      <c r="C1941" s="0" t="s">
        <v>31</v>
      </c>
      <c r="D1941" s="0" t="s">
        <v>20</v>
      </c>
      <c r="E1941" s="0" t="n">
        <v>28884.62</v>
      </c>
      <c r="F1941" s="0" t="n">
        <v>167</v>
      </c>
      <c r="G1941" s="0" t="str">
        <f aca="false">IF(F1941&lt;=30,"Current",IF(F1941&lt;=60,"31 to 60 days",IF(F1941&lt;=90,"61 to 90 days",IF(F1941&lt;=120,"91 to 120 days","Over 120 days"))))</f>
        <v>Over 120 days</v>
      </c>
      <c r="H1941" s="0" t="n">
        <f aca="false">VLOOKUP(D1941,Rates!$A$4:$B$7,2,FALSE())</f>
        <v>0.05</v>
      </c>
      <c r="I1941" s="0" t="n">
        <f aca="false">VLOOKUP(F1941,Rates!$D$4:$E$8,2)</f>
        <v>0.85</v>
      </c>
      <c r="J1941" s="0" t="n">
        <f aca="false">ROUND(E1941*I1941,2)</f>
        <v>24551.93</v>
      </c>
      <c r="K1941" s="1" t="n">
        <f aca="false">PV(H1941/12,F1941/30,0,-E1941)</f>
        <v>28223.7272787604</v>
      </c>
      <c r="L1941" s="0" t="n">
        <f aca="false">ROUND(E1941-K1941,2)</f>
        <v>660.89</v>
      </c>
      <c r="M1941" s="0" t="n">
        <f aca="false">F1941/E1941</f>
        <v>0.00578162357683778</v>
      </c>
    </row>
    <row r="1942" customFormat="false" ht="12.8" hidden="false" customHeight="false" outlineLevel="0" collapsed="false">
      <c r="A1942" s="0" t="s">
        <v>2790</v>
      </c>
      <c r="B1942" s="0" t="s">
        <v>30</v>
      </c>
      <c r="C1942" s="0" t="s">
        <v>31</v>
      </c>
      <c r="D1942" s="0" t="s">
        <v>20</v>
      </c>
      <c r="E1942" s="0" t="n">
        <v>4721.64</v>
      </c>
      <c r="F1942" s="0" t="n">
        <v>264</v>
      </c>
      <c r="G1942" s="0" t="str">
        <f aca="false">IF(F1942&lt;=30,"Current",IF(F1942&lt;=60,"31 to 60 days",IF(F1942&lt;=90,"61 to 90 days",IF(F1942&lt;=120,"91 to 120 days","Over 120 days"))))</f>
        <v>Over 120 days</v>
      </c>
      <c r="H1942" s="0" t="n">
        <f aca="false">VLOOKUP(D1942,Rates!$A$4:$B$7,2,FALSE())</f>
        <v>0.05</v>
      </c>
      <c r="I1942" s="0" t="n">
        <f aca="false">VLOOKUP(F1942,Rates!$D$4:$E$8,2)</f>
        <v>0.85</v>
      </c>
      <c r="J1942" s="0" t="n">
        <f aca="false">ROUND(E1942*I1942,2)</f>
        <v>4013.39</v>
      </c>
      <c r="K1942" s="1" t="n">
        <f aca="false">PV(H1942/12,F1942/30,0,-E1942)</f>
        <v>4551.99549690386</v>
      </c>
      <c r="L1942" s="0" t="n">
        <f aca="false">ROUND(E1942-K1942,2)</f>
        <v>169.64</v>
      </c>
      <c r="M1942" s="0" t="n">
        <f aca="false">F1942/E1942</f>
        <v>0.0559127760693318</v>
      </c>
    </row>
    <row r="1943" customFormat="false" ht="12.8" hidden="false" customHeight="false" outlineLevel="0" collapsed="false">
      <c r="A1943" s="0" t="s">
        <v>2791</v>
      </c>
      <c r="B1943" s="0" t="s">
        <v>18</v>
      </c>
      <c r="C1943" s="0" t="s">
        <v>19</v>
      </c>
      <c r="D1943" s="0" t="s">
        <v>20</v>
      </c>
      <c r="E1943" s="0" t="n">
        <v>4816.77</v>
      </c>
      <c r="F1943" s="0" t="n">
        <v>327</v>
      </c>
      <c r="G1943" s="0" t="str">
        <f aca="false">IF(F1943&lt;=30,"Current",IF(F1943&lt;=60,"31 to 60 days",IF(F1943&lt;=90,"61 to 90 days",IF(F1943&lt;=120,"91 to 120 days","Over 120 days"))))</f>
        <v>Over 120 days</v>
      </c>
      <c r="H1943" s="0" t="n">
        <f aca="false">VLOOKUP(D1943,Rates!$A$4:$B$7,2,FALSE())</f>
        <v>0.05</v>
      </c>
      <c r="I1943" s="0" t="n">
        <f aca="false">VLOOKUP(F1943,Rates!$D$4:$E$8,2)</f>
        <v>0.85</v>
      </c>
      <c r="J1943" s="0" t="n">
        <f aca="false">ROUND(E1943*I1943,2)</f>
        <v>4094.25</v>
      </c>
      <c r="K1943" s="1" t="n">
        <f aca="false">PV(H1943/12,F1943/30,0,-E1943)</f>
        <v>4603.33604733925</v>
      </c>
      <c r="L1943" s="0" t="n">
        <f aca="false">ROUND(E1943-K1943,2)</f>
        <v>213.43</v>
      </c>
      <c r="M1943" s="0" t="n">
        <f aca="false">F1943/E1943</f>
        <v>0.0678878169395674</v>
      </c>
    </row>
    <row r="1944" customFormat="false" ht="12.8" hidden="false" customHeight="false" outlineLevel="0" collapsed="false">
      <c r="A1944" s="0" t="s">
        <v>2792</v>
      </c>
      <c r="B1944" s="0" t="s">
        <v>2793</v>
      </c>
      <c r="C1944" s="0" t="s">
        <v>15</v>
      </c>
      <c r="D1944" s="0" t="s">
        <v>16</v>
      </c>
      <c r="E1944" s="0" t="n">
        <v>21483.82</v>
      </c>
      <c r="F1944" s="0" t="n">
        <v>375</v>
      </c>
      <c r="G1944" s="0" t="str">
        <f aca="false">IF(F1944&lt;=30,"Current",IF(F1944&lt;=60,"31 to 60 days",IF(F1944&lt;=90,"61 to 90 days",IF(F1944&lt;=120,"91 to 120 days","Over 120 days"))))</f>
        <v>Over 120 days</v>
      </c>
      <c r="H1944" s="0" t="n">
        <f aca="false">VLOOKUP(D1944,Rates!$A$4:$B$7,2,FALSE())</f>
        <v>0.085</v>
      </c>
      <c r="I1944" s="0" t="n">
        <f aca="false">VLOOKUP(F1944,Rates!$D$4:$E$8,2)</f>
        <v>0.85</v>
      </c>
      <c r="J1944" s="0" t="n">
        <f aca="false">ROUND(E1944*I1944,2)</f>
        <v>18261.25</v>
      </c>
      <c r="K1944" s="1" t="n">
        <f aca="false">PV(H1944/12,F1944/30,0,-E1944)</f>
        <v>19669.5260902229</v>
      </c>
      <c r="L1944" s="0" t="n">
        <f aca="false">ROUND(E1944-K1944,2)</f>
        <v>1814.29</v>
      </c>
      <c r="M1944" s="0" t="n">
        <f aca="false">F1944/E1944</f>
        <v>0.0174549963647061</v>
      </c>
    </row>
    <row r="1945" customFormat="false" ht="12.8" hidden="false" customHeight="false" outlineLevel="0" collapsed="false">
      <c r="A1945" s="0" t="s">
        <v>2794</v>
      </c>
      <c r="B1945" s="0" t="s">
        <v>18</v>
      </c>
      <c r="C1945" s="0" t="s">
        <v>19</v>
      </c>
      <c r="D1945" s="0" t="s">
        <v>20</v>
      </c>
      <c r="E1945" s="0" t="n">
        <v>7647.1</v>
      </c>
      <c r="F1945" s="0" t="n">
        <v>85</v>
      </c>
      <c r="G1945" s="0" t="str">
        <f aca="false">IF(F1945&lt;=30,"Current",IF(F1945&lt;=60,"31 to 60 days",IF(F1945&lt;=90,"61 to 90 days",IF(F1945&lt;=120,"91 to 120 days","Over 120 days"))))</f>
        <v>61 to 90 days</v>
      </c>
      <c r="H1945" s="0" t="n">
        <f aca="false">VLOOKUP(D1945,Rates!$A$4:$B$7,2,FALSE())</f>
        <v>0.05</v>
      </c>
      <c r="I1945" s="0" t="n">
        <f aca="false">VLOOKUP(F1945,Rates!$D$4:$E$8,2)</f>
        <v>0.25</v>
      </c>
      <c r="J1945" s="0" t="n">
        <f aca="false">ROUND(E1945*I1945,2)</f>
        <v>1911.78</v>
      </c>
      <c r="K1945" s="1" t="n">
        <f aca="false">PV(H1945/12,F1945/30,0,-E1945)</f>
        <v>7557.53789773977</v>
      </c>
      <c r="L1945" s="0" t="n">
        <f aca="false">ROUND(E1945-K1945,2)</f>
        <v>89.56</v>
      </c>
      <c r="M1945" s="0" t="n">
        <f aca="false">F1945/E1945</f>
        <v>0.0111153247636359</v>
      </c>
    </row>
    <row r="1946" customFormat="false" ht="12.8" hidden="false" customHeight="false" outlineLevel="0" collapsed="false">
      <c r="A1946" s="0" t="s">
        <v>2795</v>
      </c>
      <c r="B1946" s="0" t="s">
        <v>582</v>
      </c>
      <c r="C1946" s="0" t="s">
        <v>31</v>
      </c>
      <c r="D1946" s="0" t="s">
        <v>16</v>
      </c>
      <c r="E1946" s="0" t="n">
        <v>37329.44</v>
      </c>
      <c r="F1946" s="0" t="n">
        <v>347</v>
      </c>
      <c r="G1946" s="0" t="str">
        <f aca="false">IF(F1946&lt;=30,"Current",IF(F1946&lt;=60,"31 to 60 days",IF(F1946&lt;=90,"61 to 90 days",IF(F1946&lt;=120,"91 to 120 days","Over 120 days"))))</f>
        <v>Over 120 days</v>
      </c>
      <c r="H1946" s="0" t="n">
        <f aca="false">VLOOKUP(D1946,Rates!$A$4:$B$7,2,FALSE())</f>
        <v>0.085</v>
      </c>
      <c r="I1946" s="0" t="n">
        <f aca="false">VLOOKUP(F1946,Rates!$D$4:$E$8,2)</f>
        <v>0.85</v>
      </c>
      <c r="J1946" s="0" t="n">
        <f aca="false">ROUND(E1946*I1946,2)</f>
        <v>31730.02</v>
      </c>
      <c r="K1946" s="1" t="n">
        <f aca="false">PV(H1946/12,F1946/30,0,-E1946)</f>
        <v>34402.8890073376</v>
      </c>
      <c r="L1946" s="0" t="n">
        <f aca="false">ROUND(E1946-K1946,2)</f>
        <v>2926.55</v>
      </c>
      <c r="M1946" s="0" t="n">
        <f aca="false">F1946/E1946</f>
        <v>0.00929561225670677</v>
      </c>
    </row>
    <row r="1947" customFormat="false" ht="12.8" hidden="false" customHeight="false" outlineLevel="0" collapsed="false">
      <c r="A1947" s="0" t="s">
        <v>2796</v>
      </c>
      <c r="B1947" s="0" t="s">
        <v>2797</v>
      </c>
      <c r="C1947" s="0" t="s">
        <v>42</v>
      </c>
      <c r="D1947" s="0" t="s">
        <v>16</v>
      </c>
      <c r="E1947" s="0" t="n">
        <v>26119.05</v>
      </c>
      <c r="F1947" s="0" t="n">
        <v>55</v>
      </c>
      <c r="G1947" s="0" t="str">
        <f aca="false">IF(F1947&lt;=30,"Current",IF(F1947&lt;=60,"31 to 60 days",IF(F1947&lt;=90,"61 to 90 days",IF(F1947&lt;=120,"91 to 120 days","Over 120 days"))))</f>
        <v>31 to 60 days</v>
      </c>
      <c r="H1947" s="0" t="n">
        <f aca="false">VLOOKUP(D1947,Rates!$A$4:$B$7,2,FALSE())</f>
        <v>0.085</v>
      </c>
      <c r="I1947" s="0" t="n">
        <f aca="false">VLOOKUP(F1947,Rates!$D$4:$E$8,2)</f>
        <v>0.1</v>
      </c>
      <c r="J1947" s="0" t="n">
        <f aca="false">ROUND(E1947*I1947,2)</f>
        <v>2611.91</v>
      </c>
      <c r="K1947" s="1" t="n">
        <f aca="false">PV(H1947/12,F1947/30,0,-E1947)</f>
        <v>25783.2381962303</v>
      </c>
      <c r="L1947" s="0" t="n">
        <f aca="false">ROUND(E1947-K1947,2)</f>
        <v>335.81</v>
      </c>
      <c r="M1947" s="0" t="n">
        <f aca="false">F1947/E1947</f>
        <v>0.00210574274332336</v>
      </c>
    </row>
    <row r="1948" customFormat="false" ht="12.8" hidden="false" customHeight="false" outlineLevel="0" collapsed="false">
      <c r="A1948" s="0" t="s">
        <v>2798</v>
      </c>
      <c r="B1948" s="0" t="s">
        <v>51</v>
      </c>
      <c r="C1948" s="0" t="s">
        <v>36</v>
      </c>
      <c r="D1948" s="0" t="s">
        <v>20</v>
      </c>
      <c r="E1948" s="0" t="n">
        <v>115.9</v>
      </c>
      <c r="F1948" s="0" t="n">
        <v>15</v>
      </c>
      <c r="G1948" s="0" t="str">
        <f aca="false">IF(F1948&lt;=30,"Current",IF(F1948&lt;=60,"31 to 60 days",IF(F1948&lt;=90,"61 to 90 days",IF(F1948&lt;=120,"91 to 120 days","Over 120 days"))))</f>
        <v>Current</v>
      </c>
      <c r="H1948" s="0" t="n">
        <f aca="false">VLOOKUP(D1948,Rates!$A$4:$B$7,2,FALSE())</f>
        <v>0.05</v>
      </c>
      <c r="I1948" s="0" t="n">
        <f aca="false">VLOOKUP(F1948,Rates!$D$4:$E$8,2)</f>
        <v>0.02</v>
      </c>
      <c r="J1948" s="0" t="n">
        <f aca="false">ROUND(E1948*I1948,2)</f>
        <v>2.32</v>
      </c>
      <c r="K1948" s="1" t="n">
        <f aca="false">PV(H1948/12,F1948/30,0,-E1948)</f>
        <v>115.659293613484</v>
      </c>
      <c r="L1948" s="0" t="n">
        <f aca="false">ROUND(E1948-K1948,2)</f>
        <v>0.24</v>
      </c>
      <c r="M1948" s="0" t="n">
        <f aca="false">F1948/E1948</f>
        <v>0.129421915444349</v>
      </c>
    </row>
    <row r="1949" customFormat="false" ht="12.8" hidden="false" customHeight="false" outlineLevel="0" collapsed="false">
      <c r="A1949" s="0" t="s">
        <v>2799</v>
      </c>
      <c r="B1949" s="0" t="s">
        <v>2263</v>
      </c>
      <c r="C1949" s="0" t="s">
        <v>31</v>
      </c>
      <c r="D1949" s="0" t="s">
        <v>16</v>
      </c>
      <c r="E1949" s="0" t="n">
        <v>37459.76</v>
      </c>
      <c r="F1949" s="0" t="n">
        <v>374</v>
      </c>
      <c r="G1949" s="0" t="str">
        <f aca="false">IF(F1949&lt;=30,"Current",IF(F1949&lt;=60,"31 to 60 days",IF(F1949&lt;=90,"61 to 90 days",IF(F1949&lt;=120,"91 to 120 days","Over 120 days"))))</f>
        <v>Over 120 days</v>
      </c>
      <c r="H1949" s="0" t="n">
        <f aca="false">VLOOKUP(D1949,Rates!$A$4:$B$7,2,FALSE())</f>
        <v>0.085</v>
      </c>
      <c r="I1949" s="0" t="n">
        <f aca="false">VLOOKUP(F1949,Rates!$D$4:$E$8,2)</f>
        <v>0.85</v>
      </c>
      <c r="J1949" s="0" t="n">
        <f aca="false">ROUND(E1949*I1949,2)</f>
        <v>31840.8</v>
      </c>
      <c r="K1949" s="1" t="n">
        <f aca="false">PV(H1949/12,F1949/30,0,-E1949)</f>
        <v>34304.3790246675</v>
      </c>
      <c r="L1949" s="0" t="n">
        <f aca="false">ROUND(E1949-K1949,2)</f>
        <v>3155.38</v>
      </c>
      <c r="M1949" s="0" t="n">
        <f aca="false">F1949/E1949</f>
        <v>0.00998404688124003</v>
      </c>
    </row>
    <row r="1950" customFormat="false" ht="12.8" hidden="false" customHeight="false" outlineLevel="0" collapsed="false">
      <c r="A1950" s="0" t="s">
        <v>2800</v>
      </c>
      <c r="B1950" s="0" t="s">
        <v>51</v>
      </c>
      <c r="C1950" s="0" t="s">
        <v>36</v>
      </c>
      <c r="D1950" s="0" t="s">
        <v>20</v>
      </c>
      <c r="E1950" s="0" t="n">
        <v>18094.72</v>
      </c>
      <c r="F1950" s="0" t="n">
        <v>63</v>
      </c>
      <c r="G1950" s="0" t="str">
        <f aca="false">IF(F1950&lt;=30,"Current",IF(F1950&lt;=60,"31 to 60 days",IF(F1950&lt;=90,"61 to 90 days",IF(F1950&lt;=120,"91 to 120 days","Over 120 days"))))</f>
        <v>61 to 90 days</v>
      </c>
      <c r="H1950" s="0" t="n">
        <f aca="false">VLOOKUP(D1950,Rates!$A$4:$B$7,2,FALSE())</f>
        <v>0.05</v>
      </c>
      <c r="I1950" s="0" t="n">
        <f aca="false">VLOOKUP(F1950,Rates!$D$4:$E$8,2)</f>
        <v>0.25</v>
      </c>
      <c r="J1950" s="0" t="n">
        <f aca="false">ROUND(E1950*I1950,2)</f>
        <v>4523.68</v>
      </c>
      <c r="K1950" s="1" t="n">
        <f aca="false">PV(H1950/12,F1950/30,0,-E1950)</f>
        <v>17937.4079481456</v>
      </c>
      <c r="L1950" s="0" t="n">
        <f aca="false">ROUND(E1950-K1950,2)</f>
        <v>157.31</v>
      </c>
      <c r="M1950" s="0" t="n">
        <f aca="false">F1950/E1950</f>
        <v>0.00348167863332508</v>
      </c>
    </row>
    <row r="1951" customFormat="false" ht="12.8" hidden="false" customHeight="false" outlineLevel="0" collapsed="false">
      <c r="A1951" s="0" t="s">
        <v>2801</v>
      </c>
      <c r="B1951" s="0" t="s">
        <v>51</v>
      </c>
      <c r="C1951" s="0" t="s">
        <v>36</v>
      </c>
      <c r="D1951" s="0" t="s">
        <v>20</v>
      </c>
      <c r="E1951" s="0" t="n">
        <v>26497.2</v>
      </c>
      <c r="F1951" s="0" t="n">
        <v>189</v>
      </c>
      <c r="G1951" s="0" t="str">
        <f aca="false">IF(F1951&lt;=30,"Current",IF(F1951&lt;=60,"31 to 60 days",IF(F1951&lt;=90,"61 to 90 days",IF(F1951&lt;=120,"91 to 120 days","Over 120 days"))))</f>
        <v>Over 120 days</v>
      </c>
      <c r="H1951" s="0" t="n">
        <f aca="false">VLOOKUP(D1951,Rates!$A$4:$B$7,2,FALSE())</f>
        <v>0.05</v>
      </c>
      <c r="I1951" s="0" t="n">
        <f aca="false">VLOOKUP(F1951,Rates!$D$4:$E$8,2)</f>
        <v>0.85</v>
      </c>
      <c r="J1951" s="0" t="n">
        <f aca="false">ROUND(E1951*I1951,2)</f>
        <v>22522.62</v>
      </c>
      <c r="K1951" s="1" t="n">
        <f aca="false">PV(H1951/12,F1951/30,0,-E1951)</f>
        <v>25812.1059074261</v>
      </c>
      <c r="L1951" s="0" t="n">
        <f aca="false">ROUND(E1951-K1951,2)</f>
        <v>685.09</v>
      </c>
      <c r="M1951" s="0" t="n">
        <f aca="false">F1951/E1951</f>
        <v>0.00713282912911553</v>
      </c>
    </row>
    <row r="1952" customFormat="false" ht="12.8" hidden="false" customHeight="false" outlineLevel="0" collapsed="false">
      <c r="A1952" s="0" t="s">
        <v>2802</v>
      </c>
      <c r="B1952" s="0" t="s">
        <v>2803</v>
      </c>
      <c r="C1952" s="0" t="s">
        <v>31</v>
      </c>
      <c r="D1952" s="0" t="s">
        <v>49</v>
      </c>
      <c r="E1952" s="0" t="n">
        <v>21029.08</v>
      </c>
      <c r="F1952" s="0" t="n">
        <v>378</v>
      </c>
      <c r="G1952" s="0" t="str">
        <f aca="false">IF(F1952&lt;=30,"Current",IF(F1952&lt;=60,"31 to 60 days",IF(F1952&lt;=90,"61 to 90 days",IF(F1952&lt;=120,"91 to 120 days","Over 120 days"))))</f>
        <v>Over 120 days</v>
      </c>
      <c r="H1952" s="0" t="n">
        <f aca="false">VLOOKUP(D1952,Rates!$A$4:$B$7,2,FALSE())</f>
        <v>0.02</v>
      </c>
      <c r="I1952" s="0" t="n">
        <f aca="false">VLOOKUP(F1952,Rates!$D$4:$E$8,2)</f>
        <v>0.85</v>
      </c>
      <c r="J1952" s="0" t="n">
        <f aca="false">ROUND(E1952*I1952,2)</f>
        <v>17874.72</v>
      </c>
      <c r="K1952" s="1" t="n">
        <f aca="false">PV(H1952/12,F1952/30,0,-E1952)</f>
        <v>20592.4339079869</v>
      </c>
      <c r="L1952" s="0" t="n">
        <f aca="false">ROUND(E1952-K1952,2)</f>
        <v>436.65</v>
      </c>
      <c r="M1952" s="0" t="n">
        <f aca="false">F1952/E1952</f>
        <v>0.0179751087541633</v>
      </c>
    </row>
    <row r="1953" customFormat="false" ht="12.8" hidden="false" customHeight="false" outlineLevel="0" collapsed="false">
      <c r="A1953" s="0" t="s">
        <v>2804</v>
      </c>
      <c r="B1953" s="0" t="s">
        <v>33</v>
      </c>
      <c r="C1953" s="0" t="s">
        <v>26</v>
      </c>
      <c r="D1953" s="0" t="s">
        <v>20</v>
      </c>
      <c r="E1953" s="0" t="n">
        <v>39386.78</v>
      </c>
      <c r="F1953" s="0" t="n">
        <v>393</v>
      </c>
      <c r="G1953" s="0" t="str">
        <f aca="false">IF(F1953&lt;=30,"Current",IF(F1953&lt;=60,"31 to 60 days",IF(F1953&lt;=90,"61 to 90 days",IF(F1953&lt;=120,"91 to 120 days","Over 120 days"))))</f>
        <v>Over 120 days</v>
      </c>
      <c r="H1953" s="0" t="n">
        <f aca="false">VLOOKUP(D1953,Rates!$A$4:$B$7,2,FALSE())</f>
        <v>0.05</v>
      </c>
      <c r="I1953" s="0" t="n">
        <f aca="false">VLOOKUP(F1953,Rates!$D$4:$E$8,2)</f>
        <v>0.85</v>
      </c>
      <c r="J1953" s="0" t="n">
        <f aca="false">ROUND(E1953*I1953,2)</f>
        <v>33478.76</v>
      </c>
      <c r="K1953" s="1" t="n">
        <f aca="false">PV(H1953/12,F1953/30,0,-E1953)</f>
        <v>37298.7679046648</v>
      </c>
      <c r="L1953" s="0" t="n">
        <f aca="false">ROUND(E1953-K1953,2)</f>
        <v>2088.01</v>
      </c>
      <c r="M1953" s="0" t="n">
        <f aca="false">F1953/E1953</f>
        <v>0.00997796722656688</v>
      </c>
    </row>
    <row r="1954" customFormat="false" ht="12.8" hidden="false" customHeight="false" outlineLevel="0" collapsed="false">
      <c r="A1954" s="0" t="s">
        <v>2805</v>
      </c>
      <c r="B1954" s="0" t="s">
        <v>97</v>
      </c>
      <c r="C1954" s="0" t="s">
        <v>42</v>
      </c>
      <c r="D1954" s="0" t="s">
        <v>20</v>
      </c>
      <c r="E1954" s="0" t="n">
        <v>30620.79</v>
      </c>
      <c r="F1954" s="0" t="n">
        <v>384</v>
      </c>
      <c r="G1954" s="0" t="str">
        <f aca="false">IF(F1954&lt;=30,"Current",IF(F1954&lt;=60,"31 to 60 days",IF(F1954&lt;=90,"61 to 90 days",IF(F1954&lt;=120,"91 to 120 days","Over 120 days"))))</f>
        <v>Over 120 days</v>
      </c>
      <c r="H1954" s="0" t="n">
        <f aca="false">VLOOKUP(D1954,Rates!$A$4:$B$7,2,FALSE())</f>
        <v>0.05</v>
      </c>
      <c r="I1954" s="0" t="n">
        <f aca="false">VLOOKUP(F1954,Rates!$D$4:$E$8,2)</f>
        <v>0.85</v>
      </c>
      <c r="J1954" s="0" t="n">
        <f aca="false">ROUND(E1954*I1954,2)</f>
        <v>26027.67</v>
      </c>
      <c r="K1954" s="1" t="n">
        <f aca="false">PV(H1954/12,F1954/30,0,-E1954)</f>
        <v>29033.6836207001</v>
      </c>
      <c r="L1954" s="0" t="n">
        <f aca="false">ROUND(E1954-K1954,2)</f>
        <v>1587.11</v>
      </c>
      <c r="M1954" s="0" t="n">
        <f aca="false">F1954/E1954</f>
        <v>0.0125404994449849</v>
      </c>
    </row>
    <row r="1955" customFormat="false" ht="12.8" hidden="false" customHeight="false" outlineLevel="0" collapsed="false">
      <c r="A1955" s="0" t="s">
        <v>2806</v>
      </c>
      <c r="B1955" s="0" t="s">
        <v>1113</v>
      </c>
      <c r="C1955" s="0" t="s">
        <v>31</v>
      </c>
      <c r="D1955" s="0" t="s">
        <v>16</v>
      </c>
      <c r="E1955" s="0" t="n">
        <v>14767.14</v>
      </c>
      <c r="F1955" s="0" t="n">
        <v>197</v>
      </c>
      <c r="G1955" s="0" t="str">
        <f aca="false">IF(F1955&lt;=30,"Current",IF(F1955&lt;=60,"31 to 60 days",IF(F1955&lt;=90,"61 to 90 days",IF(F1955&lt;=120,"91 to 120 days","Over 120 days"))))</f>
        <v>Over 120 days</v>
      </c>
      <c r="H1955" s="0" t="n">
        <f aca="false">VLOOKUP(D1955,Rates!$A$4:$B$7,2,FALSE())</f>
        <v>0.085</v>
      </c>
      <c r="I1955" s="0" t="n">
        <f aca="false">VLOOKUP(F1955,Rates!$D$4:$E$8,2)</f>
        <v>0.85</v>
      </c>
      <c r="J1955" s="0" t="n">
        <f aca="false">ROUND(E1955*I1955,2)</f>
        <v>12552.07</v>
      </c>
      <c r="K1955" s="1" t="n">
        <f aca="false">PV(H1955/12,F1955/30,0,-E1955)</f>
        <v>14098.3041349337</v>
      </c>
      <c r="L1955" s="0" t="n">
        <f aca="false">ROUND(E1955-K1955,2)</f>
        <v>668.84</v>
      </c>
      <c r="M1955" s="0" t="n">
        <f aca="false">F1955/E1955</f>
        <v>0.0133404301713128</v>
      </c>
    </row>
    <row r="1956" customFormat="false" ht="12.8" hidden="false" customHeight="false" outlineLevel="0" collapsed="false">
      <c r="A1956" s="0" t="s">
        <v>2807</v>
      </c>
      <c r="B1956" s="0" t="s">
        <v>97</v>
      </c>
      <c r="C1956" s="0" t="s">
        <v>42</v>
      </c>
      <c r="D1956" s="0" t="s">
        <v>20</v>
      </c>
      <c r="E1956" s="0" t="n">
        <v>23465.32</v>
      </c>
      <c r="F1956" s="0" t="n">
        <v>282</v>
      </c>
      <c r="G1956" s="0" t="str">
        <f aca="false">IF(F1956&lt;=30,"Current",IF(F1956&lt;=60,"31 to 60 days",IF(F1956&lt;=90,"61 to 90 days",IF(F1956&lt;=120,"91 to 120 days","Over 120 days"))))</f>
        <v>Over 120 days</v>
      </c>
      <c r="H1956" s="0" t="n">
        <f aca="false">VLOOKUP(D1956,Rates!$A$4:$B$7,2,FALSE())</f>
        <v>0.05</v>
      </c>
      <c r="I1956" s="0" t="n">
        <f aca="false">VLOOKUP(F1956,Rates!$D$4:$E$8,2)</f>
        <v>0.85</v>
      </c>
      <c r="J1956" s="0" t="n">
        <f aca="false">ROUND(E1956*I1956,2)</f>
        <v>19945.52</v>
      </c>
      <c r="K1956" s="1" t="n">
        <f aca="false">PV(H1956/12,F1956/30,0,-E1956)</f>
        <v>22565.8633039783</v>
      </c>
      <c r="L1956" s="0" t="n">
        <f aca="false">ROUND(E1956-K1956,2)</f>
        <v>899.46</v>
      </c>
      <c r="M1956" s="0" t="n">
        <f aca="false">F1956/E1956</f>
        <v>0.0120177351086625</v>
      </c>
    </row>
    <row r="1957" customFormat="false" ht="12.8" hidden="false" customHeight="false" outlineLevel="0" collapsed="false">
      <c r="A1957" s="0" t="s">
        <v>2808</v>
      </c>
      <c r="B1957" s="0" t="s">
        <v>2809</v>
      </c>
      <c r="C1957" s="0" t="s">
        <v>19</v>
      </c>
      <c r="D1957" s="0" t="s">
        <v>16</v>
      </c>
      <c r="E1957" s="0" t="n">
        <v>14930.65</v>
      </c>
      <c r="F1957" s="0" t="n">
        <v>252</v>
      </c>
      <c r="G1957" s="0" t="str">
        <f aca="false">IF(F1957&lt;=30,"Current",IF(F1957&lt;=60,"31 to 60 days",IF(F1957&lt;=90,"61 to 90 days",IF(F1957&lt;=120,"91 to 120 days","Over 120 days"))))</f>
        <v>Over 120 days</v>
      </c>
      <c r="H1957" s="0" t="n">
        <f aca="false">VLOOKUP(D1957,Rates!$A$4:$B$7,2,FALSE())</f>
        <v>0.085</v>
      </c>
      <c r="I1957" s="0" t="n">
        <f aca="false">VLOOKUP(F1957,Rates!$D$4:$E$8,2)</f>
        <v>0.85</v>
      </c>
      <c r="J1957" s="0" t="n">
        <f aca="false">ROUND(E1957*I1957,2)</f>
        <v>12691.05</v>
      </c>
      <c r="K1957" s="1" t="n">
        <f aca="false">PV(H1957/12,F1957/30,0,-E1957)</f>
        <v>14071.1399313654</v>
      </c>
      <c r="L1957" s="0" t="n">
        <f aca="false">ROUND(E1957-K1957,2)</f>
        <v>859.51</v>
      </c>
      <c r="M1957" s="0" t="n">
        <f aca="false">F1957/E1957</f>
        <v>0.0168780327715136</v>
      </c>
    </row>
    <row r="1958" customFormat="false" ht="12.8" hidden="false" customHeight="false" outlineLevel="0" collapsed="false">
      <c r="A1958" s="0" t="s">
        <v>2810</v>
      </c>
      <c r="B1958" s="0" t="s">
        <v>2811</v>
      </c>
      <c r="C1958" s="0" t="s">
        <v>36</v>
      </c>
      <c r="D1958" s="0" t="s">
        <v>16</v>
      </c>
      <c r="E1958" s="0" t="n">
        <v>8594.58</v>
      </c>
      <c r="F1958" s="0" t="n">
        <v>240</v>
      </c>
      <c r="G1958" s="0" t="str">
        <f aca="false">IF(F1958&lt;=30,"Current",IF(F1958&lt;=60,"31 to 60 days",IF(F1958&lt;=90,"61 to 90 days",IF(F1958&lt;=120,"91 to 120 days","Over 120 days"))))</f>
        <v>Over 120 days</v>
      </c>
      <c r="H1958" s="0" t="n">
        <f aca="false">VLOOKUP(D1958,Rates!$A$4:$B$7,2,FALSE())</f>
        <v>0.085</v>
      </c>
      <c r="I1958" s="0" t="n">
        <f aca="false">VLOOKUP(F1958,Rates!$D$4:$E$8,2)</f>
        <v>0.85</v>
      </c>
      <c r="J1958" s="0" t="n">
        <f aca="false">ROUND(E1958*I1958,2)</f>
        <v>7305.39</v>
      </c>
      <c r="K1958" s="1" t="n">
        <f aca="false">PV(H1958/12,F1958/30,0,-E1958)</f>
        <v>8122.71824249062</v>
      </c>
      <c r="L1958" s="0" t="n">
        <f aca="false">ROUND(E1958-K1958,2)</f>
        <v>471.86</v>
      </c>
      <c r="M1958" s="0" t="n">
        <f aca="false">F1958/E1958</f>
        <v>0.0279245757209776</v>
      </c>
    </row>
    <row r="1959" customFormat="false" ht="12.8" hidden="false" customHeight="false" outlineLevel="0" collapsed="false">
      <c r="A1959" s="0" t="s">
        <v>2812</v>
      </c>
      <c r="B1959" s="0" t="s">
        <v>55</v>
      </c>
      <c r="C1959" s="0" t="s">
        <v>26</v>
      </c>
      <c r="D1959" s="0" t="s">
        <v>23</v>
      </c>
      <c r="E1959" s="0" t="n">
        <v>32572.04</v>
      </c>
      <c r="F1959" s="0" t="n">
        <v>332</v>
      </c>
      <c r="G1959" s="0" t="str">
        <f aca="false">IF(F1959&lt;=30,"Current",IF(F1959&lt;=60,"31 to 60 days",IF(F1959&lt;=90,"61 to 90 days",IF(F1959&lt;=120,"91 to 120 days","Over 120 days"))))</f>
        <v>Over 120 days</v>
      </c>
      <c r="H1959" s="0" t="n">
        <f aca="false">VLOOKUP(D1959,Rates!$A$4:$B$7,2,FALSE())</f>
        <v>0.115</v>
      </c>
      <c r="I1959" s="0" t="n">
        <f aca="false">VLOOKUP(F1959,Rates!$D$4:$E$8,2)</f>
        <v>0.85</v>
      </c>
      <c r="J1959" s="0" t="n">
        <f aca="false">ROUND(E1959*I1959,2)</f>
        <v>27686.23</v>
      </c>
      <c r="K1959" s="1" t="n">
        <f aca="false">PV(H1959/12,F1959/30,0,-E1959)</f>
        <v>29309.2643481401</v>
      </c>
      <c r="L1959" s="0" t="n">
        <f aca="false">ROUND(E1959-K1959,2)</f>
        <v>3262.78</v>
      </c>
      <c r="M1959" s="0" t="n">
        <f aca="false">F1959/E1959</f>
        <v>0.0101927911177808</v>
      </c>
    </row>
    <row r="1960" customFormat="false" ht="12.8" hidden="false" customHeight="false" outlineLevel="0" collapsed="false">
      <c r="A1960" s="0" t="s">
        <v>2813</v>
      </c>
      <c r="B1960" s="0" t="s">
        <v>82</v>
      </c>
      <c r="C1960" s="0" t="s">
        <v>36</v>
      </c>
      <c r="D1960" s="0" t="s">
        <v>23</v>
      </c>
      <c r="E1960" s="0" t="n">
        <v>36347.07</v>
      </c>
      <c r="F1960" s="0" t="n">
        <v>379</v>
      </c>
      <c r="G1960" s="0" t="str">
        <f aca="false">IF(F1960&lt;=30,"Current",IF(F1960&lt;=60,"31 to 60 days",IF(F1960&lt;=90,"61 to 90 days",IF(F1960&lt;=120,"91 to 120 days","Over 120 days"))))</f>
        <v>Over 120 days</v>
      </c>
      <c r="H1960" s="0" t="n">
        <f aca="false">VLOOKUP(D1960,Rates!$A$4:$B$7,2,FALSE())</f>
        <v>0.115</v>
      </c>
      <c r="I1960" s="0" t="n">
        <f aca="false">VLOOKUP(F1960,Rates!$D$4:$E$8,2)</f>
        <v>0.85</v>
      </c>
      <c r="J1960" s="0" t="n">
        <f aca="false">ROUND(E1960*I1960,2)</f>
        <v>30895.01</v>
      </c>
      <c r="K1960" s="1" t="n">
        <f aca="false">PV(H1960/12,F1960/30,0,-E1960)</f>
        <v>32221.0702958763</v>
      </c>
      <c r="L1960" s="0" t="n">
        <f aca="false">ROUND(E1960-K1960,2)</f>
        <v>4126</v>
      </c>
      <c r="M1960" s="0" t="n">
        <f aca="false">F1960/E1960</f>
        <v>0.0104272503945985</v>
      </c>
    </row>
    <row r="1961" customFormat="false" ht="12.8" hidden="false" customHeight="false" outlineLevel="0" collapsed="false">
      <c r="A1961" s="0" t="s">
        <v>2814</v>
      </c>
      <c r="B1961" s="0" t="s">
        <v>2815</v>
      </c>
      <c r="C1961" s="0" t="s">
        <v>42</v>
      </c>
      <c r="D1961" s="0" t="s">
        <v>16</v>
      </c>
      <c r="E1961" s="0" t="n">
        <v>16891.06</v>
      </c>
      <c r="F1961" s="0" t="n">
        <v>74</v>
      </c>
      <c r="G1961" s="0" t="str">
        <f aca="false">IF(F1961&lt;=30,"Current",IF(F1961&lt;=60,"31 to 60 days",IF(F1961&lt;=90,"61 to 90 days",IF(F1961&lt;=120,"91 to 120 days","Over 120 days"))))</f>
        <v>61 to 90 days</v>
      </c>
      <c r="H1961" s="0" t="n">
        <f aca="false">VLOOKUP(D1961,Rates!$A$4:$B$7,2,FALSE())</f>
        <v>0.085</v>
      </c>
      <c r="I1961" s="0" t="n">
        <f aca="false">VLOOKUP(F1961,Rates!$D$4:$E$8,2)</f>
        <v>0.25</v>
      </c>
      <c r="J1961" s="0" t="n">
        <f aca="false">ROUND(E1961*I1961,2)</f>
        <v>4222.77</v>
      </c>
      <c r="K1961" s="1" t="n">
        <f aca="false">PV(H1961/12,F1961/30,0,-E1961)</f>
        <v>16599.521269719</v>
      </c>
      <c r="L1961" s="0" t="n">
        <f aca="false">ROUND(E1961-K1961,2)</f>
        <v>291.54</v>
      </c>
      <c r="M1961" s="0" t="n">
        <f aca="false">F1961/E1961</f>
        <v>0.00438101575626396</v>
      </c>
    </row>
    <row r="1962" customFormat="false" ht="12.8" hidden="false" customHeight="false" outlineLevel="0" collapsed="false">
      <c r="A1962" s="0" t="s">
        <v>2816</v>
      </c>
      <c r="B1962" s="0" t="s">
        <v>269</v>
      </c>
      <c r="C1962" s="0" t="s">
        <v>42</v>
      </c>
      <c r="D1962" s="0" t="s">
        <v>23</v>
      </c>
      <c r="E1962" s="0" t="n">
        <v>13969.92</v>
      </c>
      <c r="F1962" s="0" t="n">
        <v>372</v>
      </c>
      <c r="G1962" s="0" t="str">
        <f aca="false">IF(F1962&lt;=30,"Current",IF(F1962&lt;=60,"31 to 60 days",IF(F1962&lt;=90,"61 to 90 days",IF(F1962&lt;=120,"91 to 120 days","Over 120 days"))))</f>
        <v>Over 120 days</v>
      </c>
      <c r="H1962" s="0" t="n">
        <f aca="false">VLOOKUP(D1962,Rates!$A$4:$B$7,2,FALSE())</f>
        <v>0.115</v>
      </c>
      <c r="I1962" s="0" t="n">
        <f aca="false">VLOOKUP(F1962,Rates!$D$4:$E$8,2)</f>
        <v>0.85</v>
      </c>
      <c r="J1962" s="0" t="n">
        <f aca="false">ROUND(E1962*I1962,2)</f>
        <v>11874.43</v>
      </c>
      <c r="K1962" s="1" t="n">
        <f aca="false">PV(H1962/12,F1962/30,0,-E1962)</f>
        <v>12411.6917462395</v>
      </c>
      <c r="L1962" s="0" t="n">
        <f aca="false">ROUND(E1962-K1962,2)</f>
        <v>1558.23</v>
      </c>
      <c r="M1962" s="0" t="n">
        <f aca="false">F1962/E1962</f>
        <v>0.02662864211105</v>
      </c>
    </row>
    <row r="1963" customFormat="false" ht="12.8" hidden="false" customHeight="false" outlineLevel="0" collapsed="false">
      <c r="A1963" s="0" t="s">
        <v>2817</v>
      </c>
      <c r="B1963" s="0" t="s">
        <v>695</v>
      </c>
      <c r="C1963" s="0" t="s">
        <v>19</v>
      </c>
      <c r="D1963" s="0" t="s">
        <v>16</v>
      </c>
      <c r="E1963" s="0" t="n">
        <v>32389.93</v>
      </c>
      <c r="F1963" s="0" t="n">
        <v>376</v>
      </c>
      <c r="G1963" s="0" t="str">
        <f aca="false">IF(F1963&lt;=30,"Current",IF(F1963&lt;=60,"31 to 60 days",IF(F1963&lt;=90,"61 to 90 days",IF(F1963&lt;=120,"91 to 120 days","Over 120 days"))))</f>
        <v>Over 120 days</v>
      </c>
      <c r="H1963" s="0" t="n">
        <f aca="false">VLOOKUP(D1963,Rates!$A$4:$B$7,2,FALSE())</f>
        <v>0.085</v>
      </c>
      <c r="I1963" s="0" t="n">
        <f aca="false">VLOOKUP(F1963,Rates!$D$4:$E$8,2)</f>
        <v>0.85</v>
      </c>
      <c r="J1963" s="0" t="n">
        <f aca="false">ROUND(E1963*I1963,2)</f>
        <v>27531.44</v>
      </c>
      <c r="K1963" s="1" t="n">
        <f aca="false">PV(H1963/12,F1963/30,0,-E1963)</f>
        <v>29647.6462739486</v>
      </c>
      <c r="L1963" s="0" t="n">
        <f aca="false">ROUND(E1963-K1963,2)</f>
        <v>2742.28</v>
      </c>
      <c r="M1963" s="0" t="n">
        <f aca="false">F1963/E1963</f>
        <v>0.0116085462364383</v>
      </c>
    </row>
    <row r="1964" customFormat="false" ht="12.8" hidden="false" customHeight="false" outlineLevel="0" collapsed="false">
      <c r="A1964" s="0" t="s">
        <v>2818</v>
      </c>
      <c r="B1964" s="0" t="s">
        <v>2819</v>
      </c>
      <c r="C1964" s="0" t="s">
        <v>19</v>
      </c>
      <c r="D1964" s="0" t="s">
        <v>49</v>
      </c>
      <c r="E1964" s="0" t="n">
        <v>33010.42</v>
      </c>
      <c r="F1964" s="0" t="n">
        <v>57</v>
      </c>
      <c r="G1964" s="0" t="str">
        <f aca="false">IF(F1964&lt;=30,"Current",IF(F1964&lt;=60,"31 to 60 days",IF(F1964&lt;=90,"61 to 90 days",IF(F1964&lt;=120,"91 to 120 days","Over 120 days"))))</f>
        <v>31 to 60 days</v>
      </c>
      <c r="H1964" s="0" t="n">
        <f aca="false">VLOOKUP(D1964,Rates!$A$4:$B$7,2,FALSE())</f>
        <v>0.02</v>
      </c>
      <c r="I1964" s="0" t="n">
        <f aca="false">VLOOKUP(F1964,Rates!$D$4:$E$8,2)</f>
        <v>0.1</v>
      </c>
      <c r="J1964" s="0" t="n">
        <f aca="false">ROUND(E1964*I1964,2)</f>
        <v>3301.04</v>
      </c>
      <c r="K1964" s="1" t="n">
        <f aca="false">PV(H1964/12,F1964/30,0,-E1964)</f>
        <v>32906.1390785109</v>
      </c>
      <c r="L1964" s="0" t="n">
        <f aca="false">ROUND(E1964-K1964,2)</f>
        <v>104.28</v>
      </c>
      <c r="M1964" s="0" t="n">
        <f aca="false">F1964/E1964</f>
        <v>0.00172672749998334</v>
      </c>
    </row>
    <row r="1965" customFormat="false" ht="12.8" hidden="false" customHeight="false" outlineLevel="0" collapsed="false">
      <c r="A1965" s="0" t="s">
        <v>2820</v>
      </c>
      <c r="B1965" s="0" t="s">
        <v>198</v>
      </c>
      <c r="C1965" s="0" t="s">
        <v>19</v>
      </c>
      <c r="D1965" s="0" t="s">
        <v>23</v>
      </c>
      <c r="E1965" s="0" t="n">
        <v>43155.41</v>
      </c>
      <c r="F1965" s="0" t="n">
        <v>78</v>
      </c>
      <c r="G1965" s="0" t="str">
        <f aca="false">IF(F1965&lt;=30,"Current",IF(F1965&lt;=60,"31 to 60 days",IF(F1965&lt;=90,"61 to 90 days",IF(F1965&lt;=120,"91 to 120 days","Over 120 days"))))</f>
        <v>61 to 90 days</v>
      </c>
      <c r="H1965" s="0" t="n">
        <f aca="false">VLOOKUP(D1965,Rates!$A$4:$B$7,2,FALSE())</f>
        <v>0.115</v>
      </c>
      <c r="I1965" s="0" t="n">
        <f aca="false">VLOOKUP(F1965,Rates!$D$4:$E$8,2)</f>
        <v>0.25</v>
      </c>
      <c r="J1965" s="0" t="n">
        <f aca="false">ROUND(E1965*I1965,2)</f>
        <v>10788.85</v>
      </c>
      <c r="K1965" s="1" t="n">
        <f aca="false">PV(H1965/12,F1965/30,0,-E1965)</f>
        <v>42098.4008166633</v>
      </c>
      <c r="L1965" s="0" t="n">
        <f aca="false">ROUND(E1965-K1965,2)</f>
        <v>1057.01</v>
      </c>
      <c r="M1965" s="0" t="n">
        <f aca="false">F1965/E1965</f>
        <v>0.00180742113213616</v>
      </c>
    </row>
    <row r="1966" customFormat="false" ht="12.8" hidden="false" customHeight="false" outlineLevel="0" collapsed="false">
      <c r="A1966" s="0" t="s">
        <v>2821</v>
      </c>
      <c r="B1966" s="0" t="s">
        <v>2822</v>
      </c>
      <c r="C1966" s="0" t="s">
        <v>36</v>
      </c>
      <c r="D1966" s="0" t="s">
        <v>49</v>
      </c>
      <c r="E1966" s="0" t="n">
        <v>4675.52</v>
      </c>
      <c r="F1966" s="0" t="n">
        <v>231</v>
      </c>
      <c r="G1966" s="0" t="str">
        <f aca="false">IF(F1966&lt;=30,"Current",IF(F1966&lt;=60,"31 to 60 days",IF(F1966&lt;=90,"61 to 90 days",IF(F1966&lt;=120,"91 to 120 days","Over 120 days"))))</f>
        <v>Over 120 days</v>
      </c>
      <c r="H1966" s="0" t="n">
        <f aca="false">VLOOKUP(D1966,Rates!$A$4:$B$7,2,FALSE())</f>
        <v>0.02</v>
      </c>
      <c r="I1966" s="0" t="n">
        <f aca="false">VLOOKUP(F1966,Rates!$D$4:$E$8,2)</f>
        <v>0.85</v>
      </c>
      <c r="J1966" s="0" t="n">
        <f aca="false">ROUND(E1966*I1966,2)</f>
        <v>3974.19</v>
      </c>
      <c r="K1966" s="1" t="n">
        <f aca="false">PV(H1966/12,F1966/30,0,-E1966)</f>
        <v>4615.95017765296</v>
      </c>
      <c r="L1966" s="0" t="n">
        <f aca="false">ROUND(E1966-K1966,2)</f>
        <v>59.57</v>
      </c>
      <c r="M1966" s="0" t="n">
        <f aca="false">F1966/E1966</f>
        <v>0.0494062692491958</v>
      </c>
    </row>
    <row r="1967" customFormat="false" ht="12.8" hidden="false" customHeight="false" outlineLevel="0" collapsed="false">
      <c r="A1967" s="0" t="s">
        <v>2823</v>
      </c>
      <c r="B1967" s="0" t="s">
        <v>413</v>
      </c>
      <c r="C1967" s="0" t="s">
        <v>36</v>
      </c>
      <c r="D1967" s="0" t="s">
        <v>23</v>
      </c>
      <c r="E1967" s="0" t="n">
        <v>20934.13</v>
      </c>
      <c r="F1967" s="0" t="n">
        <v>207</v>
      </c>
      <c r="G1967" s="0" t="str">
        <f aca="false">IF(F1967&lt;=30,"Current",IF(F1967&lt;=60,"31 to 60 days",IF(F1967&lt;=90,"61 to 90 days",IF(F1967&lt;=120,"91 to 120 days","Over 120 days"))))</f>
        <v>Over 120 days</v>
      </c>
      <c r="H1967" s="0" t="n">
        <f aca="false">VLOOKUP(D1967,Rates!$A$4:$B$7,2,FALSE())</f>
        <v>0.115</v>
      </c>
      <c r="I1967" s="0" t="n">
        <f aca="false">VLOOKUP(F1967,Rates!$D$4:$E$8,2)</f>
        <v>0.85</v>
      </c>
      <c r="J1967" s="0" t="n">
        <f aca="false">ROUND(E1967*I1967,2)</f>
        <v>17794.01</v>
      </c>
      <c r="K1967" s="1" t="n">
        <f aca="false">PV(H1967/12,F1967/30,0,-E1967)</f>
        <v>19600.8058559616</v>
      </c>
      <c r="L1967" s="0" t="n">
        <f aca="false">ROUND(E1967-K1967,2)</f>
        <v>1333.32</v>
      </c>
      <c r="M1967" s="0" t="n">
        <f aca="false">F1967/E1967</f>
        <v>0.00988815871497884</v>
      </c>
    </row>
    <row r="1968" customFormat="false" ht="12.8" hidden="false" customHeight="false" outlineLevel="0" collapsed="false">
      <c r="A1968" s="0" t="s">
        <v>2824</v>
      </c>
      <c r="B1968" s="0" t="s">
        <v>2825</v>
      </c>
      <c r="C1968" s="0" t="s">
        <v>36</v>
      </c>
      <c r="D1968" s="0" t="s">
        <v>16</v>
      </c>
      <c r="E1968" s="0" t="n">
        <v>25469.55</v>
      </c>
      <c r="F1968" s="0" t="n">
        <v>160</v>
      </c>
      <c r="G1968" s="0" t="str">
        <f aca="false">IF(F1968&lt;=30,"Current",IF(F1968&lt;=60,"31 to 60 days",IF(F1968&lt;=90,"61 to 90 days",IF(F1968&lt;=120,"91 to 120 days","Over 120 days"))))</f>
        <v>Over 120 days</v>
      </c>
      <c r="H1968" s="0" t="n">
        <f aca="false">VLOOKUP(D1968,Rates!$A$4:$B$7,2,FALSE())</f>
        <v>0.085</v>
      </c>
      <c r="I1968" s="0" t="n">
        <f aca="false">VLOOKUP(F1968,Rates!$D$4:$E$8,2)</f>
        <v>0.85</v>
      </c>
      <c r="J1968" s="0" t="n">
        <f aca="false">ROUND(E1968*I1968,2)</f>
        <v>21649.12</v>
      </c>
      <c r="K1968" s="1" t="n">
        <f aca="false">PV(H1968/12,F1968/30,0,-E1968)</f>
        <v>24528.5810482605</v>
      </c>
      <c r="L1968" s="0" t="n">
        <f aca="false">ROUND(E1968-K1968,2)</f>
        <v>940.97</v>
      </c>
      <c r="M1968" s="0" t="n">
        <f aca="false">F1968/E1968</f>
        <v>0.00628201126443145</v>
      </c>
    </row>
    <row r="1969" customFormat="false" ht="12.8" hidden="false" customHeight="false" outlineLevel="0" collapsed="false">
      <c r="A1969" s="0" t="s">
        <v>2826</v>
      </c>
      <c r="B1969" s="0" t="s">
        <v>2827</v>
      </c>
      <c r="C1969" s="0" t="s">
        <v>42</v>
      </c>
      <c r="D1969" s="0" t="s">
        <v>49</v>
      </c>
      <c r="E1969" s="0" t="n">
        <v>2023.12</v>
      </c>
      <c r="F1969" s="0" t="n">
        <v>87</v>
      </c>
      <c r="G1969" s="0" t="str">
        <f aca="false">IF(F1969&lt;=30,"Current",IF(F1969&lt;=60,"31 to 60 days",IF(F1969&lt;=90,"61 to 90 days",IF(F1969&lt;=120,"91 to 120 days","Over 120 days"))))</f>
        <v>61 to 90 days</v>
      </c>
      <c r="H1969" s="0" t="n">
        <f aca="false">VLOOKUP(D1969,Rates!$A$4:$B$7,2,FALSE())</f>
        <v>0.02</v>
      </c>
      <c r="I1969" s="0" t="n">
        <f aca="false">VLOOKUP(F1969,Rates!$D$4:$E$8,2)</f>
        <v>0.25</v>
      </c>
      <c r="J1969" s="0" t="n">
        <f aca="false">ROUND(E1969*I1969,2)</f>
        <v>505.78</v>
      </c>
      <c r="K1969" s="1" t="n">
        <f aca="false">PV(H1969/12,F1969/30,0,-E1969)</f>
        <v>2013.37328021039</v>
      </c>
      <c r="L1969" s="0" t="n">
        <f aca="false">ROUND(E1969-K1969,2)</f>
        <v>9.75</v>
      </c>
      <c r="M1969" s="0" t="n">
        <f aca="false">F1969/E1969</f>
        <v>0.0430028866305508</v>
      </c>
    </row>
    <row r="1970" customFormat="false" ht="12.8" hidden="false" customHeight="false" outlineLevel="0" collapsed="false">
      <c r="A1970" s="0" t="s">
        <v>2828</v>
      </c>
      <c r="B1970" s="0" t="s">
        <v>2829</v>
      </c>
      <c r="C1970" s="0" t="s">
        <v>26</v>
      </c>
      <c r="D1970" s="0" t="s">
        <v>16</v>
      </c>
      <c r="E1970" s="0" t="n">
        <v>4253.21</v>
      </c>
      <c r="F1970" s="0" t="n">
        <v>122</v>
      </c>
      <c r="G1970" s="0" t="str">
        <f aca="false">IF(F1970&lt;=30,"Current",IF(F1970&lt;=60,"31 to 60 days",IF(F1970&lt;=90,"61 to 90 days",IF(F1970&lt;=120,"91 to 120 days","Over 120 days"))))</f>
        <v>Over 120 days</v>
      </c>
      <c r="H1970" s="0" t="n">
        <f aca="false">VLOOKUP(D1970,Rates!$A$4:$B$7,2,FALSE())</f>
        <v>0.085</v>
      </c>
      <c r="I1970" s="0" t="n">
        <f aca="false">VLOOKUP(F1970,Rates!$D$4:$E$8,2)</f>
        <v>0.85</v>
      </c>
      <c r="J1970" s="0" t="n">
        <f aca="false">ROUND(E1970*I1970,2)</f>
        <v>3615.23</v>
      </c>
      <c r="K1970" s="1" t="n">
        <f aca="false">PV(H1970/12,F1970/30,0,-E1970)</f>
        <v>4132.86130438147</v>
      </c>
      <c r="L1970" s="0" t="n">
        <f aca="false">ROUND(E1970-K1970,2)</f>
        <v>120.35</v>
      </c>
      <c r="M1970" s="0" t="n">
        <f aca="false">F1970/E1970</f>
        <v>0.0286842173323208</v>
      </c>
    </row>
    <row r="1971" customFormat="false" ht="12.8" hidden="false" customHeight="false" outlineLevel="0" collapsed="false">
      <c r="A1971" s="0" t="s">
        <v>2830</v>
      </c>
      <c r="B1971" s="0" t="s">
        <v>2831</v>
      </c>
      <c r="C1971" s="0" t="s">
        <v>26</v>
      </c>
      <c r="D1971" s="0" t="s">
        <v>16</v>
      </c>
      <c r="E1971" s="0" t="n">
        <v>30587.08</v>
      </c>
      <c r="F1971" s="0" t="n">
        <v>255</v>
      </c>
      <c r="G1971" s="0" t="str">
        <f aca="false">IF(F1971&lt;=30,"Current",IF(F1971&lt;=60,"31 to 60 days",IF(F1971&lt;=90,"61 to 90 days",IF(F1971&lt;=120,"91 to 120 days","Over 120 days"))))</f>
        <v>Over 120 days</v>
      </c>
      <c r="H1971" s="0" t="n">
        <f aca="false">VLOOKUP(D1971,Rates!$A$4:$B$7,2,FALSE())</f>
        <v>0.085</v>
      </c>
      <c r="I1971" s="0" t="n">
        <f aca="false">VLOOKUP(F1971,Rates!$D$4:$E$8,2)</f>
        <v>0.85</v>
      </c>
      <c r="J1971" s="0" t="n">
        <f aca="false">ROUND(E1971*I1971,2)</f>
        <v>25999.02</v>
      </c>
      <c r="K1971" s="1" t="n">
        <f aca="false">PV(H1971/12,F1971/30,0,-E1971)</f>
        <v>28805.9395557153</v>
      </c>
      <c r="L1971" s="0" t="n">
        <f aca="false">ROUND(E1971-K1971,2)</f>
        <v>1781.14</v>
      </c>
      <c r="M1971" s="0" t="n">
        <f aca="false">F1971/E1971</f>
        <v>0.00833685333807608</v>
      </c>
    </row>
    <row r="1972" customFormat="false" ht="12.8" hidden="false" customHeight="false" outlineLevel="0" collapsed="false">
      <c r="A1972" s="0" t="s">
        <v>2832</v>
      </c>
      <c r="B1972" s="0" t="s">
        <v>97</v>
      </c>
      <c r="C1972" s="0" t="s">
        <v>42</v>
      </c>
      <c r="D1972" s="0" t="s">
        <v>20</v>
      </c>
      <c r="E1972" s="0" t="n">
        <v>39638.65</v>
      </c>
      <c r="F1972" s="0" t="n">
        <v>154</v>
      </c>
      <c r="G1972" s="0" t="str">
        <f aca="false">IF(F1972&lt;=30,"Current",IF(F1972&lt;=60,"31 to 60 days",IF(F1972&lt;=90,"61 to 90 days",IF(F1972&lt;=120,"91 to 120 days","Over 120 days"))))</f>
        <v>Over 120 days</v>
      </c>
      <c r="H1972" s="0" t="n">
        <f aca="false">VLOOKUP(D1972,Rates!$A$4:$B$7,2,FALSE())</f>
        <v>0.05</v>
      </c>
      <c r="I1972" s="0" t="n">
        <f aca="false">VLOOKUP(F1972,Rates!$D$4:$E$8,2)</f>
        <v>0.85</v>
      </c>
      <c r="J1972" s="0" t="n">
        <f aca="false">ROUND(E1972*I1972,2)</f>
        <v>33692.85</v>
      </c>
      <c r="K1972" s="1" t="n">
        <f aca="false">PV(H1972/12,F1972/30,0,-E1972)</f>
        <v>38801.5502324943</v>
      </c>
      <c r="L1972" s="0" t="n">
        <f aca="false">ROUND(E1972-K1972,2)</f>
        <v>837.1</v>
      </c>
      <c r="M1972" s="0" t="n">
        <f aca="false">F1972/E1972</f>
        <v>0.00388509699497839</v>
      </c>
    </row>
    <row r="1973" customFormat="false" ht="12.8" hidden="false" customHeight="false" outlineLevel="0" collapsed="false">
      <c r="A1973" s="0" t="s">
        <v>2833</v>
      </c>
      <c r="B1973" s="0" t="s">
        <v>18</v>
      </c>
      <c r="C1973" s="0" t="s">
        <v>19</v>
      </c>
      <c r="D1973" s="0" t="s">
        <v>20</v>
      </c>
      <c r="E1973" s="0" t="n">
        <v>12185.51</v>
      </c>
      <c r="F1973" s="0" t="n">
        <v>234</v>
      </c>
      <c r="G1973" s="0" t="str">
        <f aca="false">IF(F1973&lt;=30,"Current",IF(F1973&lt;=60,"31 to 60 days",IF(F1973&lt;=90,"61 to 90 days",IF(F1973&lt;=120,"91 to 120 days","Over 120 days"))))</f>
        <v>Over 120 days</v>
      </c>
      <c r="H1973" s="0" t="n">
        <f aca="false">VLOOKUP(D1973,Rates!$A$4:$B$7,2,FALSE())</f>
        <v>0.05</v>
      </c>
      <c r="I1973" s="0" t="n">
        <f aca="false">VLOOKUP(F1973,Rates!$D$4:$E$8,2)</f>
        <v>0.85</v>
      </c>
      <c r="J1973" s="0" t="n">
        <f aca="false">ROUND(E1973*I1973,2)</f>
        <v>10357.68</v>
      </c>
      <c r="K1973" s="1" t="n">
        <f aca="false">PV(H1973/12,F1973/30,0,-E1973)</f>
        <v>11796.6437350528</v>
      </c>
      <c r="L1973" s="0" t="n">
        <f aca="false">ROUND(E1973-K1973,2)</f>
        <v>388.87</v>
      </c>
      <c r="M1973" s="0" t="n">
        <f aca="false">F1973/E1973</f>
        <v>0.01920313552736</v>
      </c>
    </row>
    <row r="1974" customFormat="false" ht="12.8" hidden="false" customHeight="false" outlineLevel="0" collapsed="false">
      <c r="A1974" s="0" t="s">
        <v>2834</v>
      </c>
      <c r="B1974" s="0" t="s">
        <v>330</v>
      </c>
      <c r="C1974" s="0" t="s">
        <v>15</v>
      </c>
      <c r="D1974" s="0" t="s">
        <v>23</v>
      </c>
      <c r="E1974" s="0" t="n">
        <v>12746.25</v>
      </c>
      <c r="F1974" s="0" t="n">
        <v>178</v>
      </c>
      <c r="G1974" s="0" t="str">
        <f aca="false">IF(F1974&lt;=30,"Current",IF(F1974&lt;=60,"31 to 60 days",IF(F1974&lt;=90,"61 to 90 days",IF(F1974&lt;=120,"91 to 120 days","Over 120 days"))))</f>
        <v>Over 120 days</v>
      </c>
      <c r="H1974" s="0" t="n">
        <f aca="false">VLOOKUP(D1974,Rates!$A$4:$B$7,2,FALSE())</f>
        <v>0.115</v>
      </c>
      <c r="I1974" s="0" t="n">
        <f aca="false">VLOOKUP(F1974,Rates!$D$4:$E$8,2)</f>
        <v>0.85</v>
      </c>
      <c r="J1974" s="0" t="n">
        <f aca="false">ROUND(E1974*I1974,2)</f>
        <v>10834.31</v>
      </c>
      <c r="K1974" s="1" t="n">
        <f aca="false">PV(H1974/12,F1974/30,0,-E1974)</f>
        <v>12044.9650058556</v>
      </c>
      <c r="L1974" s="0" t="n">
        <f aca="false">ROUND(E1974-K1974,2)</f>
        <v>701.28</v>
      </c>
      <c r="M1974" s="0" t="n">
        <f aca="false">F1974/E1974</f>
        <v>0.0139648916347945</v>
      </c>
    </row>
    <row r="1975" customFormat="false" ht="12.8" hidden="false" customHeight="false" outlineLevel="0" collapsed="false">
      <c r="A1975" s="0" t="s">
        <v>2835</v>
      </c>
      <c r="B1975" s="0" t="s">
        <v>1894</v>
      </c>
      <c r="C1975" s="0" t="s">
        <v>31</v>
      </c>
      <c r="D1975" s="0" t="s">
        <v>49</v>
      </c>
      <c r="E1975" s="0" t="n">
        <v>34950.83</v>
      </c>
      <c r="F1975" s="0" t="n">
        <v>186</v>
      </c>
      <c r="G1975" s="0" t="str">
        <f aca="false">IF(F1975&lt;=30,"Current",IF(F1975&lt;=60,"31 to 60 days",IF(F1975&lt;=90,"61 to 90 days",IF(F1975&lt;=120,"91 to 120 days","Over 120 days"))))</f>
        <v>Over 120 days</v>
      </c>
      <c r="H1975" s="0" t="n">
        <f aca="false">VLOOKUP(D1975,Rates!$A$4:$B$7,2,FALSE())</f>
        <v>0.02</v>
      </c>
      <c r="I1975" s="0" t="n">
        <f aca="false">VLOOKUP(F1975,Rates!$D$4:$E$8,2)</f>
        <v>0.85</v>
      </c>
      <c r="J1975" s="0" t="n">
        <f aca="false">ROUND(E1975*I1975,2)</f>
        <v>29708.21</v>
      </c>
      <c r="K1975" s="1" t="n">
        <f aca="false">PV(H1975/12,F1975/30,0,-E1975)</f>
        <v>34591.8285408387</v>
      </c>
      <c r="L1975" s="0" t="n">
        <f aca="false">ROUND(E1975-K1975,2)</f>
        <v>359</v>
      </c>
      <c r="M1975" s="0" t="n">
        <f aca="false">F1975/E1975</f>
        <v>0.0053217620296857</v>
      </c>
    </row>
    <row r="1976" customFormat="false" ht="12.8" hidden="false" customHeight="false" outlineLevel="0" collapsed="false">
      <c r="A1976" s="0" t="s">
        <v>2836</v>
      </c>
      <c r="B1976" s="0" t="s">
        <v>2300</v>
      </c>
      <c r="C1976" s="0" t="s">
        <v>31</v>
      </c>
      <c r="D1976" s="0" t="s">
        <v>16</v>
      </c>
      <c r="E1976" s="0" t="n">
        <v>0</v>
      </c>
      <c r="F1976" s="0" t="n">
        <v>156</v>
      </c>
      <c r="G1976" s="0" t="str">
        <f aca="false">IF(F1976&lt;=30,"Current",IF(F1976&lt;=60,"31 to 60 days",IF(F1976&lt;=90,"61 to 90 days",IF(F1976&lt;=120,"91 to 120 days","Over 120 days"))))</f>
        <v>Over 120 days</v>
      </c>
      <c r="H1976" s="0" t="n">
        <f aca="false">VLOOKUP(D1976,Rates!$A$4:$B$7,2,FALSE())</f>
        <v>0.085</v>
      </c>
      <c r="I1976" s="0" t="n">
        <f aca="false">VLOOKUP(F1976,Rates!$D$4:$E$8,2)</f>
        <v>0.85</v>
      </c>
      <c r="J1976" s="0" t="n">
        <f aca="false">ROUND(E1976*I1976,2)</f>
        <v>0</v>
      </c>
      <c r="K1976" s="1" t="n">
        <f aca="false">PV(H1976/12,F1976/30,0,-E1976)</f>
        <v>-0</v>
      </c>
      <c r="L1976" s="0" t="n">
        <f aca="false">ROUND(E1976-K1976,2)</f>
        <v>0</v>
      </c>
      <c r="M1976" s="0" t="e">
        <f aca="false">F1976/E1976</f>
        <v>#DIV/0!</v>
      </c>
    </row>
    <row r="1977" customFormat="false" ht="12.8" hidden="false" customHeight="false" outlineLevel="0" collapsed="false">
      <c r="A1977" s="0" t="s">
        <v>2837</v>
      </c>
      <c r="B1977" s="0" t="s">
        <v>961</v>
      </c>
      <c r="C1977" s="0" t="s">
        <v>42</v>
      </c>
      <c r="D1977" s="0" t="s">
        <v>16</v>
      </c>
      <c r="E1977" s="0" t="n">
        <v>32952.18</v>
      </c>
      <c r="F1977" s="0" t="n">
        <v>107</v>
      </c>
      <c r="G1977" s="0" t="str">
        <f aca="false">IF(F1977&lt;=30,"Current",IF(F1977&lt;=60,"31 to 60 days",IF(F1977&lt;=90,"61 to 90 days",IF(F1977&lt;=120,"91 to 120 days","Over 120 days"))))</f>
        <v>91 to 120 days</v>
      </c>
      <c r="H1977" s="0" t="n">
        <f aca="false">VLOOKUP(D1977,Rates!$A$4:$B$7,2,FALSE())</f>
        <v>0.085</v>
      </c>
      <c r="I1977" s="0" t="n">
        <f aca="false">VLOOKUP(F1977,Rates!$D$4:$E$8,2)</f>
        <v>0.5</v>
      </c>
      <c r="J1977" s="0" t="n">
        <f aca="false">ROUND(E1977*I1977,2)</f>
        <v>16476.09</v>
      </c>
      <c r="K1977" s="1" t="n">
        <f aca="false">PV(H1977/12,F1977/30,0,-E1977)</f>
        <v>32132.9693852537</v>
      </c>
      <c r="L1977" s="0" t="n">
        <f aca="false">ROUND(E1977-K1977,2)</f>
        <v>819.21</v>
      </c>
      <c r="M1977" s="0" t="n">
        <f aca="false">F1977/E1977</f>
        <v>0.00324712962844947</v>
      </c>
    </row>
    <row r="1978" customFormat="false" ht="12.8" hidden="false" customHeight="false" outlineLevel="0" collapsed="false">
      <c r="A1978" s="0" t="s">
        <v>2838</v>
      </c>
      <c r="B1978" s="0" t="s">
        <v>441</v>
      </c>
      <c r="C1978" s="0" t="s">
        <v>15</v>
      </c>
      <c r="D1978" s="0" t="s">
        <v>23</v>
      </c>
      <c r="E1978" s="0" t="n">
        <v>25126.33</v>
      </c>
      <c r="F1978" s="0" t="n">
        <v>170</v>
      </c>
      <c r="G1978" s="0" t="str">
        <f aca="false">IF(F1978&lt;=30,"Current",IF(F1978&lt;=60,"31 to 60 days",IF(F1978&lt;=90,"61 to 90 days",IF(F1978&lt;=120,"91 to 120 days","Over 120 days"))))</f>
        <v>Over 120 days</v>
      </c>
      <c r="H1978" s="0" t="n">
        <f aca="false">VLOOKUP(D1978,Rates!$A$4:$B$7,2,FALSE())</f>
        <v>0.115</v>
      </c>
      <c r="I1978" s="0" t="n">
        <f aca="false">VLOOKUP(F1978,Rates!$D$4:$E$8,2)</f>
        <v>0.85</v>
      </c>
      <c r="J1978" s="0" t="n">
        <f aca="false">ROUND(E1978*I1978,2)</f>
        <v>21357.38</v>
      </c>
      <c r="K1978" s="1" t="n">
        <f aca="false">PV(H1978/12,F1978/30,0,-E1978)</f>
        <v>23804.3731178388</v>
      </c>
      <c r="L1978" s="0" t="n">
        <f aca="false">ROUND(E1978-K1978,2)</f>
        <v>1321.96</v>
      </c>
      <c r="M1978" s="0" t="n">
        <f aca="false">F1978/E1978</f>
        <v>0.00676581100383542</v>
      </c>
    </row>
    <row r="1979" customFormat="false" ht="12.8" hidden="false" customHeight="false" outlineLevel="0" collapsed="false">
      <c r="A1979" s="0" t="s">
        <v>2839</v>
      </c>
      <c r="B1979" s="0" t="s">
        <v>342</v>
      </c>
      <c r="C1979" s="0" t="s">
        <v>26</v>
      </c>
      <c r="D1979" s="0" t="s">
        <v>23</v>
      </c>
      <c r="E1979" s="0" t="n">
        <v>43123.14</v>
      </c>
      <c r="F1979" s="0" t="n">
        <v>175</v>
      </c>
      <c r="G1979" s="0" t="str">
        <f aca="false">IF(F1979&lt;=30,"Current",IF(F1979&lt;=60,"31 to 60 days",IF(F1979&lt;=90,"61 to 90 days",IF(F1979&lt;=120,"91 to 120 days","Over 120 days"))))</f>
        <v>Over 120 days</v>
      </c>
      <c r="H1979" s="0" t="n">
        <f aca="false">VLOOKUP(D1979,Rates!$A$4:$B$7,2,FALSE())</f>
        <v>0.115</v>
      </c>
      <c r="I1979" s="0" t="n">
        <f aca="false">VLOOKUP(F1979,Rates!$D$4:$E$8,2)</f>
        <v>0.85</v>
      </c>
      <c r="J1979" s="0" t="n">
        <f aca="false">ROUND(E1979*I1979,2)</f>
        <v>36654.67</v>
      </c>
      <c r="K1979" s="1" t="n">
        <f aca="false">PV(H1979/12,F1979/30,0,-E1979)</f>
        <v>40789.4363345373</v>
      </c>
      <c r="L1979" s="0" t="n">
        <f aca="false">ROUND(E1979-K1979,2)</f>
        <v>2333.7</v>
      </c>
      <c r="M1979" s="0" t="n">
        <f aca="false">F1979/E1979</f>
        <v>0.00405814604409605</v>
      </c>
    </row>
    <row r="1980" customFormat="false" ht="12.8" hidden="false" customHeight="false" outlineLevel="0" collapsed="false">
      <c r="A1980" s="0" t="s">
        <v>2840</v>
      </c>
      <c r="B1980" s="0" t="s">
        <v>2841</v>
      </c>
      <c r="C1980" s="0" t="s">
        <v>42</v>
      </c>
      <c r="D1980" s="0" t="s">
        <v>16</v>
      </c>
      <c r="E1980" s="0" t="n">
        <v>26163.99</v>
      </c>
      <c r="F1980" s="0" t="n">
        <v>321</v>
      </c>
      <c r="G1980" s="0" t="str">
        <f aca="false">IF(F1980&lt;=30,"Current",IF(F1980&lt;=60,"31 to 60 days",IF(F1980&lt;=90,"61 to 90 days",IF(F1980&lt;=120,"91 to 120 days","Over 120 days"))))</f>
        <v>Over 120 days</v>
      </c>
      <c r="H1980" s="0" t="n">
        <f aca="false">VLOOKUP(D1980,Rates!$A$4:$B$7,2,FALSE())</f>
        <v>0.085</v>
      </c>
      <c r="I1980" s="0" t="n">
        <f aca="false">VLOOKUP(F1980,Rates!$D$4:$E$8,2)</f>
        <v>0.85</v>
      </c>
      <c r="J1980" s="0" t="n">
        <f aca="false">ROUND(E1980*I1980,2)</f>
        <v>22239.39</v>
      </c>
      <c r="K1980" s="1" t="n">
        <f aca="false">PV(H1980/12,F1980/30,0,-E1980)</f>
        <v>24260.7432321751</v>
      </c>
      <c r="L1980" s="0" t="n">
        <f aca="false">ROUND(E1980-K1980,2)</f>
        <v>1903.25</v>
      </c>
      <c r="M1980" s="0" t="n">
        <f aca="false">F1980/E1980</f>
        <v>0.0122687709328738</v>
      </c>
    </row>
    <row r="1981" customFormat="false" ht="12.8" hidden="false" customHeight="false" outlineLevel="0" collapsed="false">
      <c r="A1981" s="0" t="s">
        <v>2842</v>
      </c>
      <c r="B1981" s="0" t="s">
        <v>33</v>
      </c>
      <c r="C1981" s="0" t="s">
        <v>26</v>
      </c>
      <c r="D1981" s="0" t="s">
        <v>20</v>
      </c>
      <c r="E1981" s="0" t="n">
        <v>8996.97</v>
      </c>
      <c r="F1981" s="0" t="n">
        <v>257</v>
      </c>
      <c r="G1981" s="0" t="str">
        <f aca="false">IF(F1981&lt;=30,"Current",IF(F1981&lt;=60,"31 to 60 days",IF(F1981&lt;=90,"61 to 90 days",IF(F1981&lt;=120,"91 to 120 days","Over 120 days"))))</f>
        <v>Over 120 days</v>
      </c>
      <c r="H1981" s="0" t="n">
        <f aca="false">VLOOKUP(D1981,Rates!$A$4:$B$7,2,FALSE())</f>
        <v>0.05</v>
      </c>
      <c r="I1981" s="0" t="n">
        <f aca="false">VLOOKUP(F1981,Rates!$D$4:$E$8,2)</f>
        <v>0.85</v>
      </c>
      <c r="J1981" s="0" t="n">
        <f aca="false">ROUND(E1981*I1981,2)</f>
        <v>7647.42</v>
      </c>
      <c r="K1981" s="1" t="n">
        <f aca="false">PV(H1981/12,F1981/30,0,-E1981)</f>
        <v>8682.13587581302</v>
      </c>
      <c r="L1981" s="0" t="n">
        <f aca="false">ROUND(E1981-K1981,2)</f>
        <v>314.83</v>
      </c>
      <c r="M1981" s="0" t="n">
        <f aca="false">F1981/E1981</f>
        <v>0.0285651724969629</v>
      </c>
    </row>
    <row r="1982" customFormat="false" ht="12.8" hidden="false" customHeight="false" outlineLevel="0" collapsed="false">
      <c r="A1982" s="0" t="s">
        <v>2843</v>
      </c>
      <c r="B1982" s="0" t="s">
        <v>78</v>
      </c>
      <c r="C1982" s="0" t="s">
        <v>19</v>
      </c>
      <c r="D1982" s="0" t="s">
        <v>23</v>
      </c>
      <c r="E1982" s="0" t="n">
        <v>12532.21</v>
      </c>
      <c r="F1982" s="0" t="n">
        <v>5</v>
      </c>
      <c r="G1982" s="0" t="str">
        <f aca="false">IF(F1982&lt;=30,"Current",IF(F1982&lt;=60,"31 to 60 days",IF(F1982&lt;=90,"61 to 90 days",IF(F1982&lt;=120,"91 to 120 days","Over 120 days"))))</f>
        <v>Current</v>
      </c>
      <c r="H1982" s="0" t="n">
        <f aca="false">VLOOKUP(D1982,Rates!$A$4:$B$7,2,FALSE())</f>
        <v>0.115</v>
      </c>
      <c r="I1982" s="0" t="n">
        <f aca="false">VLOOKUP(F1982,Rates!$D$4:$E$8,2)</f>
        <v>0.02</v>
      </c>
      <c r="J1982" s="0" t="n">
        <f aca="false">ROUND(E1982*I1982,2)</f>
        <v>250.64</v>
      </c>
      <c r="K1982" s="1" t="n">
        <f aca="false">PV(H1982/12,F1982/30,0,-E1982)</f>
        <v>12512.3044060864</v>
      </c>
      <c r="L1982" s="0" t="n">
        <f aca="false">ROUND(E1982-K1982,2)</f>
        <v>19.91</v>
      </c>
      <c r="M1982" s="0" t="n">
        <f aca="false">F1982/E1982</f>
        <v>0.00039897192913301</v>
      </c>
    </row>
    <row r="1983" customFormat="false" ht="12.8" hidden="false" customHeight="false" outlineLevel="0" collapsed="false">
      <c r="A1983" s="0" t="s">
        <v>2844</v>
      </c>
      <c r="B1983" s="0" t="s">
        <v>51</v>
      </c>
      <c r="C1983" s="0" t="s">
        <v>36</v>
      </c>
      <c r="D1983" s="0" t="s">
        <v>20</v>
      </c>
      <c r="E1983" s="0" t="n">
        <v>37992.1</v>
      </c>
      <c r="F1983" s="0" t="n">
        <v>14</v>
      </c>
      <c r="G1983" s="0" t="str">
        <f aca="false">IF(F1983&lt;=30,"Current",IF(F1983&lt;=60,"31 to 60 days",IF(F1983&lt;=90,"61 to 90 days",IF(F1983&lt;=120,"91 to 120 days","Over 120 days"))))</f>
        <v>Current</v>
      </c>
      <c r="H1983" s="0" t="n">
        <f aca="false">VLOOKUP(D1983,Rates!$A$4:$B$7,2,FALSE())</f>
        <v>0.05</v>
      </c>
      <c r="I1983" s="0" t="n">
        <f aca="false">VLOOKUP(F1983,Rates!$D$4:$E$8,2)</f>
        <v>0.02</v>
      </c>
      <c r="J1983" s="0" t="n">
        <f aca="false">ROUND(E1983*I1983,2)</f>
        <v>759.84</v>
      </c>
      <c r="K1983" s="1" t="n">
        <f aca="false">PV(H1983/12,F1983/30,0,-E1983)</f>
        <v>37918.4514263566</v>
      </c>
      <c r="L1983" s="0" t="n">
        <f aca="false">ROUND(E1983-K1983,2)</f>
        <v>73.65</v>
      </c>
      <c r="M1983" s="0" t="n">
        <f aca="false">F1983/E1983</f>
        <v>0.000368497661355913</v>
      </c>
    </row>
    <row r="1984" customFormat="false" ht="12.8" hidden="false" customHeight="false" outlineLevel="0" collapsed="false">
      <c r="A1984" s="0" t="s">
        <v>2845</v>
      </c>
      <c r="B1984" s="0" t="s">
        <v>18</v>
      </c>
      <c r="C1984" s="0" t="s">
        <v>19</v>
      </c>
      <c r="D1984" s="0" t="s">
        <v>20</v>
      </c>
      <c r="E1984" s="0" t="n">
        <v>20586.04</v>
      </c>
      <c r="F1984" s="0" t="n">
        <v>388</v>
      </c>
      <c r="G1984" s="0" t="str">
        <f aca="false">IF(F1984&lt;=30,"Current",IF(F1984&lt;=60,"31 to 60 days",IF(F1984&lt;=90,"61 to 90 days",IF(F1984&lt;=120,"91 to 120 days","Over 120 days"))))</f>
        <v>Over 120 days</v>
      </c>
      <c r="H1984" s="0" t="n">
        <f aca="false">VLOOKUP(D1984,Rates!$A$4:$B$7,2,FALSE())</f>
        <v>0.05</v>
      </c>
      <c r="I1984" s="0" t="n">
        <f aca="false">VLOOKUP(F1984,Rates!$D$4:$E$8,2)</f>
        <v>0.85</v>
      </c>
      <c r="J1984" s="0" t="n">
        <f aca="false">ROUND(E1984*I1984,2)</f>
        <v>17498.13</v>
      </c>
      <c r="K1984" s="1" t="n">
        <f aca="false">PV(H1984/12,F1984/30,0,-E1984)</f>
        <v>19508.2264319718</v>
      </c>
      <c r="L1984" s="0" t="n">
        <f aca="false">ROUND(E1984-K1984,2)</f>
        <v>1077.81</v>
      </c>
      <c r="M1984" s="0" t="n">
        <f aca="false">F1984/E1984</f>
        <v>0.0188477239915982</v>
      </c>
    </row>
    <row r="1985" customFormat="false" ht="12.8" hidden="false" customHeight="false" outlineLevel="0" collapsed="false">
      <c r="A1985" s="0" t="s">
        <v>2846</v>
      </c>
      <c r="B1985" s="0" t="s">
        <v>385</v>
      </c>
      <c r="C1985" s="0" t="s">
        <v>36</v>
      </c>
      <c r="D1985" s="0" t="s">
        <v>16</v>
      </c>
      <c r="E1985" s="0" t="n">
        <v>41936.03</v>
      </c>
      <c r="F1985" s="0" t="n">
        <v>232</v>
      </c>
      <c r="G1985" s="0" t="str">
        <f aca="false">IF(F1985&lt;=30,"Current",IF(F1985&lt;=60,"31 to 60 days",IF(F1985&lt;=90,"61 to 90 days",IF(F1985&lt;=120,"91 to 120 days","Over 120 days"))))</f>
        <v>Over 120 days</v>
      </c>
      <c r="H1985" s="0" t="n">
        <f aca="false">VLOOKUP(D1985,Rates!$A$4:$B$7,2,FALSE())</f>
        <v>0.085</v>
      </c>
      <c r="I1985" s="0" t="n">
        <f aca="false">VLOOKUP(F1985,Rates!$D$4:$E$8,2)</f>
        <v>0.85</v>
      </c>
      <c r="J1985" s="0" t="n">
        <f aca="false">ROUND(E1985*I1985,2)</f>
        <v>35645.63</v>
      </c>
      <c r="K1985" s="1" t="n">
        <f aca="false">PV(H1985/12,F1985/30,0,-E1985)</f>
        <v>39708.3176171262</v>
      </c>
      <c r="L1985" s="0" t="n">
        <f aca="false">ROUND(E1985-K1985,2)</f>
        <v>2227.71</v>
      </c>
      <c r="M1985" s="0" t="n">
        <f aca="false">F1985/E1985</f>
        <v>0.00553223564557732</v>
      </c>
    </row>
    <row r="1986" customFormat="false" ht="12.8" hidden="false" customHeight="false" outlineLevel="0" collapsed="false">
      <c r="A1986" s="0" t="s">
        <v>2847</v>
      </c>
      <c r="B1986" s="0" t="s">
        <v>113</v>
      </c>
      <c r="C1986" s="0" t="s">
        <v>26</v>
      </c>
      <c r="D1986" s="0" t="s">
        <v>23</v>
      </c>
      <c r="E1986" s="0" t="n">
        <v>20832.15</v>
      </c>
      <c r="F1986" s="0" t="n">
        <v>230</v>
      </c>
      <c r="G1986" s="0" t="str">
        <f aca="false">IF(F1986&lt;=30,"Current",IF(F1986&lt;=60,"31 to 60 days",IF(F1986&lt;=90,"61 to 90 days",IF(F1986&lt;=120,"91 to 120 days","Over 120 days"))))</f>
        <v>Over 120 days</v>
      </c>
      <c r="H1986" s="0" t="n">
        <f aca="false">VLOOKUP(D1986,Rates!$A$4:$B$7,2,FALSE())</f>
        <v>0.115</v>
      </c>
      <c r="I1986" s="0" t="n">
        <f aca="false">VLOOKUP(F1986,Rates!$D$4:$E$8,2)</f>
        <v>0.85</v>
      </c>
      <c r="J1986" s="0" t="n">
        <f aca="false">ROUND(E1986*I1986,2)</f>
        <v>17707.33</v>
      </c>
      <c r="K1986" s="1" t="n">
        <f aca="false">PV(H1986/12,F1986/30,0,-E1986)</f>
        <v>19363.2137091141</v>
      </c>
      <c r="L1986" s="0" t="n">
        <f aca="false">ROUND(E1986-K1986,2)</f>
        <v>1468.94</v>
      </c>
      <c r="M1986" s="0" t="n">
        <f aca="false">F1986/E1986</f>
        <v>0.0110406271076197</v>
      </c>
    </row>
    <row r="1987" customFormat="false" ht="12.8" hidden="false" customHeight="false" outlineLevel="0" collapsed="false">
      <c r="A1987" s="0" t="s">
        <v>2848</v>
      </c>
      <c r="B1987" s="0" t="s">
        <v>2849</v>
      </c>
      <c r="C1987" s="0" t="s">
        <v>31</v>
      </c>
      <c r="D1987" s="0" t="s">
        <v>49</v>
      </c>
      <c r="E1987" s="0" t="n">
        <v>20917.18</v>
      </c>
      <c r="F1987" s="0" t="n">
        <v>83</v>
      </c>
      <c r="G1987" s="0" t="str">
        <f aca="false">IF(F1987&lt;=30,"Current",IF(F1987&lt;=60,"31 to 60 days",IF(F1987&lt;=90,"61 to 90 days",IF(F1987&lt;=120,"91 to 120 days","Over 120 days"))))</f>
        <v>61 to 90 days</v>
      </c>
      <c r="H1987" s="0" t="n">
        <f aca="false">VLOOKUP(D1987,Rates!$A$4:$B$7,2,FALSE())</f>
        <v>0.02</v>
      </c>
      <c r="I1987" s="0" t="n">
        <f aca="false">VLOOKUP(F1987,Rates!$D$4:$E$8,2)</f>
        <v>0.25</v>
      </c>
      <c r="J1987" s="0" t="n">
        <f aca="false">ROUND(E1987*I1987,2)</f>
        <v>5229.3</v>
      </c>
      <c r="K1987" s="1" t="n">
        <f aca="false">PV(H1987/12,F1987/30,0,-E1987)</f>
        <v>20821.03050944</v>
      </c>
      <c r="L1987" s="0" t="n">
        <f aca="false">ROUND(E1987-K1987,2)</f>
        <v>96.15</v>
      </c>
      <c r="M1987" s="0" t="n">
        <f aca="false">F1987/E1987</f>
        <v>0.00396803010730892</v>
      </c>
    </row>
    <row r="1988" customFormat="false" ht="12.8" hidden="false" customHeight="false" outlineLevel="0" collapsed="false">
      <c r="A1988" s="0" t="s">
        <v>2850</v>
      </c>
      <c r="B1988" s="0" t="s">
        <v>30</v>
      </c>
      <c r="C1988" s="0" t="s">
        <v>31</v>
      </c>
      <c r="D1988" s="0" t="s">
        <v>20</v>
      </c>
      <c r="E1988" s="0" t="n">
        <v>753.28</v>
      </c>
      <c r="F1988" s="0" t="n">
        <v>176</v>
      </c>
      <c r="G1988" s="0" t="str">
        <f aca="false">IF(F1988&lt;=30,"Current",IF(F1988&lt;=60,"31 to 60 days",IF(F1988&lt;=90,"61 to 90 days",IF(F1988&lt;=120,"91 to 120 days","Over 120 days"))))</f>
        <v>Over 120 days</v>
      </c>
      <c r="H1988" s="0" t="n">
        <f aca="false">VLOOKUP(D1988,Rates!$A$4:$B$7,2,FALSE())</f>
        <v>0.05</v>
      </c>
      <c r="I1988" s="0" t="n">
        <f aca="false">VLOOKUP(F1988,Rates!$D$4:$E$8,2)</f>
        <v>0.85</v>
      </c>
      <c r="J1988" s="0" t="n">
        <f aca="false">ROUND(E1988*I1988,2)</f>
        <v>640.29</v>
      </c>
      <c r="K1988" s="1" t="n">
        <f aca="false">PV(H1988/12,F1988/30,0,-E1988)</f>
        <v>735.127052701894</v>
      </c>
      <c r="L1988" s="0" t="n">
        <f aca="false">ROUND(E1988-K1988,2)</f>
        <v>18.15</v>
      </c>
      <c r="M1988" s="0" t="n">
        <f aca="false">F1988/E1988</f>
        <v>0.233644859813084</v>
      </c>
    </row>
    <row r="1989" customFormat="false" ht="12.8" hidden="false" customHeight="false" outlineLevel="0" collapsed="false">
      <c r="A1989" s="0" t="s">
        <v>2851</v>
      </c>
      <c r="B1989" s="0" t="s">
        <v>2852</v>
      </c>
      <c r="C1989" s="0" t="s">
        <v>19</v>
      </c>
      <c r="D1989" s="0" t="s">
        <v>49</v>
      </c>
      <c r="E1989" s="0" t="n">
        <v>1238.06</v>
      </c>
      <c r="F1989" s="0" t="n">
        <v>245</v>
      </c>
      <c r="G1989" s="0" t="str">
        <f aca="false">IF(F1989&lt;=30,"Current",IF(F1989&lt;=60,"31 to 60 days",IF(F1989&lt;=90,"61 to 90 days",IF(F1989&lt;=120,"91 to 120 days","Over 120 days"))))</f>
        <v>Over 120 days</v>
      </c>
      <c r="H1989" s="0" t="n">
        <f aca="false">VLOOKUP(D1989,Rates!$A$4:$B$7,2,FALSE())</f>
        <v>0.02</v>
      </c>
      <c r="I1989" s="0" t="n">
        <f aca="false">VLOOKUP(F1989,Rates!$D$4:$E$8,2)</f>
        <v>0.85</v>
      </c>
      <c r="J1989" s="0" t="n">
        <f aca="false">ROUND(E1989*I1989,2)</f>
        <v>1052.35</v>
      </c>
      <c r="K1989" s="1" t="n">
        <f aca="false">PV(H1989/12,F1989/30,0,-E1989)</f>
        <v>1221.33662984483</v>
      </c>
      <c r="L1989" s="0" t="n">
        <f aca="false">ROUND(E1989-K1989,2)</f>
        <v>16.72</v>
      </c>
      <c r="M1989" s="0" t="n">
        <f aca="false">F1989/E1989</f>
        <v>0.19789024764551</v>
      </c>
    </row>
    <row r="1990" customFormat="false" ht="12.8" hidden="false" customHeight="false" outlineLevel="0" collapsed="false">
      <c r="A1990" s="0" t="s">
        <v>2853</v>
      </c>
      <c r="B1990" s="0" t="s">
        <v>28</v>
      </c>
      <c r="C1990" s="0" t="s">
        <v>15</v>
      </c>
      <c r="D1990" s="0" t="s">
        <v>20</v>
      </c>
      <c r="E1990" s="0" t="n">
        <v>1434.17</v>
      </c>
      <c r="F1990" s="0" t="n">
        <v>221</v>
      </c>
      <c r="G1990" s="0" t="str">
        <f aca="false">IF(F1990&lt;=30,"Current",IF(F1990&lt;=60,"31 to 60 days",IF(F1990&lt;=90,"61 to 90 days",IF(F1990&lt;=120,"91 to 120 days","Over 120 days"))))</f>
        <v>Over 120 days</v>
      </c>
      <c r="H1990" s="0" t="n">
        <f aca="false">VLOOKUP(D1990,Rates!$A$4:$B$7,2,FALSE())</f>
        <v>0.05</v>
      </c>
      <c r="I1990" s="0" t="n">
        <f aca="false">VLOOKUP(F1990,Rates!$D$4:$E$8,2)</f>
        <v>0.85</v>
      </c>
      <c r="J1990" s="0" t="n">
        <f aca="false">ROUND(E1990*I1990,2)</f>
        <v>1219.04</v>
      </c>
      <c r="K1990" s="1" t="n">
        <f aca="false">PV(H1990/12,F1990/30,0,-E1990)</f>
        <v>1390.9063846213</v>
      </c>
      <c r="L1990" s="0" t="n">
        <f aca="false">ROUND(E1990-K1990,2)</f>
        <v>43.26</v>
      </c>
      <c r="M1990" s="0" t="n">
        <f aca="false">F1990/E1990</f>
        <v>0.154096097394312</v>
      </c>
    </row>
    <row r="1991" customFormat="false" ht="12.8" hidden="false" customHeight="false" outlineLevel="0" collapsed="false">
      <c r="A1991" s="0" t="s">
        <v>2854</v>
      </c>
      <c r="B1991" s="0" t="s">
        <v>2855</v>
      </c>
      <c r="C1991" s="0" t="s">
        <v>36</v>
      </c>
      <c r="D1991" s="0" t="s">
        <v>16</v>
      </c>
      <c r="E1991" s="0" t="n">
        <v>10506.11</v>
      </c>
      <c r="F1991" s="0" t="n">
        <v>172</v>
      </c>
      <c r="G1991" s="0" t="str">
        <f aca="false">IF(F1991&lt;=30,"Current",IF(F1991&lt;=60,"31 to 60 days",IF(F1991&lt;=90,"61 to 90 days",IF(F1991&lt;=120,"91 to 120 days","Over 120 days"))))</f>
        <v>Over 120 days</v>
      </c>
      <c r="H1991" s="0" t="n">
        <f aca="false">VLOOKUP(D1991,Rates!$A$4:$B$7,2,FALSE())</f>
        <v>0.085</v>
      </c>
      <c r="I1991" s="0" t="n">
        <f aca="false">VLOOKUP(F1991,Rates!$D$4:$E$8,2)</f>
        <v>0.85</v>
      </c>
      <c r="J1991" s="0" t="n">
        <f aca="false">ROUND(E1991*I1991,2)</f>
        <v>8930.19</v>
      </c>
      <c r="K1991" s="1" t="n">
        <f aca="false">PV(H1991/12,F1991/30,0,-E1991)</f>
        <v>10089.4370200642</v>
      </c>
      <c r="L1991" s="0" t="n">
        <f aca="false">ROUND(E1991-K1991,2)</f>
        <v>416.67</v>
      </c>
      <c r="M1991" s="0" t="n">
        <f aca="false">F1991/E1991</f>
        <v>0.0163714257703375</v>
      </c>
    </row>
    <row r="1992" customFormat="false" ht="12.8" hidden="false" customHeight="false" outlineLevel="0" collapsed="false">
      <c r="A1992" s="0" t="s">
        <v>2856</v>
      </c>
      <c r="B1992" s="0" t="s">
        <v>18</v>
      </c>
      <c r="C1992" s="0" t="s">
        <v>19</v>
      </c>
      <c r="D1992" s="0" t="s">
        <v>20</v>
      </c>
      <c r="E1992" s="0" t="n">
        <v>177.98</v>
      </c>
      <c r="F1992" s="0" t="n">
        <v>29</v>
      </c>
      <c r="G1992" s="0" t="str">
        <f aca="false">IF(F1992&lt;=30,"Current",IF(F1992&lt;=60,"31 to 60 days",IF(F1992&lt;=90,"61 to 90 days",IF(F1992&lt;=120,"91 to 120 days","Over 120 days"))))</f>
        <v>Current</v>
      </c>
      <c r="H1992" s="0" t="n">
        <f aca="false">VLOOKUP(D1992,Rates!$A$4:$B$7,2,FALSE())</f>
        <v>0.05</v>
      </c>
      <c r="I1992" s="0" t="n">
        <f aca="false">VLOOKUP(F1992,Rates!$D$4:$E$8,2)</f>
        <v>0.02</v>
      </c>
      <c r="J1992" s="0" t="n">
        <f aca="false">ROUND(E1992*I1992,2)</f>
        <v>3.56</v>
      </c>
      <c r="K1992" s="1" t="n">
        <f aca="false">PV(H1992/12,F1992/30,0,-E1992)</f>
        <v>177.266061209418</v>
      </c>
      <c r="L1992" s="0" t="n">
        <f aca="false">ROUND(E1992-K1992,2)</f>
        <v>0.71</v>
      </c>
      <c r="M1992" s="0" t="n">
        <f aca="false">F1992/E1992</f>
        <v>0.162939656141139</v>
      </c>
    </row>
    <row r="1993" customFormat="false" ht="12.8" hidden="false" customHeight="false" outlineLevel="0" collapsed="false">
      <c r="A1993" s="0" t="s">
        <v>2857</v>
      </c>
      <c r="B1993" s="0" t="s">
        <v>2858</v>
      </c>
      <c r="C1993" s="0" t="s">
        <v>42</v>
      </c>
      <c r="D1993" s="0" t="s">
        <v>49</v>
      </c>
      <c r="E1993" s="0" t="n">
        <v>43269.78</v>
      </c>
      <c r="F1993" s="0" t="n">
        <v>5</v>
      </c>
      <c r="G1993" s="0" t="str">
        <f aca="false">IF(F1993&lt;=30,"Current",IF(F1993&lt;=60,"31 to 60 days",IF(F1993&lt;=90,"61 to 90 days",IF(F1993&lt;=120,"91 to 120 days","Over 120 days"))))</f>
        <v>Current</v>
      </c>
      <c r="H1993" s="0" t="n">
        <f aca="false">VLOOKUP(D1993,Rates!$A$4:$B$7,2,FALSE())</f>
        <v>0.02</v>
      </c>
      <c r="I1993" s="0" t="n">
        <f aca="false">VLOOKUP(F1993,Rates!$D$4:$E$8,2)</f>
        <v>0.02</v>
      </c>
      <c r="J1993" s="0" t="n">
        <f aca="false">ROUND(E1993*I1993,2)</f>
        <v>865.4</v>
      </c>
      <c r="K1993" s="1" t="n">
        <f aca="false">PV(H1993/12,F1993/30,0,-E1993)</f>
        <v>43257.7722881309</v>
      </c>
      <c r="L1993" s="0" t="n">
        <f aca="false">ROUND(E1993-K1993,2)</f>
        <v>12.01</v>
      </c>
      <c r="M1993" s="0" t="n">
        <f aca="false">F1993/E1993</f>
        <v>0.000115554088788989</v>
      </c>
    </row>
    <row r="1994" customFormat="false" ht="12.8" hidden="false" customHeight="false" outlineLevel="0" collapsed="false">
      <c r="A1994" s="0" t="s">
        <v>2859</v>
      </c>
      <c r="B1994" s="0" t="s">
        <v>526</v>
      </c>
      <c r="C1994" s="0" t="s">
        <v>26</v>
      </c>
      <c r="D1994" s="0" t="s">
        <v>23</v>
      </c>
      <c r="E1994" s="0" t="n">
        <v>42573.1</v>
      </c>
      <c r="F1994" s="0" t="n">
        <v>96</v>
      </c>
      <c r="G1994" s="0" t="str">
        <f aca="false">IF(F1994&lt;=30,"Current",IF(F1994&lt;=60,"31 to 60 days",IF(F1994&lt;=90,"61 to 90 days",IF(F1994&lt;=120,"91 to 120 days","Over 120 days"))))</f>
        <v>91 to 120 days</v>
      </c>
      <c r="H1994" s="0" t="n">
        <f aca="false">VLOOKUP(D1994,Rates!$A$4:$B$7,2,FALSE())</f>
        <v>0.115</v>
      </c>
      <c r="I1994" s="0" t="n">
        <f aca="false">VLOOKUP(F1994,Rates!$D$4:$E$8,2)</f>
        <v>0.5</v>
      </c>
      <c r="J1994" s="0" t="n">
        <f aca="false">ROUND(E1994*I1994,2)</f>
        <v>21286.55</v>
      </c>
      <c r="K1994" s="1" t="n">
        <f aca="false">PV(H1994/12,F1994/30,0,-E1994)</f>
        <v>41293.3695744383</v>
      </c>
      <c r="L1994" s="0" t="n">
        <f aca="false">ROUND(E1994-K1994,2)</f>
        <v>1279.73</v>
      </c>
      <c r="M1994" s="0" t="n">
        <f aca="false">F1994/E1994</f>
        <v>0.00225494502397054</v>
      </c>
    </row>
    <row r="1995" customFormat="false" ht="12.8" hidden="false" customHeight="false" outlineLevel="0" collapsed="false">
      <c r="A1995" s="0" t="s">
        <v>2860</v>
      </c>
      <c r="B1995" s="0" t="s">
        <v>51</v>
      </c>
      <c r="C1995" s="0" t="s">
        <v>36</v>
      </c>
      <c r="D1995" s="0" t="s">
        <v>20</v>
      </c>
      <c r="E1995" s="0" t="n">
        <v>26864.23</v>
      </c>
      <c r="F1995" s="0" t="n">
        <v>267</v>
      </c>
      <c r="G1995" s="0" t="str">
        <f aca="false">IF(F1995&lt;=30,"Current",IF(F1995&lt;=60,"31 to 60 days",IF(F1995&lt;=90,"61 to 90 days",IF(F1995&lt;=120,"91 to 120 days","Over 120 days"))))</f>
        <v>Over 120 days</v>
      </c>
      <c r="H1995" s="0" t="n">
        <f aca="false">VLOOKUP(D1995,Rates!$A$4:$B$7,2,FALSE())</f>
        <v>0.05</v>
      </c>
      <c r="I1995" s="0" t="n">
        <f aca="false">VLOOKUP(F1995,Rates!$D$4:$E$8,2)</f>
        <v>0.85</v>
      </c>
      <c r="J1995" s="0" t="n">
        <f aca="false">ROUND(E1995*I1995,2)</f>
        <v>22834.6</v>
      </c>
      <c r="K1995" s="1" t="n">
        <f aca="false">PV(H1995/12,F1995/30,0,-E1995)</f>
        <v>25888.2544995305</v>
      </c>
      <c r="L1995" s="0" t="n">
        <f aca="false">ROUND(E1995-K1995,2)</f>
        <v>975.98</v>
      </c>
      <c r="M1995" s="0" t="n">
        <f aca="false">F1995/E1995</f>
        <v>0.00993886666396171</v>
      </c>
    </row>
    <row r="1996" customFormat="false" ht="12.8" hidden="false" customHeight="false" outlineLevel="0" collapsed="false">
      <c r="A1996" s="0" t="s">
        <v>2861</v>
      </c>
      <c r="B1996" s="0" t="s">
        <v>1767</v>
      </c>
      <c r="C1996" s="0" t="s">
        <v>19</v>
      </c>
      <c r="D1996" s="0" t="s">
        <v>16</v>
      </c>
      <c r="E1996" s="0" t="n">
        <v>18533.89</v>
      </c>
      <c r="F1996" s="0" t="n">
        <v>296</v>
      </c>
      <c r="G1996" s="0" t="str">
        <f aca="false">IF(F1996&lt;=30,"Current",IF(F1996&lt;=60,"31 to 60 days",IF(F1996&lt;=90,"61 to 90 days",IF(F1996&lt;=120,"91 to 120 days","Over 120 days"))))</f>
        <v>Over 120 days</v>
      </c>
      <c r="H1996" s="0" t="n">
        <f aca="false">VLOOKUP(D1996,Rates!$A$4:$B$7,2,FALSE())</f>
        <v>0.085</v>
      </c>
      <c r="I1996" s="0" t="n">
        <f aca="false">VLOOKUP(F1996,Rates!$D$4:$E$8,2)</f>
        <v>0.85</v>
      </c>
      <c r="J1996" s="0" t="n">
        <f aca="false">ROUND(E1996*I1996,2)</f>
        <v>15753.81</v>
      </c>
      <c r="K1996" s="1" t="n">
        <f aca="false">PV(H1996/12,F1996/30,0,-E1996)</f>
        <v>17287.0630240648</v>
      </c>
      <c r="L1996" s="0" t="n">
        <f aca="false">ROUND(E1996-K1996,2)</f>
        <v>1246.83</v>
      </c>
      <c r="M1996" s="0" t="n">
        <f aca="false">F1996/E1996</f>
        <v>0.0159707433247958</v>
      </c>
    </row>
    <row r="1997" customFormat="false" ht="12.8" hidden="false" customHeight="false" outlineLevel="0" collapsed="false">
      <c r="A1997" s="0" t="s">
        <v>2862</v>
      </c>
      <c r="B1997" s="0" t="s">
        <v>2863</v>
      </c>
      <c r="C1997" s="0" t="s">
        <v>15</v>
      </c>
      <c r="D1997" s="0" t="s">
        <v>16</v>
      </c>
      <c r="E1997" s="0" t="n">
        <v>22509.32</v>
      </c>
      <c r="F1997" s="0" t="n">
        <v>249</v>
      </c>
      <c r="G1997" s="0" t="str">
        <f aca="false">IF(F1997&lt;=30,"Current",IF(F1997&lt;=60,"31 to 60 days",IF(F1997&lt;=90,"61 to 90 days",IF(F1997&lt;=120,"91 to 120 days","Over 120 days"))))</f>
        <v>Over 120 days</v>
      </c>
      <c r="H1997" s="0" t="n">
        <f aca="false">VLOOKUP(D1997,Rates!$A$4:$B$7,2,FALSE())</f>
        <v>0.085</v>
      </c>
      <c r="I1997" s="0" t="n">
        <f aca="false">VLOOKUP(F1997,Rates!$D$4:$E$8,2)</f>
        <v>0.85</v>
      </c>
      <c r="J1997" s="0" t="n">
        <f aca="false">ROUND(E1997*I1997,2)</f>
        <v>19132.92</v>
      </c>
      <c r="K1997" s="1" t="n">
        <f aca="false">PV(H1997/12,F1997/30,0,-E1997)</f>
        <v>21228.5085536292</v>
      </c>
      <c r="L1997" s="0" t="n">
        <f aca="false">ROUND(E1997-K1997,2)</f>
        <v>1280.81</v>
      </c>
      <c r="M1997" s="0" t="n">
        <f aca="false">F1997/E1997</f>
        <v>0.0110620845054404</v>
      </c>
    </row>
    <row r="1998" customFormat="false" ht="12.8" hidden="false" customHeight="false" outlineLevel="0" collapsed="false">
      <c r="A1998" s="0" t="s">
        <v>2864</v>
      </c>
      <c r="B1998" s="0" t="s">
        <v>18</v>
      </c>
      <c r="C1998" s="0" t="s">
        <v>19</v>
      </c>
      <c r="D1998" s="0" t="s">
        <v>20</v>
      </c>
      <c r="E1998" s="0" t="n">
        <v>21675.81</v>
      </c>
      <c r="F1998" s="0" t="n">
        <v>180</v>
      </c>
      <c r="G1998" s="0" t="str">
        <f aca="false">IF(F1998&lt;=30,"Current",IF(F1998&lt;=60,"31 to 60 days",IF(F1998&lt;=90,"61 to 90 days",IF(F1998&lt;=120,"91 to 120 days","Over 120 days"))))</f>
        <v>Over 120 days</v>
      </c>
      <c r="H1998" s="0" t="n">
        <f aca="false">VLOOKUP(D1998,Rates!$A$4:$B$7,2,FALSE())</f>
        <v>0.05</v>
      </c>
      <c r="I1998" s="0" t="n">
        <f aca="false">VLOOKUP(F1998,Rates!$D$4:$E$8,2)</f>
        <v>0.85</v>
      </c>
      <c r="J1998" s="0" t="n">
        <f aca="false">ROUND(E1998*I1998,2)</f>
        <v>18424.44</v>
      </c>
      <c r="K1998" s="1" t="n">
        <f aca="false">PV(H1998/12,F1998/30,0,-E1998)</f>
        <v>21141.7303983455</v>
      </c>
      <c r="L1998" s="0" t="n">
        <f aca="false">ROUND(E1998-K1998,2)</f>
        <v>534.08</v>
      </c>
      <c r="M1998" s="0" t="n">
        <f aca="false">F1998/E1998</f>
        <v>0.00830418794038147</v>
      </c>
    </row>
    <row r="1999" customFormat="false" ht="12.8" hidden="false" customHeight="false" outlineLevel="0" collapsed="false">
      <c r="A1999" s="0" t="s">
        <v>2865</v>
      </c>
      <c r="B1999" s="0" t="s">
        <v>2866</v>
      </c>
      <c r="C1999" s="0" t="s">
        <v>15</v>
      </c>
      <c r="D1999" s="0" t="s">
        <v>49</v>
      </c>
      <c r="E1999" s="0" t="n">
        <v>28913.74</v>
      </c>
      <c r="F1999" s="0" t="n">
        <v>126</v>
      </c>
      <c r="G1999" s="0" t="str">
        <f aca="false">IF(F1999&lt;=30,"Current",IF(F1999&lt;=60,"31 to 60 days",IF(F1999&lt;=90,"61 to 90 days",IF(F1999&lt;=120,"91 to 120 days","Over 120 days"))))</f>
        <v>Over 120 days</v>
      </c>
      <c r="H1999" s="0" t="n">
        <f aca="false">VLOOKUP(D1999,Rates!$A$4:$B$7,2,FALSE())</f>
        <v>0.02</v>
      </c>
      <c r="I1999" s="0" t="n">
        <f aca="false">VLOOKUP(F1999,Rates!$D$4:$E$8,2)</f>
        <v>0.85</v>
      </c>
      <c r="J1999" s="0" t="n">
        <f aca="false">ROUND(E1999*I1999,2)</f>
        <v>24576.68</v>
      </c>
      <c r="K1999" s="1" t="n">
        <f aca="false">PV(H1999/12,F1999/30,0,-E1999)</f>
        <v>28712.2178582011</v>
      </c>
      <c r="L1999" s="0" t="n">
        <f aca="false">ROUND(E1999-K1999,2)</f>
        <v>201.52</v>
      </c>
      <c r="M1999" s="0" t="n">
        <f aca="false">F1999/E1999</f>
        <v>0.00435778975670391</v>
      </c>
    </row>
    <row r="2000" customFormat="false" ht="12.8" hidden="false" customHeight="false" outlineLevel="0" collapsed="false">
      <c r="A2000" s="0" t="s">
        <v>2867</v>
      </c>
      <c r="B2000" s="0" t="s">
        <v>18</v>
      </c>
      <c r="C2000" s="0" t="s">
        <v>19</v>
      </c>
      <c r="D2000" s="0" t="s">
        <v>20</v>
      </c>
      <c r="E2000" s="0" t="n">
        <v>42492.32</v>
      </c>
      <c r="F2000" s="0" t="n">
        <v>360</v>
      </c>
      <c r="G2000" s="0" t="str">
        <f aca="false">IF(F2000&lt;=30,"Current",IF(F2000&lt;=60,"31 to 60 days",IF(F2000&lt;=90,"61 to 90 days",IF(F2000&lt;=120,"91 to 120 days","Over 120 days"))))</f>
        <v>Over 120 days</v>
      </c>
      <c r="H2000" s="0" t="n">
        <f aca="false">VLOOKUP(D2000,Rates!$A$4:$B$7,2,FALSE())</f>
        <v>0.05</v>
      </c>
      <c r="I2000" s="0" t="n">
        <f aca="false">VLOOKUP(F2000,Rates!$D$4:$E$8,2)</f>
        <v>0.85</v>
      </c>
      <c r="J2000" s="0" t="n">
        <f aca="false">ROUND(E2000*I2000,2)</f>
        <v>36118.47</v>
      </c>
      <c r="K2000" s="1" t="n">
        <f aca="false">PV(H2000/12,F2000/30,0,-E2000)</f>
        <v>40424.1440691763</v>
      </c>
      <c r="L2000" s="0" t="n">
        <f aca="false">ROUND(E2000-K2000,2)</f>
        <v>2068.18</v>
      </c>
      <c r="M2000" s="0" t="n">
        <f aca="false">F2000/E2000</f>
        <v>0.00847211919706902</v>
      </c>
    </row>
    <row r="2001" customFormat="false" ht="12.8" hidden="false" customHeight="false" outlineLevel="0" collapsed="false">
      <c r="A2001" s="0" t="s">
        <v>2868</v>
      </c>
      <c r="B2001" s="0" t="s">
        <v>33</v>
      </c>
      <c r="C2001" s="0" t="s">
        <v>26</v>
      </c>
      <c r="D2001" s="0" t="s">
        <v>20</v>
      </c>
      <c r="E2001" s="0" t="n">
        <v>29145.28</v>
      </c>
      <c r="F2001" s="0" t="n">
        <v>118</v>
      </c>
      <c r="G2001" s="0" t="str">
        <f aca="false">IF(F2001&lt;=30,"Current",IF(F2001&lt;=60,"31 to 60 days",IF(F2001&lt;=90,"61 to 90 days",IF(F2001&lt;=120,"91 to 120 days","Over 120 days"))))</f>
        <v>91 to 120 days</v>
      </c>
      <c r="H2001" s="0" t="n">
        <f aca="false">VLOOKUP(D2001,Rates!$A$4:$B$7,2,FALSE())</f>
        <v>0.05</v>
      </c>
      <c r="I2001" s="0" t="n">
        <f aca="false">VLOOKUP(F2001,Rates!$D$4:$E$8,2)</f>
        <v>0.5</v>
      </c>
      <c r="J2001" s="0" t="n">
        <f aca="false">ROUND(E2001*I2001,2)</f>
        <v>14572.64</v>
      </c>
      <c r="K2001" s="1" t="n">
        <f aca="false">PV(H2001/12,F2001/30,0,-E2001)</f>
        <v>28672.4903492246</v>
      </c>
      <c r="L2001" s="0" t="n">
        <f aca="false">ROUND(E2001-K2001,2)</f>
        <v>472.79</v>
      </c>
      <c r="M2001" s="0" t="n">
        <f aca="false">F2001/E2001</f>
        <v>0.0040486830114516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2869</v>
      </c>
    </row>
    <row r="3" customFormat="false" ht="12.8" hidden="false" customHeight="false" outlineLevel="0" collapsed="false">
      <c r="A3" s="0" t="s">
        <v>3</v>
      </c>
      <c r="B3" s="0" t="s">
        <v>7</v>
      </c>
      <c r="D3" s="0" t="s">
        <v>2870</v>
      </c>
      <c r="E3" s="0" t="s">
        <v>8</v>
      </c>
    </row>
    <row r="4" customFormat="false" ht="12.8" hidden="false" customHeight="false" outlineLevel="0" collapsed="false">
      <c r="A4" s="0" t="s">
        <v>16</v>
      </c>
      <c r="B4" s="0" t="n">
        <v>0.085</v>
      </c>
      <c r="D4" s="0" t="n">
        <v>0</v>
      </c>
      <c r="E4" s="0" t="n">
        <v>0.02</v>
      </c>
    </row>
    <row r="5" customFormat="false" ht="12.8" hidden="false" customHeight="false" outlineLevel="0" collapsed="false">
      <c r="A5" s="0" t="s">
        <v>23</v>
      </c>
      <c r="B5" s="0" t="n">
        <v>0.115</v>
      </c>
      <c r="D5" s="0" t="n">
        <v>31</v>
      </c>
      <c r="E5" s="0" t="n">
        <v>0.1</v>
      </c>
    </row>
    <row r="6" customFormat="false" ht="12.8" hidden="false" customHeight="false" outlineLevel="0" collapsed="false">
      <c r="A6" s="0" t="s">
        <v>49</v>
      </c>
      <c r="B6" s="0" t="n">
        <v>0.02</v>
      </c>
      <c r="D6" s="0" t="n">
        <v>61</v>
      </c>
      <c r="E6" s="0" t="n">
        <v>0.25</v>
      </c>
    </row>
    <row r="7" customFormat="false" ht="12.8" hidden="false" customHeight="false" outlineLevel="0" collapsed="false">
      <c r="A7" s="0" t="s">
        <v>20</v>
      </c>
      <c r="B7" s="0" t="n">
        <v>0.05</v>
      </c>
      <c r="D7" s="0" t="n">
        <v>91</v>
      </c>
      <c r="E7" s="0" t="n">
        <v>0.5</v>
      </c>
    </row>
    <row r="8" customFormat="false" ht="12.8" hidden="false" customHeight="false" outlineLevel="0" collapsed="false">
      <c r="D8" s="0" t="n">
        <v>121</v>
      </c>
      <c r="E8" s="0" t="n">
        <v>0.85</v>
      </c>
    </row>
    <row r="11" customFormat="false" ht="12.8" hidden="false" customHeight="false" outlineLevel="0" collapsed="false">
      <c r="A11" s="0" t="s">
        <v>2871</v>
      </c>
      <c r="B11" s="0" t="n">
        <v>0.15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2872</v>
      </c>
    </row>
    <row r="2" customFormat="false" ht="12.8" hidden="false" customHeight="false" outlineLevel="0" collapsed="false">
      <c r="A2" s="0" t="s">
        <v>16</v>
      </c>
      <c r="B2" s="0" t="n">
        <v>92516.66</v>
      </c>
    </row>
    <row r="3" customFormat="false" ht="12.8" hidden="false" customHeight="false" outlineLevel="0" collapsed="false">
      <c r="A3" s="0" t="s">
        <v>23</v>
      </c>
      <c r="B3" s="0" t="n">
        <v>15204.73</v>
      </c>
    </row>
    <row r="4" customFormat="false" ht="12.8" hidden="false" customHeight="false" outlineLevel="0" collapsed="false">
      <c r="A4" s="0" t="s">
        <v>49</v>
      </c>
      <c r="B4" s="0" t="n">
        <v>91825.38</v>
      </c>
    </row>
    <row r="5" customFormat="false" ht="12.8" hidden="false" customHeight="false" outlineLevel="0" collapsed="false">
      <c r="A5" s="0" t="s">
        <v>20</v>
      </c>
      <c r="B5" s="0" t="n">
        <v>23760.7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2872</v>
      </c>
    </row>
    <row r="2" customFormat="false" ht="12.8" hidden="false" customHeight="false" outlineLevel="0" collapsed="false">
      <c r="A2" s="0" t="s">
        <v>16</v>
      </c>
      <c r="B2" s="0" t="n">
        <v>27791.82</v>
      </c>
    </row>
    <row r="3" customFormat="false" ht="12.8" hidden="false" customHeight="false" outlineLevel="0" collapsed="false">
      <c r="A3" s="0" t="s">
        <v>23</v>
      </c>
      <c r="B3" s="0" t="n">
        <v>32640.34</v>
      </c>
    </row>
    <row r="4" customFormat="false" ht="12.8" hidden="false" customHeight="false" outlineLevel="0" collapsed="false">
      <c r="A4" s="0" t="s">
        <v>49</v>
      </c>
      <c r="B4" s="0" t="n">
        <v>49283.14</v>
      </c>
    </row>
    <row r="5" customFormat="false" ht="12.8" hidden="false" customHeight="false" outlineLevel="0" collapsed="false">
      <c r="A5" s="0" t="s">
        <v>20</v>
      </c>
      <c r="B5" s="0" t="n">
        <v>97612.92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2872</v>
      </c>
    </row>
    <row r="2" customFormat="false" ht="12.8" hidden="false" customHeight="false" outlineLevel="0" collapsed="false">
      <c r="A2" s="0" t="s">
        <v>16</v>
      </c>
      <c r="B2" s="0" t="n">
        <v>41966.35</v>
      </c>
    </row>
    <row r="3" customFormat="false" ht="12.8" hidden="false" customHeight="false" outlineLevel="0" collapsed="false">
      <c r="A3" s="0" t="s">
        <v>23</v>
      </c>
      <c r="B3" s="0" t="n">
        <v>86571.3</v>
      </c>
    </row>
    <row r="4" customFormat="false" ht="12.8" hidden="false" customHeight="false" outlineLevel="0" collapsed="false">
      <c r="A4" s="0" t="s">
        <v>49</v>
      </c>
      <c r="B4" s="0" t="n">
        <v>39685.16</v>
      </c>
    </row>
    <row r="5" customFormat="false" ht="12.8" hidden="false" customHeight="false" outlineLevel="0" collapsed="false">
      <c r="A5" s="0" t="s">
        <v>20</v>
      </c>
      <c r="B5" s="0" t="n">
        <v>95561.74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2873</v>
      </c>
    </row>
    <row r="3" customFormat="false" ht="12.8" hidden="false" customHeight="false" outlineLevel="0" collapsed="false">
      <c r="A3" s="0" t="s">
        <v>2874</v>
      </c>
      <c r="B3" s="0" t="s">
        <v>2875</v>
      </c>
    </row>
    <row r="4" customFormat="false" ht="12.8" hidden="false" customHeight="false" outlineLevel="0" collapsed="false">
      <c r="A4" s="0" t="s">
        <v>2876</v>
      </c>
      <c r="B4" s="0" t="n">
        <f aca="false">SUM(Debtors!$E$2:$E$2001)</f>
        <v>43386900.86</v>
      </c>
    </row>
    <row r="5" customFormat="false" ht="12.8" hidden="false" customHeight="false" outlineLevel="0" collapsed="false">
      <c r="A5" s="0" t="s">
        <v>2877</v>
      </c>
      <c r="B5" s="0" t="n">
        <f aca="false">SUM(Debtors!$J$2:$J$2001)</f>
        <v>29212863.36</v>
      </c>
    </row>
    <row r="6" customFormat="false" ht="12.8" hidden="false" customHeight="false" outlineLevel="0" collapsed="false">
      <c r="A6" s="0" t="s">
        <v>2878</v>
      </c>
      <c r="B6" s="0" t="n">
        <f aca="false">SUM(Debtors!$L$2:$L$2001)</f>
        <v>1597853.85</v>
      </c>
    </row>
    <row r="7" customFormat="false" ht="12.8" hidden="false" customHeight="false" outlineLevel="0" collapsed="false">
      <c r="A7" s="0" t="s">
        <v>2879</v>
      </c>
      <c r="B7" s="0" t="n">
        <f aca="false">AVERAGE(Debtors!$E$2:$E$2001)</f>
        <v>21693.45043</v>
      </c>
    </row>
    <row r="8" customFormat="false" ht="12.8" hidden="false" customHeight="false" outlineLevel="0" collapsed="false">
      <c r="A8" s="0" t="s">
        <v>2880</v>
      </c>
      <c r="B8" s="0" t="n">
        <f aca="false">MAX(Debtors!$E$2:$E$2001)</f>
        <v>45033.43</v>
      </c>
    </row>
    <row r="9" customFormat="false" ht="12.8" hidden="false" customHeight="false" outlineLevel="0" collapsed="false">
      <c r="A9" s="0" t="s">
        <v>2881</v>
      </c>
      <c r="B9" s="0" t="n">
        <f aca="false">COUNT(Debtors!$E$2:$E$2001)</f>
        <v>2000</v>
      </c>
    </row>
    <row r="10" customFormat="false" ht="12.8" hidden="false" customHeight="false" outlineLevel="0" collapsed="false">
      <c r="A10" s="0" t="s">
        <v>2882</v>
      </c>
      <c r="B10" s="0" t="n">
        <f aca="false">INDEX(Rates!$B$4:$B$7,MATCH("Business",Rates!$A$4:$A$7,0))</f>
        <v>0.115</v>
      </c>
    </row>
    <row r="11" customFormat="false" ht="12.8" hidden="false" customHeight="false" outlineLevel="0" collapsed="false">
      <c r="A11" s="0" t="s">
        <v>2883</v>
      </c>
      <c r="B11" s="0" t="n">
        <f aca="false">ROUND(B5*Tax_Rate,2)</f>
        <v>4381929.5</v>
      </c>
    </row>
    <row r="12" customFormat="false" ht="12.8" hidden="false" customHeight="false" outlineLevel="0" collapsed="false">
      <c r="A12" s="0" t="s">
        <v>2884</v>
      </c>
      <c r="B12" s="0" t="n">
        <f aca="false">SUM(Jan:Mar!B2)</f>
        <v>162274.83</v>
      </c>
    </row>
    <row r="13" customFormat="false" ht="12.8" hidden="false" customHeight="false" outlineLevel="0" collapsed="false">
      <c r="A13" s="0" t="s">
        <v>2885</v>
      </c>
      <c r="B13" s="0" t="n">
        <f aca="false">B12-B5</f>
        <v>-29050588.53</v>
      </c>
    </row>
    <row r="14" customFormat="false" ht="12.8" hidden="false" customHeight="false" outlineLevel="0" collapsed="false">
      <c r="A14" s="0" t="s">
        <v>2886</v>
      </c>
      <c r="B14" s="0" t="n">
        <f aca="false">SUMPRODUCT(Debtors!$E$2:$E$2001,Debtors!$H$2:$H$2001)/B4</f>
        <v>0.0676389675439012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2887</v>
      </c>
    </row>
    <row r="3" customFormat="false" ht="12.8" hidden="false" customHeight="false" outlineLevel="0" collapsed="false">
      <c r="A3" s="0" t="s">
        <v>2888</v>
      </c>
    </row>
    <row r="4" customFormat="false" ht="12.8" hidden="false" customHeight="false" outlineLevel="0" collapsed="false">
      <c r="A4" s="0" t="s">
        <v>2889</v>
      </c>
    </row>
    <row r="5" customFormat="false" ht="12.8" hidden="false" customHeight="false" outlineLevel="0" collapsed="false">
      <c r="A5" s="0" t="s">
        <v>2890</v>
      </c>
    </row>
    <row r="6" customFormat="false" ht="12.8" hidden="false" customHeight="false" outlineLevel="0" collapsed="false">
      <c r="A6" s="0" t="s">
        <v>2891</v>
      </c>
    </row>
    <row r="7" customFormat="false" ht="12.8" hidden="false" customHeight="false" outlineLevel="0" collapsed="false">
      <c r="A7" s="0" t="s">
        <v>2892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